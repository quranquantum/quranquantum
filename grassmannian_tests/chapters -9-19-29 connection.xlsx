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ropbox\marvelous quran\اسور\"/>
    </mc:Choice>
  </mc:AlternateContent>
  <xr:revisionPtr revIDLastSave="0" documentId="8_{F1272E80-0539-44B0-B2D1-9E068CD4BFC7}" xr6:coauthVersionLast="47" xr6:coauthVersionMax="47" xr10:uidLastSave="{00000000-0000-0000-0000-000000000000}"/>
  <bookViews>
    <workbookView xWindow="360" yWindow="120" windowWidth="24915" windowHeight="1258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1" l="1"/>
  <c r="AD26" i="1"/>
  <c r="AD11" i="1"/>
  <c r="X11" i="1"/>
  <c r="X26" i="1"/>
  <c r="AA26" i="1"/>
  <c r="AA11" i="1"/>
  <c r="J27" i="1"/>
  <c r="AA27" i="1" l="1"/>
  <c r="AD27" i="1"/>
  <c r="W14" i="1"/>
  <c r="W16" i="1" s="1"/>
  <c r="V14" i="1"/>
  <c r="V16" i="1" s="1"/>
  <c r="H27" i="1" l="1"/>
  <c r="H26" i="1"/>
  <c r="H11" i="1"/>
  <c r="M27" i="1"/>
  <c r="M26" i="1"/>
  <c r="M11" i="1"/>
  <c r="D38" i="1" l="1"/>
  <c r="G39" i="1"/>
  <c r="G42" i="1" s="1"/>
  <c r="G45" i="1" s="1"/>
  <c r="N52" i="1" l="1"/>
  <c r="P52" i="1" l="1"/>
  <c r="S52" i="1"/>
  <c r="R52" i="1"/>
  <c r="M52" i="1"/>
  <c r="K52" i="1"/>
  <c r="J52" i="1"/>
  <c r="M47" i="1"/>
  <c r="K47" i="1"/>
  <c r="J47" i="1"/>
  <c r="H37" i="1" l="1"/>
  <c r="H38" i="1" s="1"/>
</calcChain>
</file>

<file path=xl/sharedStrings.xml><?xml version="1.0" encoding="utf-8"?>
<sst xmlns="http://schemas.openxmlformats.org/spreadsheetml/2006/main" count="144" uniqueCount="95">
  <si>
    <t>فهرس</t>
  </si>
  <si>
    <t>رقم السورة</t>
  </si>
  <si>
    <t>اسم السورة-99</t>
  </si>
  <si>
    <t>عدد الايات</t>
  </si>
  <si>
    <t>اسم السورة-نورانى</t>
  </si>
  <si>
    <t>فهرس مشترك</t>
  </si>
  <si>
    <t>الزيادة</t>
  </si>
  <si>
    <t>عدد حروف اية 99</t>
  </si>
  <si>
    <t>عدد كلمة</t>
  </si>
  <si>
    <t>قيمة الحروف النورانية</t>
  </si>
  <si>
    <t>الحروف النورانية</t>
  </si>
  <si>
    <t>قيمة الاية الاولى كتابة</t>
  </si>
  <si>
    <t>نطق</t>
  </si>
  <si>
    <t>الف</t>
  </si>
  <si>
    <t>ى</t>
  </si>
  <si>
    <t>جمع قيمة الايات</t>
  </si>
  <si>
    <t>عددحروف اية-1</t>
  </si>
  <si>
    <t>كتابة</t>
  </si>
  <si>
    <t>البقرة</t>
  </si>
  <si>
    <t>الم</t>
  </si>
  <si>
    <t>ال عمران</t>
  </si>
  <si>
    <t>النساء</t>
  </si>
  <si>
    <t xml:space="preserve">  </t>
  </si>
  <si>
    <t xml:space="preserve"> </t>
  </si>
  <si>
    <t>المائدة</t>
  </si>
  <si>
    <t>الانعام</t>
  </si>
  <si>
    <t>الاعراف</t>
  </si>
  <si>
    <t>المص</t>
  </si>
  <si>
    <t>التوبة</t>
  </si>
  <si>
    <t>يونس</t>
  </si>
  <si>
    <t>الر</t>
  </si>
  <si>
    <t>تِلۡكَ ءَايَـٰتُ ٱلۡكِتَـٰبِ ٱلۡحَكِيمِ</t>
  </si>
  <si>
    <t>هود</t>
  </si>
  <si>
    <t>كِتَـٰبٌ أُحۡكِمَتۡ ءَايَـٰتُهُ ۥ ثُمَّ فُصِّلَتۡ مِن لَّدُنۡ حَكِيمٍ خَبِيرٍ </t>
  </si>
  <si>
    <t>يوسف</t>
  </si>
  <si>
    <t> تِلۡكَ ءَايَـٰتُ ٱلۡكِتَـٰبِ ٱلۡمُبِينِ </t>
  </si>
  <si>
    <t>الرعد</t>
  </si>
  <si>
    <t>المر</t>
  </si>
  <si>
    <t>تِلۡكَ ءَايَـٰتُ ٱلۡكِتَـٰبِ‌ۗ وَٱلَّذِىٓ أُنزِلَ إِلَيۡكَ مِن رَّبِّكَ ٱلۡحَقُّ وَلَـٰكِنَّ أَڪۡثَرَ ٱلنَّاسِ لَا يُؤۡمِنُونَ </t>
  </si>
  <si>
    <t>ابراهيم</t>
  </si>
  <si>
    <t>ڪِتَـٰبٌ أَنزَلۡنَـٰهُ إِلَيۡكَ لِتُخۡرِجَ ٱلنَّاسَ مِنَ ٱلظُّلُمَـٰتِ إِلَى ٱلنُّورِ بِإِذۡنِ رَبِّهِمۡ إِلَىٰ صِرَٲطِ ٱلۡعَزِيزِ ٱلۡحَمِيدِ</t>
  </si>
  <si>
    <t>الاسراء-88</t>
  </si>
  <si>
    <t>الحجر</t>
  </si>
  <si>
    <t> تِلۡكَ ءَايَـٰتُ ٱلۡڪِتَـٰبِ وَقُرۡءَانٍ۬ مُّبِينٍ۬</t>
  </si>
  <si>
    <t>النحل</t>
  </si>
  <si>
    <t>طه-14</t>
  </si>
  <si>
    <t>الاسراء</t>
  </si>
  <si>
    <t>A138993</t>
  </si>
  <si>
    <t>الكهف</t>
  </si>
  <si>
    <t>A175552</t>
  </si>
  <si>
    <t>مريم</t>
  </si>
  <si>
    <t>كهيعص</t>
  </si>
  <si>
    <t>A275193</t>
  </si>
  <si>
    <t>طه</t>
  </si>
  <si>
    <t>الانبياء</t>
  </si>
  <si>
    <t>المؤمنون</t>
  </si>
  <si>
    <t>الشعراء</t>
  </si>
  <si>
    <t>طسم</t>
  </si>
  <si>
    <t>النمل</t>
  </si>
  <si>
    <t>طس</t>
  </si>
  <si>
    <r>
      <t>تِلۡكَ ءَايَـٰتُ ٱلۡقُرۡءَانِ وَ</t>
    </r>
    <r>
      <rPr>
        <b/>
        <sz val="11"/>
        <color theme="1"/>
        <rFont val="Calibri"/>
        <family val="2"/>
        <scheme val="minor"/>
      </rPr>
      <t>ڪِتَابٍ۬</t>
    </r>
    <r>
      <rPr>
        <sz val="11"/>
        <color theme="1"/>
        <rFont val="Calibri"/>
        <family val="2"/>
        <scheme val="minor"/>
      </rPr>
      <t xml:space="preserve"> مُّبِينٍ </t>
    </r>
  </si>
  <si>
    <t>القصص</t>
  </si>
  <si>
    <t>العنكبوت</t>
  </si>
  <si>
    <t>الروم</t>
  </si>
  <si>
    <t>لقمان</t>
  </si>
  <si>
    <t>السجدة</t>
  </si>
  <si>
    <t>يس</t>
  </si>
  <si>
    <t>الصافات</t>
  </si>
  <si>
    <t>ص</t>
  </si>
  <si>
    <t>وَٱلۡقُرۡءَانِ ذِى ٱلذِّكۡرِ</t>
  </si>
  <si>
    <t>10-و</t>
  </si>
  <si>
    <t>مشترك-9</t>
  </si>
  <si>
    <t xml:space="preserve"> النحل-52</t>
  </si>
  <si>
    <t>اسم السورة</t>
  </si>
  <si>
    <t>حم</t>
  </si>
  <si>
    <t>غافر</t>
  </si>
  <si>
    <t>6 مشترك</t>
  </si>
  <si>
    <t>ق-القلم</t>
  </si>
  <si>
    <t>فصلت</t>
  </si>
  <si>
    <t>طه-114</t>
  </si>
  <si>
    <t>الشورى</t>
  </si>
  <si>
    <t>عسق</t>
  </si>
  <si>
    <t>الزخرف</t>
  </si>
  <si>
    <t>الرعد-إبراهيم-مريم</t>
  </si>
  <si>
    <t>الدخان</t>
  </si>
  <si>
    <t>المؤمنون-70</t>
  </si>
  <si>
    <t>الجاثية</t>
  </si>
  <si>
    <t>الحاقة</t>
  </si>
  <si>
    <t>ق</t>
  </si>
  <si>
    <t>وَٱلۡقُرۡءَانِ ٱلۡمَجِيدِ</t>
  </si>
  <si>
    <t>القلم</t>
  </si>
  <si>
    <t>ن</t>
  </si>
  <si>
    <t>وَٱلۡقَلَمِ وَمَا يَسۡطُرُونَ </t>
  </si>
  <si>
    <t>لقمان-24</t>
  </si>
  <si>
    <t>يس-69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</si>
</sst>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0" borderId="0" xfId="0" applyFont="1"/>
    <xf numFmtId="0" fontId="9" fillId="8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9" fillId="3" borderId="0" xfId="0" applyFont="1" applyFill="1" applyAlignment="1">
      <alignment horizontal="right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/>
    <xf numFmtId="0" fontId="0" fillId="3" borderId="0" xfId="0" applyFill="1" applyAlignment="1">
      <alignment horizontal="right" vertical="center"/>
    </xf>
    <xf numFmtId="0" fontId="13" fillId="0" borderId="0" xfId="0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6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/>
    </xf>
    <xf numFmtId="0" fontId="9" fillId="0" borderId="0" xfId="0" applyFont="1"/>
    <xf numFmtId="0" fontId="3" fillId="10" borderId="0" xfId="0" applyFont="1" applyFill="1" applyAlignment="1">
      <alignment horizontal="center" vertical="center"/>
    </xf>
    <xf numFmtId="0" fontId="9" fillId="0" borderId="0" xfId="0" applyFont="1" applyAlignment="1">
      <alignment horizontal="right"/>
    </xf>
    <xf numFmtId="0" fontId="0" fillId="11" borderId="0" xfId="0" applyFill="1" applyAlignment="1">
      <alignment horizontal="center"/>
    </xf>
    <xf numFmtId="0" fontId="12" fillId="12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9" fillId="8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/>
    </xf>
    <xf numFmtId="0" fontId="14" fillId="15" borderId="0" xfId="0" applyFont="1" applyFill="1"/>
    <xf numFmtId="0" fontId="16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8" fillId="0" borderId="0" xfId="0" applyFont="1"/>
    <xf numFmtId="0" fontId="6" fillId="10" borderId="0" xfId="0" applyFont="1" applyFill="1"/>
    <xf numFmtId="0" fontId="18" fillId="10" borderId="0" xfId="0" applyFont="1" applyFill="1"/>
    <xf numFmtId="0" fontId="3" fillId="10" borderId="0" xfId="0" applyFont="1" applyFill="1" applyAlignment="1">
      <alignment horizontal="left"/>
    </xf>
    <xf numFmtId="0" fontId="0" fillId="10" borderId="0" xfId="0" applyFill="1"/>
    <xf numFmtId="0" fontId="15" fillId="10" borderId="0" xfId="0" applyFont="1" applyFill="1"/>
    <xf numFmtId="0" fontId="19" fillId="15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19" borderId="0" xfId="0" applyFont="1" applyFill="1" applyAlignment="1">
      <alignment horizontal="center"/>
    </xf>
    <xf numFmtId="0" fontId="0" fillId="19" borderId="0" xfId="0" applyFill="1"/>
    <xf numFmtId="0" fontId="0" fillId="20" borderId="0" xfId="0" applyFill="1"/>
    <xf numFmtId="0" fontId="9" fillId="20" borderId="0" xfId="0" applyFont="1" applyFill="1"/>
    <xf numFmtId="0" fontId="0" fillId="4" borderId="0" xfId="0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/>
    </xf>
    <xf numFmtId="0" fontId="21" fillId="15" borderId="0" xfId="1" applyFont="1" applyFill="1"/>
    <xf numFmtId="0" fontId="0" fillId="21" borderId="0" xfId="0" applyFill="1"/>
    <xf numFmtId="0" fontId="3" fillId="13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right" vertical="top"/>
    </xf>
    <xf numFmtId="0" fontId="15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eis.org/A275193" TargetMode="External"/><Relationship Id="rId2" Type="http://schemas.openxmlformats.org/officeDocument/2006/relationships/hyperlink" Target="https://oeis.org/A175552" TargetMode="External"/><Relationship Id="rId1" Type="http://schemas.openxmlformats.org/officeDocument/2006/relationships/hyperlink" Target="https://oeis.org/A13899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"/>
  <sheetViews>
    <sheetView rightToLeft="1" tabSelected="1" topLeftCell="G38" zoomScaleNormal="100" workbookViewId="0">
      <selection activeCell="N53" sqref="N53"/>
    </sheetView>
  </sheetViews>
  <sheetFormatPr defaultRowHeight="15"/>
  <cols>
    <col min="1" max="2" width="11.7109375" customWidth="1"/>
    <col min="3" max="5" width="15.7109375" customWidth="1"/>
    <col min="6" max="6" width="14.140625" customWidth="1"/>
    <col min="7" max="7" width="11.7109375" customWidth="1"/>
    <col min="9" max="9" width="11.5703125" bestFit="1" customWidth="1"/>
    <col min="10" max="13" width="15.7109375" customWidth="1"/>
    <col min="14" max="14" width="20.7109375" customWidth="1"/>
    <col min="15" max="15" width="15.7109375" customWidth="1"/>
    <col min="16" max="16" width="20.7109375" customWidth="1"/>
    <col min="17" max="17" width="65.7109375" customWidth="1"/>
    <col min="23" max="23" width="12.28515625" bestFit="1" customWidth="1"/>
    <col min="25" max="25" width="12.42578125" bestFit="1" customWidth="1"/>
  </cols>
  <sheetData>
    <row r="1" spans="1:30" ht="15.75">
      <c r="A1" s="1" t="s">
        <v>0</v>
      </c>
      <c r="B1" s="2" t="s">
        <v>1</v>
      </c>
      <c r="C1" s="3" t="s">
        <v>2</v>
      </c>
      <c r="D1" s="8" t="s">
        <v>3</v>
      </c>
      <c r="E1" s="8" t="s">
        <v>4</v>
      </c>
      <c r="F1" s="9" t="s">
        <v>0</v>
      </c>
      <c r="G1" s="8" t="s">
        <v>3</v>
      </c>
      <c r="I1" s="8" t="s">
        <v>5</v>
      </c>
      <c r="J1" s="4" t="s">
        <v>6</v>
      </c>
      <c r="K1" t="s">
        <v>7</v>
      </c>
      <c r="L1" s="19" t="s">
        <v>8</v>
      </c>
      <c r="N1" s="21" t="s">
        <v>9</v>
      </c>
      <c r="O1" s="21" t="s">
        <v>10</v>
      </c>
      <c r="P1" s="21" t="s">
        <v>11</v>
      </c>
      <c r="R1" s="21" t="s">
        <v>12</v>
      </c>
      <c r="S1" s="21" t="s">
        <v>13</v>
      </c>
      <c r="T1" s="21" t="s">
        <v>14</v>
      </c>
      <c r="V1" s="21" t="s">
        <v>12</v>
      </c>
      <c r="W1" s="21" t="s">
        <v>15</v>
      </c>
      <c r="Y1" s="85" t="s">
        <v>16</v>
      </c>
      <c r="Z1" s="85" t="s">
        <v>8</v>
      </c>
      <c r="AB1" t="s">
        <v>17</v>
      </c>
      <c r="AC1" t="s">
        <v>12</v>
      </c>
    </row>
    <row r="2" spans="1:30" ht="15.75">
      <c r="A2" s="10">
        <v>1</v>
      </c>
      <c r="B2" s="45">
        <v>2</v>
      </c>
      <c r="C2" s="12" t="s">
        <v>18</v>
      </c>
      <c r="D2" s="12">
        <v>286</v>
      </c>
      <c r="E2" s="11" t="s">
        <v>18</v>
      </c>
      <c r="F2" s="13">
        <v>1</v>
      </c>
      <c r="G2" s="47">
        <v>286</v>
      </c>
      <c r="I2" s="88">
        <v>1</v>
      </c>
      <c r="J2" s="74">
        <v>3</v>
      </c>
      <c r="K2" s="76">
        <v>42</v>
      </c>
      <c r="L2" s="76">
        <v>10</v>
      </c>
      <c r="N2" s="57">
        <v>44</v>
      </c>
      <c r="O2" s="26" t="s">
        <v>19</v>
      </c>
      <c r="P2" s="35">
        <v>44</v>
      </c>
      <c r="R2" s="76">
        <v>44</v>
      </c>
      <c r="Y2" s="76">
        <v>3</v>
      </c>
      <c r="Z2" s="76">
        <v>1</v>
      </c>
      <c r="AB2">
        <v>44</v>
      </c>
      <c r="AC2" s="76">
        <v>44</v>
      </c>
    </row>
    <row r="3" spans="1:30" ht="15.75">
      <c r="A3" s="10">
        <v>2</v>
      </c>
      <c r="B3" s="45">
        <v>3</v>
      </c>
      <c r="C3" s="12" t="s">
        <v>20</v>
      </c>
      <c r="D3" s="12">
        <v>200</v>
      </c>
      <c r="E3" s="11" t="s">
        <v>20</v>
      </c>
      <c r="F3" s="13">
        <v>2</v>
      </c>
      <c r="G3" s="47">
        <v>200</v>
      </c>
      <c r="I3" s="88">
        <v>2</v>
      </c>
      <c r="J3" s="74">
        <v>3</v>
      </c>
      <c r="K3" s="77">
        <v>75</v>
      </c>
      <c r="L3" s="76">
        <v>19</v>
      </c>
      <c r="N3" s="89">
        <v>44</v>
      </c>
      <c r="O3" s="26" t="s">
        <v>19</v>
      </c>
      <c r="P3" s="35">
        <v>44</v>
      </c>
      <c r="R3" s="76">
        <v>44</v>
      </c>
      <c r="Y3" s="76">
        <v>3</v>
      </c>
      <c r="Z3" s="76">
        <v>1</v>
      </c>
      <c r="AB3">
        <v>44</v>
      </c>
      <c r="AC3" s="76">
        <v>44</v>
      </c>
    </row>
    <row r="4" spans="1:30" ht="15.75">
      <c r="A4" s="1">
        <v>3</v>
      </c>
      <c r="B4" s="4">
        <v>4</v>
      </c>
      <c r="C4" s="3" t="s">
        <v>21</v>
      </c>
      <c r="D4" s="3">
        <v>176</v>
      </c>
      <c r="E4" s="8"/>
      <c r="F4" s="9"/>
      <c r="J4" s="72" t="s">
        <v>22</v>
      </c>
      <c r="K4" t="s">
        <v>23</v>
      </c>
      <c r="L4" t="s">
        <v>23</v>
      </c>
      <c r="N4" s="58"/>
      <c r="O4" s="21"/>
    </row>
    <row r="5" spans="1:30" ht="15.75">
      <c r="A5" s="1">
        <v>4</v>
      </c>
      <c r="B5" s="66">
        <v>5</v>
      </c>
      <c r="C5" s="3" t="s">
        <v>24</v>
      </c>
      <c r="D5" s="3">
        <v>120</v>
      </c>
      <c r="E5" s="8"/>
      <c r="F5" s="9"/>
      <c r="G5" s="67"/>
      <c r="J5" s="72"/>
      <c r="K5" t="s">
        <v>23</v>
      </c>
      <c r="L5" t="s">
        <v>23</v>
      </c>
      <c r="N5" s="58"/>
      <c r="O5" s="21"/>
    </row>
    <row r="6" spans="1:30" ht="15.75">
      <c r="A6" s="5">
        <v>5</v>
      </c>
      <c r="B6" s="4">
        <v>6</v>
      </c>
      <c r="C6" s="3" t="s">
        <v>25</v>
      </c>
      <c r="D6" s="3">
        <v>165</v>
      </c>
      <c r="E6" s="8"/>
      <c r="F6" s="9"/>
      <c r="J6" s="72"/>
      <c r="N6" s="58"/>
      <c r="O6" s="21"/>
    </row>
    <row r="7" spans="1:30" ht="15.75">
      <c r="A7" s="10">
        <v>6</v>
      </c>
      <c r="B7" s="45">
        <v>7</v>
      </c>
      <c r="C7" s="12" t="s">
        <v>26</v>
      </c>
      <c r="D7" s="12">
        <v>206</v>
      </c>
      <c r="E7" s="13" t="s">
        <v>26</v>
      </c>
      <c r="F7" s="13">
        <v>3</v>
      </c>
      <c r="G7" s="47">
        <v>206</v>
      </c>
      <c r="I7" s="88">
        <v>3</v>
      </c>
      <c r="J7" s="74">
        <v>1</v>
      </c>
      <c r="K7" s="76">
        <v>43</v>
      </c>
      <c r="L7" s="76">
        <v>10</v>
      </c>
      <c r="N7" s="58">
        <v>45</v>
      </c>
      <c r="O7" s="26" t="s">
        <v>27</v>
      </c>
      <c r="P7" s="20">
        <v>45</v>
      </c>
      <c r="R7" s="76">
        <v>45</v>
      </c>
      <c r="Y7" s="76">
        <v>4</v>
      </c>
      <c r="Z7" s="76">
        <v>1</v>
      </c>
      <c r="AB7">
        <v>45</v>
      </c>
      <c r="AC7" s="76">
        <v>45</v>
      </c>
    </row>
    <row r="8" spans="1:30" ht="15.75">
      <c r="A8" s="1"/>
      <c r="B8" s="4"/>
      <c r="C8" s="3"/>
      <c r="D8" s="3"/>
      <c r="E8" s="8"/>
      <c r="F8" s="9"/>
      <c r="J8" s="72"/>
      <c r="N8" s="58"/>
      <c r="O8" s="21"/>
    </row>
    <row r="9" spans="1:30" ht="15.75">
      <c r="A9" s="6">
        <v>7</v>
      </c>
      <c r="B9" s="71">
        <v>9</v>
      </c>
      <c r="C9" s="7" t="s">
        <v>28</v>
      </c>
      <c r="D9" s="7">
        <v>129</v>
      </c>
      <c r="E9" s="8"/>
      <c r="F9" s="9"/>
      <c r="G9" s="67"/>
      <c r="J9" s="72"/>
      <c r="N9" s="58"/>
      <c r="O9" s="21"/>
    </row>
    <row r="10" spans="1:30" ht="15.75">
      <c r="A10" s="10">
        <v>8</v>
      </c>
      <c r="B10" s="45">
        <v>10</v>
      </c>
      <c r="C10" s="12" t="s">
        <v>29</v>
      </c>
      <c r="D10" s="12">
        <v>109</v>
      </c>
      <c r="E10" s="13" t="s">
        <v>29</v>
      </c>
      <c r="F10" s="13">
        <v>4</v>
      </c>
      <c r="G10" s="47">
        <v>109</v>
      </c>
      <c r="I10" s="88">
        <v>4</v>
      </c>
      <c r="J10" s="74"/>
      <c r="K10" s="76">
        <v>61</v>
      </c>
      <c r="L10" s="76">
        <v>15</v>
      </c>
      <c r="N10" s="58">
        <v>44</v>
      </c>
      <c r="O10" s="26" t="s">
        <v>30</v>
      </c>
      <c r="P10" s="39">
        <v>228</v>
      </c>
      <c r="Q10" s="29" t="s">
        <v>31</v>
      </c>
      <c r="R10" s="76">
        <v>308</v>
      </c>
      <c r="S10" s="76">
        <v>2</v>
      </c>
      <c r="Y10" s="76">
        <v>21</v>
      </c>
      <c r="Z10" s="76">
        <v>5</v>
      </c>
      <c r="AB10">
        <v>228</v>
      </c>
      <c r="AC10" s="76">
        <v>308</v>
      </c>
    </row>
    <row r="11" spans="1:30" ht="15.75">
      <c r="A11" s="10">
        <v>9</v>
      </c>
      <c r="B11" s="45">
        <v>11</v>
      </c>
      <c r="C11" s="12" t="s">
        <v>32</v>
      </c>
      <c r="D11" s="12">
        <v>123</v>
      </c>
      <c r="E11" s="13" t="s">
        <v>32</v>
      </c>
      <c r="F11" s="13">
        <v>5</v>
      </c>
      <c r="G11" s="47">
        <v>123</v>
      </c>
      <c r="H11">
        <f>SUM(G2:G11)</f>
        <v>924</v>
      </c>
      <c r="I11" s="88">
        <v>5</v>
      </c>
      <c r="J11" s="74">
        <v>2</v>
      </c>
      <c r="K11" s="76">
        <v>41</v>
      </c>
      <c r="L11" s="76">
        <v>9</v>
      </c>
      <c r="M11" s="76">
        <f>SUM(L2:L11)</f>
        <v>63</v>
      </c>
      <c r="N11" s="58">
        <v>44</v>
      </c>
      <c r="O11" s="26" t="s">
        <v>30</v>
      </c>
      <c r="P11" s="39">
        <v>172</v>
      </c>
      <c r="Q11" s="29" t="s">
        <v>33</v>
      </c>
      <c r="R11" s="76">
        <v>252</v>
      </c>
      <c r="S11" s="76">
        <v>2</v>
      </c>
      <c r="X11">
        <f>SUM(Y2:Y11)</f>
        <v>66</v>
      </c>
      <c r="Y11" s="76">
        <v>35</v>
      </c>
      <c r="Z11" s="76">
        <v>10</v>
      </c>
      <c r="AA11" s="76">
        <f>SUM(Z2:Z11)</f>
        <v>18</v>
      </c>
      <c r="AB11">
        <v>172</v>
      </c>
      <c r="AC11" s="76">
        <v>252</v>
      </c>
      <c r="AD11" s="76">
        <f>SUM(AC2:AC11)</f>
        <v>693</v>
      </c>
    </row>
    <row r="12" spans="1:30" ht="15.75">
      <c r="A12" s="10">
        <v>10</v>
      </c>
      <c r="B12" s="45">
        <v>12</v>
      </c>
      <c r="C12" s="12" t="s">
        <v>34</v>
      </c>
      <c r="D12" s="12">
        <v>111</v>
      </c>
      <c r="E12" s="13" t="s">
        <v>34</v>
      </c>
      <c r="F12" s="13">
        <v>6</v>
      </c>
      <c r="G12" s="47">
        <v>111</v>
      </c>
      <c r="I12" s="88">
        <v>6</v>
      </c>
      <c r="J12" s="74"/>
      <c r="K12" s="76">
        <v>57</v>
      </c>
      <c r="L12" s="82">
        <v>14</v>
      </c>
      <c r="N12" s="58">
        <v>44</v>
      </c>
      <c r="O12" s="26" t="s">
        <v>30</v>
      </c>
      <c r="P12" s="39">
        <v>223</v>
      </c>
      <c r="Q12" s="29" t="s">
        <v>35</v>
      </c>
      <c r="R12" s="82">
        <v>303</v>
      </c>
      <c r="S12" s="82">
        <v>2</v>
      </c>
      <c r="Y12" s="82">
        <v>21</v>
      </c>
      <c r="Z12" s="82">
        <v>5</v>
      </c>
      <c r="AB12">
        <v>223</v>
      </c>
      <c r="AC12" s="82">
        <v>303</v>
      </c>
    </row>
    <row r="13" spans="1:30" ht="15.75">
      <c r="A13" s="1"/>
      <c r="B13" s="14">
        <v>13</v>
      </c>
      <c r="C13" s="3"/>
      <c r="D13" s="3"/>
      <c r="E13" s="8" t="s">
        <v>36</v>
      </c>
      <c r="F13" s="3">
        <v>7</v>
      </c>
      <c r="J13" s="72"/>
      <c r="M13" s="53">
        <v>1708</v>
      </c>
      <c r="N13" s="58">
        <v>45</v>
      </c>
      <c r="O13" s="34" t="s">
        <v>37</v>
      </c>
      <c r="P13" s="32">
        <v>655</v>
      </c>
      <c r="Q13" s="31" t="s">
        <v>38</v>
      </c>
      <c r="R13">
        <v>775</v>
      </c>
      <c r="S13">
        <v>3</v>
      </c>
    </row>
    <row r="14" spans="1:30" ht="15.75">
      <c r="A14" s="1"/>
      <c r="B14" s="14">
        <v>14</v>
      </c>
      <c r="C14" s="3"/>
      <c r="D14" s="3"/>
      <c r="E14" s="8" t="s">
        <v>39</v>
      </c>
      <c r="F14" s="3">
        <v>8</v>
      </c>
      <c r="G14" s="17"/>
      <c r="J14" s="72"/>
      <c r="N14" s="58">
        <v>44</v>
      </c>
      <c r="O14" s="33" t="s">
        <v>30</v>
      </c>
      <c r="P14" s="37">
        <v>706</v>
      </c>
      <c r="Q14" s="30" t="s">
        <v>40</v>
      </c>
      <c r="R14">
        <v>826</v>
      </c>
      <c r="S14">
        <v>3</v>
      </c>
      <c r="T14">
        <v>1</v>
      </c>
      <c r="U14">
        <v>852</v>
      </c>
      <c r="V14">
        <f>SUM(R2:R15)</f>
        <v>2922</v>
      </c>
      <c r="W14">
        <f>SUM(P2:P14)</f>
        <v>2117</v>
      </c>
      <c r="X14" t="s">
        <v>41</v>
      </c>
    </row>
    <row r="15" spans="1:30" ht="15.75">
      <c r="A15" s="63">
        <v>11</v>
      </c>
      <c r="B15" s="45">
        <v>15</v>
      </c>
      <c r="C15" s="12" t="s">
        <v>42</v>
      </c>
      <c r="D15" s="12">
        <v>99</v>
      </c>
      <c r="E15" s="13" t="s">
        <v>42</v>
      </c>
      <c r="F15" s="64">
        <v>9</v>
      </c>
      <c r="G15" s="47">
        <v>99</v>
      </c>
      <c r="I15" s="88">
        <v>7</v>
      </c>
      <c r="J15" s="74"/>
      <c r="K15" s="76">
        <v>22</v>
      </c>
      <c r="L15" s="82">
        <v>5</v>
      </c>
      <c r="N15" s="58">
        <v>44</v>
      </c>
      <c r="O15" s="26" t="s">
        <v>30</v>
      </c>
      <c r="P15" s="40">
        <v>245</v>
      </c>
      <c r="Q15" s="29" t="s">
        <v>43</v>
      </c>
      <c r="R15" s="82">
        <v>325</v>
      </c>
      <c r="S15" s="82">
        <v>2</v>
      </c>
      <c r="V15">
        <v>325</v>
      </c>
      <c r="W15">
        <v>245</v>
      </c>
      <c r="Y15" s="82">
        <v>25</v>
      </c>
      <c r="Z15" s="82">
        <v>6</v>
      </c>
      <c r="AB15">
        <v>245</v>
      </c>
      <c r="AC15" s="82">
        <v>325</v>
      </c>
    </row>
    <row r="16" spans="1:30" ht="15.75">
      <c r="A16" s="1">
        <v>12</v>
      </c>
      <c r="B16" s="1">
        <v>16</v>
      </c>
      <c r="C16" s="3" t="s">
        <v>44</v>
      </c>
      <c r="D16" s="3">
        <v>128</v>
      </c>
      <c r="E16" s="8" t="s">
        <v>23</v>
      </c>
      <c r="F16" s="9"/>
      <c r="J16" s="72"/>
      <c r="N16" s="58"/>
      <c r="O16" s="21"/>
      <c r="V16" s="36">
        <f>SUM(V14:V15)</f>
        <v>3247</v>
      </c>
      <c r="W16" s="86">
        <f>SUM(W14:W15)</f>
        <v>2362</v>
      </c>
      <c r="X16" t="s">
        <v>45</v>
      </c>
    </row>
    <row r="17" spans="1:30" ht="15.75">
      <c r="A17" s="1">
        <v>13</v>
      </c>
      <c r="B17" s="1">
        <v>17</v>
      </c>
      <c r="C17" s="3" t="s">
        <v>46</v>
      </c>
      <c r="D17" s="3">
        <v>111</v>
      </c>
      <c r="E17" s="8"/>
      <c r="F17" s="9"/>
      <c r="J17" s="72"/>
      <c r="N17" s="58"/>
      <c r="O17" s="21"/>
      <c r="W17" s="87" t="s">
        <v>47</v>
      </c>
    </row>
    <row r="18" spans="1:30" ht="15.75">
      <c r="A18" s="1">
        <v>14</v>
      </c>
      <c r="B18" s="71">
        <v>18</v>
      </c>
      <c r="C18" s="3" t="s">
        <v>48</v>
      </c>
      <c r="D18" s="3">
        <v>110</v>
      </c>
      <c r="E18" s="8"/>
      <c r="F18" s="9"/>
      <c r="G18" s="67"/>
      <c r="J18" s="72"/>
      <c r="N18" s="58"/>
      <c r="O18" s="21"/>
      <c r="W18" s="87" t="s">
        <v>49</v>
      </c>
    </row>
    <row r="19" spans="1:30" ht="15.75">
      <c r="A19" s="1"/>
      <c r="B19" s="14">
        <v>19</v>
      </c>
      <c r="C19" s="3"/>
      <c r="D19" s="3"/>
      <c r="E19" s="8" t="s">
        <v>50</v>
      </c>
      <c r="F19" s="3">
        <v>10</v>
      </c>
      <c r="J19" s="72"/>
      <c r="N19" s="58">
        <v>20</v>
      </c>
      <c r="O19" s="26" t="s">
        <v>51</v>
      </c>
      <c r="P19" s="41">
        <v>20</v>
      </c>
      <c r="R19">
        <v>20</v>
      </c>
      <c r="W19" s="87" t="s">
        <v>52</v>
      </c>
    </row>
    <row r="20" spans="1:30" ht="15.75">
      <c r="A20" s="10">
        <v>15</v>
      </c>
      <c r="B20" s="45">
        <v>20</v>
      </c>
      <c r="C20" s="12" t="s">
        <v>53</v>
      </c>
      <c r="D20" s="12">
        <v>135</v>
      </c>
      <c r="E20" s="11" t="s">
        <v>53</v>
      </c>
      <c r="F20" s="13">
        <v>11</v>
      </c>
      <c r="G20" s="47">
        <v>135</v>
      </c>
      <c r="I20" s="88">
        <v>8</v>
      </c>
      <c r="J20" s="74">
        <v>1</v>
      </c>
      <c r="K20" s="76">
        <v>44</v>
      </c>
      <c r="L20" s="82">
        <v>13</v>
      </c>
      <c r="N20" s="58">
        <v>6</v>
      </c>
      <c r="O20" s="21" t="s">
        <v>53</v>
      </c>
      <c r="P20" s="38">
        <v>6</v>
      </c>
      <c r="R20" s="82">
        <v>6</v>
      </c>
      <c r="Y20" s="82">
        <v>5</v>
      </c>
      <c r="Z20" s="82">
        <v>1</v>
      </c>
      <c r="AB20">
        <v>6</v>
      </c>
      <c r="AC20" s="82">
        <v>6</v>
      </c>
    </row>
    <row r="21" spans="1:30" ht="15.75">
      <c r="A21" s="1">
        <v>16</v>
      </c>
      <c r="B21" s="1">
        <v>21</v>
      </c>
      <c r="C21" s="3" t="s">
        <v>54</v>
      </c>
      <c r="D21" s="3">
        <v>118</v>
      </c>
      <c r="E21" s="8"/>
      <c r="F21" s="9"/>
      <c r="J21" s="72"/>
      <c r="N21" s="58"/>
      <c r="O21" s="21"/>
    </row>
    <row r="22" spans="1:30" ht="15.75">
      <c r="A22" s="1"/>
      <c r="B22" s="4"/>
      <c r="C22" s="3"/>
      <c r="D22" s="3"/>
      <c r="E22" s="8"/>
      <c r="F22" s="9"/>
      <c r="J22" s="72"/>
      <c r="N22" s="58"/>
      <c r="O22" s="21"/>
    </row>
    <row r="23" spans="1:30" ht="15.75">
      <c r="A23" s="1">
        <v>17</v>
      </c>
      <c r="B23" s="1">
        <v>23</v>
      </c>
      <c r="C23" s="3" t="s">
        <v>55</v>
      </c>
      <c r="D23" s="3">
        <v>112</v>
      </c>
      <c r="E23" s="8"/>
      <c r="F23" s="9"/>
      <c r="J23" s="72"/>
      <c r="N23" s="58"/>
      <c r="O23" s="21"/>
    </row>
    <row r="24" spans="1:30" ht="15.75">
      <c r="A24" s="1"/>
      <c r="B24" s="4"/>
      <c r="C24" s="3"/>
      <c r="D24" s="3"/>
      <c r="E24" s="8"/>
      <c r="F24" s="9"/>
      <c r="J24" s="73">
        <v>10</v>
      </c>
      <c r="N24" s="58"/>
      <c r="O24" s="21"/>
    </row>
    <row r="25" spans="1:30" ht="15.75">
      <c r="A25" s="1"/>
      <c r="B25" s="4"/>
      <c r="C25" s="3"/>
      <c r="D25" s="3"/>
      <c r="E25" s="8"/>
      <c r="F25" s="9"/>
      <c r="J25" s="73"/>
      <c r="N25" s="58"/>
      <c r="O25" s="21"/>
    </row>
    <row r="26" spans="1:30" ht="15.75">
      <c r="A26" s="10">
        <v>18</v>
      </c>
      <c r="B26" s="45">
        <v>26</v>
      </c>
      <c r="C26" s="12" t="s">
        <v>56</v>
      </c>
      <c r="D26" s="12">
        <v>227</v>
      </c>
      <c r="E26" s="11" t="s">
        <v>56</v>
      </c>
      <c r="F26" s="13">
        <v>12</v>
      </c>
      <c r="G26" s="47">
        <v>227</v>
      </c>
      <c r="H26" s="47">
        <f>SUM(G12:G26)</f>
        <v>572</v>
      </c>
      <c r="I26" s="90">
        <v>9</v>
      </c>
      <c r="J26" s="75"/>
      <c r="K26" s="76">
        <v>19</v>
      </c>
      <c r="L26" s="82">
        <v>4</v>
      </c>
      <c r="M26" s="83">
        <f>SUM(L12:L26)</f>
        <v>36</v>
      </c>
      <c r="N26" s="58">
        <v>11</v>
      </c>
      <c r="O26" s="26" t="s">
        <v>57</v>
      </c>
      <c r="P26" s="42">
        <v>11</v>
      </c>
      <c r="R26" s="82">
        <v>11</v>
      </c>
      <c r="T26" s="76">
        <v>8</v>
      </c>
      <c r="X26">
        <f>SUM(Y12:Y26)</f>
        <v>54</v>
      </c>
      <c r="Y26" s="82">
        <v>3</v>
      </c>
      <c r="Z26" s="82">
        <v>1</v>
      </c>
      <c r="AA26" s="82">
        <f>SUM(Z12:Z26)</f>
        <v>13</v>
      </c>
      <c r="AB26">
        <v>11</v>
      </c>
      <c r="AC26" s="82">
        <v>11</v>
      </c>
      <c r="AD26" s="82">
        <f>SUM(AC12:AC26)</f>
        <v>645</v>
      </c>
    </row>
    <row r="27" spans="1:30" ht="15.75">
      <c r="A27" s="1"/>
      <c r="B27" s="14">
        <v>27</v>
      </c>
      <c r="C27" s="3"/>
      <c r="D27" s="3"/>
      <c r="E27" s="1" t="s">
        <v>58</v>
      </c>
      <c r="F27" s="3">
        <v>13</v>
      </c>
      <c r="G27">
        <v>93</v>
      </c>
      <c r="H27" s="46">
        <f>SUM(G2:G26)</f>
        <v>1496</v>
      </c>
      <c r="J27" s="84">
        <f>SUM(K2:K26)</f>
        <v>404</v>
      </c>
      <c r="M27" s="76">
        <f>SUM(L2:L26)</f>
        <v>99</v>
      </c>
      <c r="N27" s="58">
        <v>11</v>
      </c>
      <c r="O27" s="33" t="s">
        <v>59</v>
      </c>
      <c r="P27" s="33">
        <v>252</v>
      </c>
      <c r="Q27" s="29" t="s">
        <v>60</v>
      </c>
      <c r="R27">
        <v>292</v>
      </c>
      <c r="S27">
        <v>1</v>
      </c>
      <c r="X27">
        <v>120</v>
      </c>
      <c r="AA27">
        <f>SUM(AA11:AA26)</f>
        <v>31</v>
      </c>
      <c r="AB27">
        <f>SUM(AB2:AB26)</f>
        <v>1018</v>
      </c>
      <c r="AD27">
        <f>SUM(AD11:AD26)</f>
        <v>1338</v>
      </c>
    </row>
    <row r="28" spans="1:30" ht="15.75">
      <c r="A28" s="1"/>
      <c r="B28" s="14">
        <v>28</v>
      </c>
      <c r="C28" s="3"/>
      <c r="D28" s="3"/>
      <c r="E28" s="1" t="s">
        <v>61</v>
      </c>
      <c r="F28" s="3">
        <v>14</v>
      </c>
      <c r="G28" s="54">
        <v>88</v>
      </c>
      <c r="J28" s="84">
        <v>414</v>
      </c>
      <c r="N28" s="58">
        <v>11</v>
      </c>
      <c r="O28" s="21" t="s">
        <v>57</v>
      </c>
      <c r="P28" s="38">
        <v>11</v>
      </c>
      <c r="R28">
        <v>11</v>
      </c>
      <c r="X28" s="76">
        <v>8</v>
      </c>
    </row>
    <row r="29" spans="1:30" ht="15.75">
      <c r="A29" s="1"/>
      <c r="B29" s="14">
        <v>29</v>
      </c>
      <c r="C29" s="3"/>
      <c r="D29" s="3"/>
      <c r="E29" s="8" t="s">
        <v>62</v>
      </c>
      <c r="F29" s="3">
        <v>15</v>
      </c>
      <c r="G29">
        <v>69</v>
      </c>
      <c r="N29" s="58">
        <v>44</v>
      </c>
      <c r="O29" s="21" t="s">
        <v>19</v>
      </c>
      <c r="P29" s="38">
        <v>7</v>
      </c>
      <c r="R29">
        <v>7</v>
      </c>
      <c r="X29" s="46">
        <v>128</v>
      </c>
    </row>
    <row r="30" spans="1:30" ht="15.75">
      <c r="A30" s="1"/>
      <c r="B30" s="14">
        <v>30</v>
      </c>
      <c r="C30" s="3"/>
      <c r="D30" s="3"/>
      <c r="E30" s="8" t="s">
        <v>63</v>
      </c>
      <c r="F30" s="3">
        <v>16</v>
      </c>
      <c r="G30">
        <v>60</v>
      </c>
      <c r="N30" s="58">
        <v>44</v>
      </c>
      <c r="O30" s="21" t="s">
        <v>19</v>
      </c>
      <c r="P30" s="38">
        <v>7</v>
      </c>
      <c r="R30">
        <v>7</v>
      </c>
    </row>
    <row r="31" spans="1:30" ht="15.75">
      <c r="A31" s="1"/>
      <c r="B31" s="14">
        <v>31</v>
      </c>
      <c r="C31" s="3"/>
      <c r="D31" s="3"/>
      <c r="E31" s="8" t="s">
        <v>64</v>
      </c>
      <c r="F31" s="3">
        <v>17</v>
      </c>
      <c r="G31">
        <v>34</v>
      </c>
      <c r="N31" s="58">
        <v>44</v>
      </c>
      <c r="O31" s="21" t="s">
        <v>19</v>
      </c>
      <c r="P31" s="38">
        <v>7</v>
      </c>
      <c r="R31">
        <v>7</v>
      </c>
    </row>
    <row r="32" spans="1:30" ht="15.75">
      <c r="A32" s="1"/>
      <c r="B32" s="14">
        <v>32</v>
      </c>
      <c r="C32" s="3"/>
      <c r="D32" s="3"/>
      <c r="E32" s="8" t="s">
        <v>65</v>
      </c>
      <c r="F32" s="3">
        <v>18</v>
      </c>
      <c r="G32">
        <v>30</v>
      </c>
      <c r="N32" s="58">
        <v>44</v>
      </c>
      <c r="O32" s="21" t="s">
        <v>19</v>
      </c>
      <c r="P32" s="38">
        <v>7</v>
      </c>
      <c r="R32">
        <v>7</v>
      </c>
    </row>
    <row r="33" spans="1:18" ht="15.75">
      <c r="A33" s="1"/>
      <c r="B33" s="4"/>
      <c r="C33" s="3"/>
      <c r="D33" s="3"/>
      <c r="E33" s="8"/>
      <c r="F33" s="9"/>
      <c r="N33" s="58">
        <v>44</v>
      </c>
      <c r="O33" s="21" t="s">
        <v>19</v>
      </c>
      <c r="P33" s="38">
        <v>7</v>
      </c>
      <c r="R33">
        <v>7</v>
      </c>
    </row>
    <row r="34" spans="1:18" ht="15.75">
      <c r="A34" s="1"/>
      <c r="B34" s="4"/>
      <c r="C34" s="3"/>
      <c r="D34" s="3"/>
      <c r="E34" s="8"/>
      <c r="F34" s="9"/>
      <c r="N34" s="58"/>
      <c r="O34" s="21" t="s">
        <v>23</v>
      </c>
    </row>
    <row r="35" spans="1:18" ht="15.75">
      <c r="A35" s="1"/>
      <c r="B35" s="4"/>
      <c r="C35" s="3"/>
      <c r="D35" s="3"/>
      <c r="E35" s="8"/>
      <c r="F35" s="9"/>
      <c r="K35" t="s">
        <v>23</v>
      </c>
      <c r="L35" t="s">
        <v>23</v>
      </c>
      <c r="N35" s="58"/>
      <c r="O35" s="21"/>
    </row>
    <row r="36" spans="1:18" ht="15.75">
      <c r="A36" s="1"/>
      <c r="B36" s="14">
        <v>36</v>
      </c>
      <c r="C36" s="3"/>
      <c r="D36" s="3"/>
      <c r="E36" s="8" t="s">
        <v>66</v>
      </c>
      <c r="F36" s="15">
        <v>19</v>
      </c>
      <c r="G36">
        <v>83</v>
      </c>
      <c r="N36" s="58">
        <v>21</v>
      </c>
      <c r="O36" s="28" t="s">
        <v>66</v>
      </c>
      <c r="P36" s="38">
        <v>21</v>
      </c>
      <c r="R36">
        <v>21</v>
      </c>
    </row>
    <row r="37" spans="1:18" ht="15.75">
      <c r="A37" s="16">
        <v>19</v>
      </c>
      <c r="B37" s="71">
        <v>37</v>
      </c>
      <c r="C37" s="68" t="s">
        <v>67</v>
      </c>
      <c r="D37" s="68">
        <v>182</v>
      </c>
      <c r="E37" s="9"/>
      <c r="F37" s="9"/>
      <c r="G37" s="67"/>
      <c r="H37" s="17">
        <f>SUM(C39:E39)</f>
        <v>2001</v>
      </c>
      <c r="I37" s="17"/>
      <c r="N37" s="58"/>
      <c r="O37" s="21"/>
    </row>
    <row r="38" spans="1:18" ht="18.75">
      <c r="A38">
        <v>91</v>
      </c>
      <c r="B38" s="46">
        <v>171</v>
      </c>
      <c r="C38" s="4">
        <v>262</v>
      </c>
      <c r="D38" s="70">
        <f>SUM(D4:D37)</f>
        <v>2361</v>
      </c>
      <c r="E38" s="4">
        <v>365</v>
      </c>
      <c r="H38" s="18">
        <f>SUM(H26:H37)</f>
        <v>4069</v>
      </c>
      <c r="I38" s="18"/>
      <c r="J38" s="22">
        <v>20</v>
      </c>
      <c r="K38" s="22">
        <v>38</v>
      </c>
      <c r="L38" s="22" t="s">
        <v>68</v>
      </c>
      <c r="M38" s="22">
        <v>88</v>
      </c>
      <c r="N38" s="58">
        <v>1</v>
      </c>
      <c r="O38" s="27" t="s">
        <v>68</v>
      </c>
      <c r="P38" s="22">
        <v>170</v>
      </c>
      <c r="Q38" s="29" t="s">
        <v>69</v>
      </c>
      <c r="R38">
        <v>170</v>
      </c>
    </row>
    <row r="39" spans="1:18" ht="15.75">
      <c r="A39">
        <v>9</v>
      </c>
      <c r="B39" s="50" t="s">
        <v>70</v>
      </c>
      <c r="C39">
        <v>1351</v>
      </c>
      <c r="E39">
        <v>650</v>
      </c>
      <c r="F39" t="s">
        <v>71</v>
      </c>
      <c r="G39">
        <f>SUM(G2:G38)</f>
        <v>1953</v>
      </c>
      <c r="H39" t="s">
        <v>72</v>
      </c>
      <c r="J39" s="14" t="s">
        <v>0</v>
      </c>
      <c r="K39" s="14" t="s">
        <v>1</v>
      </c>
      <c r="L39" s="14" t="s">
        <v>73</v>
      </c>
      <c r="M39" s="14" t="s">
        <v>3</v>
      </c>
      <c r="N39" s="58"/>
      <c r="O39" s="21"/>
    </row>
    <row r="40" spans="1:18" ht="15.75">
      <c r="A40" s="49">
        <v>1435</v>
      </c>
      <c r="B40" s="48">
        <v>1412</v>
      </c>
      <c r="C40" s="21">
        <v>2847</v>
      </c>
      <c r="D40" s="21"/>
      <c r="E40" s="19">
        <v>1861</v>
      </c>
      <c r="F40" t="s">
        <v>74</v>
      </c>
      <c r="G40" s="36">
        <v>412</v>
      </c>
      <c r="J40" s="23">
        <v>21</v>
      </c>
      <c r="K40" s="23">
        <v>40</v>
      </c>
      <c r="L40" s="24" t="s">
        <v>75</v>
      </c>
      <c r="M40" s="23">
        <v>85</v>
      </c>
      <c r="N40" s="58">
        <v>7</v>
      </c>
      <c r="O40" s="25" t="s">
        <v>74</v>
      </c>
      <c r="P40" s="38">
        <v>7</v>
      </c>
      <c r="R40">
        <v>7</v>
      </c>
    </row>
    <row r="41" spans="1:18" ht="15.75">
      <c r="B41" s="52">
        <v>979</v>
      </c>
      <c r="C41" t="s">
        <v>76</v>
      </c>
      <c r="F41" t="s">
        <v>77</v>
      </c>
      <c r="G41" s="49">
        <v>97</v>
      </c>
      <c r="J41" s="23">
        <v>22</v>
      </c>
      <c r="K41" s="23">
        <v>41</v>
      </c>
      <c r="L41" s="24" t="s">
        <v>78</v>
      </c>
      <c r="M41" s="23">
        <v>54</v>
      </c>
      <c r="N41" s="58">
        <v>7</v>
      </c>
      <c r="O41" s="25" t="s">
        <v>74</v>
      </c>
      <c r="P41" s="38">
        <v>7</v>
      </c>
      <c r="R41">
        <v>7</v>
      </c>
    </row>
    <row r="42" spans="1:18" ht="15.75">
      <c r="B42">
        <v>433</v>
      </c>
      <c r="C42">
        <v>4</v>
      </c>
      <c r="G42" s="69">
        <f>SUM(G39:G41)</f>
        <v>2462</v>
      </c>
      <c r="H42" t="s">
        <v>79</v>
      </c>
      <c r="J42" s="23">
        <v>23</v>
      </c>
      <c r="K42" s="23">
        <v>42</v>
      </c>
      <c r="L42" s="24" t="s">
        <v>80</v>
      </c>
      <c r="M42" s="23">
        <v>53</v>
      </c>
      <c r="N42" s="58">
        <v>7</v>
      </c>
      <c r="O42" s="25" t="s">
        <v>74</v>
      </c>
      <c r="P42" s="38">
        <v>7</v>
      </c>
      <c r="Q42" s="62" t="s">
        <v>81</v>
      </c>
      <c r="R42">
        <v>7</v>
      </c>
    </row>
    <row r="43" spans="1:18" ht="15.75">
      <c r="F43" t="s">
        <v>68</v>
      </c>
      <c r="G43" s="54">
        <v>88</v>
      </c>
      <c r="J43" s="23">
        <v>24</v>
      </c>
      <c r="K43" s="23">
        <v>43</v>
      </c>
      <c r="L43" s="24" t="s">
        <v>82</v>
      </c>
      <c r="M43" s="23">
        <v>89</v>
      </c>
      <c r="N43" s="58">
        <v>7</v>
      </c>
      <c r="O43" s="25" t="s">
        <v>74</v>
      </c>
      <c r="P43" s="38">
        <v>7</v>
      </c>
      <c r="R43">
        <v>7</v>
      </c>
    </row>
    <row r="44" spans="1:18" ht="15.75">
      <c r="A44" s="51"/>
      <c r="F44" t="s">
        <v>83</v>
      </c>
      <c r="G44">
        <v>193</v>
      </c>
      <c r="J44" s="23">
        <v>25</v>
      </c>
      <c r="K44" s="23">
        <v>44</v>
      </c>
      <c r="L44" s="24" t="s">
        <v>84</v>
      </c>
      <c r="M44" s="23">
        <v>59</v>
      </c>
      <c r="N44" s="58">
        <v>7</v>
      </c>
      <c r="O44" s="25" t="s">
        <v>74</v>
      </c>
      <c r="P44" s="38">
        <v>7</v>
      </c>
      <c r="R44">
        <v>7</v>
      </c>
    </row>
    <row r="45" spans="1:18" ht="15.75">
      <c r="G45" s="80">
        <f>SUM(G42:G44)</f>
        <v>2743</v>
      </c>
      <c r="H45" t="s">
        <v>85</v>
      </c>
      <c r="J45" s="23">
        <v>26</v>
      </c>
      <c r="K45" s="23">
        <v>45</v>
      </c>
      <c r="L45" s="24" t="s">
        <v>86</v>
      </c>
      <c r="M45" s="23">
        <v>37</v>
      </c>
      <c r="N45" s="58">
        <v>7</v>
      </c>
      <c r="O45" s="25" t="s">
        <v>74</v>
      </c>
      <c r="P45" s="38">
        <v>7</v>
      </c>
      <c r="R45">
        <v>7</v>
      </c>
    </row>
    <row r="46" spans="1:18" ht="15.75">
      <c r="J46" s="23">
        <v>27</v>
      </c>
      <c r="K46" s="23">
        <v>46</v>
      </c>
      <c r="L46" s="24" t="s">
        <v>87</v>
      </c>
      <c r="M46" s="23">
        <v>35</v>
      </c>
      <c r="N46" s="58">
        <v>7</v>
      </c>
      <c r="O46" s="25" t="s">
        <v>74</v>
      </c>
      <c r="P46" s="38">
        <v>7</v>
      </c>
      <c r="R46">
        <v>7</v>
      </c>
    </row>
    <row r="47" spans="1:18" ht="15.75">
      <c r="J47" s="14">
        <f>SUM(J40:J46)</f>
        <v>168</v>
      </c>
      <c r="K47" s="14">
        <f>SUM(K40:K46)</f>
        <v>301</v>
      </c>
      <c r="L47" s="14">
        <v>7</v>
      </c>
      <c r="M47" s="14">
        <f>SUM(M40:M46)</f>
        <v>412</v>
      </c>
      <c r="N47" s="58"/>
      <c r="O47" s="21"/>
    </row>
    <row r="48" spans="1:18">
      <c r="J48" s="21"/>
      <c r="N48" s="58"/>
      <c r="O48" s="21"/>
    </row>
    <row r="49" spans="6:21">
      <c r="J49" s="21"/>
      <c r="N49" s="58"/>
      <c r="O49" s="21"/>
    </row>
    <row r="50" spans="6:21" ht="15.75">
      <c r="J50" s="8">
        <v>28</v>
      </c>
      <c r="K50" s="8">
        <v>50</v>
      </c>
      <c r="L50" s="8" t="s">
        <v>88</v>
      </c>
      <c r="M50" s="8">
        <v>45</v>
      </c>
      <c r="N50" s="58">
        <v>8</v>
      </c>
      <c r="O50" s="33" t="s">
        <v>88</v>
      </c>
      <c r="P50" s="8">
        <v>176</v>
      </c>
      <c r="Q50" s="29" t="s">
        <v>89</v>
      </c>
      <c r="R50">
        <v>176</v>
      </c>
    </row>
    <row r="51" spans="6:21" ht="15.75">
      <c r="J51" s="8">
        <v>29</v>
      </c>
      <c r="K51" s="8">
        <v>68</v>
      </c>
      <c r="L51" s="8" t="s">
        <v>90</v>
      </c>
      <c r="M51" s="8">
        <v>52</v>
      </c>
      <c r="N51" s="58">
        <v>1</v>
      </c>
      <c r="O51" s="33" t="s">
        <v>91</v>
      </c>
      <c r="P51" s="8">
        <v>170</v>
      </c>
      <c r="Q51" s="29" t="s">
        <v>92</v>
      </c>
      <c r="R51">
        <v>170</v>
      </c>
    </row>
    <row r="52" spans="6:21" ht="15.75">
      <c r="F52" t="s">
        <v>23</v>
      </c>
      <c r="G52" s="81">
        <v>3493</v>
      </c>
      <c r="H52" t="s">
        <v>93</v>
      </c>
      <c r="J52" s="8">
        <f>SUM(J50:J51)</f>
        <v>57</v>
      </c>
      <c r="K52" s="8">
        <f>SUM(K50:K51)</f>
        <v>118</v>
      </c>
      <c r="L52" s="8">
        <v>2</v>
      </c>
      <c r="M52" s="8">
        <f>SUM(M50:M51)</f>
        <v>97</v>
      </c>
      <c r="N52" s="59">
        <f>SUM(N2:N51)</f>
        <v>757</v>
      </c>
      <c r="O52" s="55">
        <v>29</v>
      </c>
      <c r="P52" s="44">
        <f>SUM(P2:P51)</f>
        <v>3283</v>
      </c>
      <c r="R52">
        <f>SUM(R2:R51)</f>
        <v>3883</v>
      </c>
      <c r="S52" s="36">
        <f>SUM(S2:S51)</f>
        <v>15</v>
      </c>
      <c r="T52" s="43">
        <v>1</v>
      </c>
      <c r="U52" s="14">
        <v>3909</v>
      </c>
    </row>
    <row r="53" spans="6:21">
      <c r="G53" s="79">
        <v>3774</v>
      </c>
      <c r="H53" t="s">
        <v>94</v>
      </c>
      <c r="J53" s="21"/>
      <c r="M53" s="65"/>
      <c r="N53">
        <v>471</v>
      </c>
      <c r="O53">
        <v>19</v>
      </c>
    </row>
    <row r="54" spans="6:21">
      <c r="G54" s="78">
        <v>6236</v>
      </c>
      <c r="J54" s="21"/>
      <c r="N54" s="56">
        <v>286</v>
      </c>
      <c r="O54">
        <v>10</v>
      </c>
    </row>
    <row r="55" spans="6:21">
      <c r="J55" s="21"/>
      <c r="N55" s="61">
        <v>17</v>
      </c>
      <c r="O55" s="60" t="s">
        <v>81</v>
      </c>
    </row>
    <row r="56" spans="6:21">
      <c r="J56" s="21"/>
      <c r="N56" s="91">
        <v>774</v>
      </c>
      <c r="O56" s="55"/>
    </row>
    <row r="57" spans="6:21">
      <c r="J57" s="21"/>
    </row>
    <row r="58" spans="6:21">
      <c r="J58" s="21"/>
      <c r="N58" s="49"/>
    </row>
    <row r="59" spans="6:21">
      <c r="J59" s="21"/>
    </row>
    <row r="60" spans="6:21">
      <c r="J60" s="21"/>
    </row>
    <row r="61" spans="6:21">
      <c r="J61" s="21"/>
    </row>
    <row r="62" spans="6:21">
      <c r="J62" s="21"/>
    </row>
    <row r="63" spans="6:21">
      <c r="J63" s="21"/>
    </row>
    <row r="64" spans="6:21">
      <c r="J64" s="21"/>
    </row>
    <row r="65" spans="10:10">
      <c r="J65" s="21"/>
    </row>
    <row r="66" spans="10:10">
      <c r="J66" s="21"/>
    </row>
    <row r="67" spans="10:10">
      <c r="J67" s="21"/>
    </row>
    <row r="68" spans="10:10">
      <c r="J68" s="21"/>
    </row>
  </sheetData>
  <hyperlinks>
    <hyperlink ref="W17" r:id="rId1" display="https://oeis.org/A138993" xr:uid="{00000000-0004-0000-0000-000000000000}"/>
    <hyperlink ref="W18" r:id="rId2" display="https://oeis.org/A175552" xr:uid="{00000000-0004-0000-0000-000001000000}"/>
    <hyperlink ref="W19" r:id="rId3" display="https://oeis.org/A27519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cp:keywords/>
  <dc:description/>
  <cp:lastModifiedBy/>
  <cp:revision/>
  <dcterms:created xsi:type="dcterms:W3CDTF">2015-07-23T14:41:45Z</dcterms:created>
  <dcterms:modified xsi:type="dcterms:W3CDTF">2026-10-01T11:24:40Z</dcterms:modified>
  <cp:category/>
  <cp:contentStatus/>
</cp:coreProperties>
</file>