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 matrix" sheetId="1" state="visible" r:id="rId3"/>
    <sheet name="Summary" sheetId="2" state="visible" r:id="rId4"/>
    <sheet name="Names (99)" sheetId="3" state="visible" r:id="rId5"/>
    <sheet name="Minors" sheetId="4" state="visible" r:id="rId6"/>
    <sheet name="Link to large pla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<sst xmlns="http://schemas.openxmlformats.org/spreadsheetml/2006/main" count="271" uniqueCount="164">
  <si>
    <t xml:space="preserve">Even-lines test: 5 even D-groups as candidate rows over the 11 even lines (entry = sum of the dynamic values on that line)</t>
  </si>
  <si>
    <t xml:space="preserve">Line</t>
  </si>
  <si>
    <t xml:space="preserve">Total</t>
  </si>
  <si>
    <t xml:space="preserve">D-group of the line</t>
  </si>
  <si>
    <t xml:space="preserve">Names on the line</t>
  </si>
  <si>
    <t xml:space="preserve">Rising names on the line</t>
  </si>
  <si>
    <t xml:space="preserve">Dynamic sum on the line</t>
  </si>
  <si>
    <t xml:space="preserve">Candidate rows (one per even D-group; zero outside its own lines)</t>
  </si>
  <si>
    <t xml:space="preserve">Grand total</t>
  </si>
  <si>
    <t xml:space="preserve">D2</t>
  </si>
  <si>
    <t xml:space="preserve">D4</t>
  </si>
  <si>
    <t xml:space="preserve">D6</t>
  </si>
  <si>
    <t xml:space="preserve">D8</t>
  </si>
  <si>
    <t xml:space="preserve">D10</t>
  </si>
  <si>
    <t xml:space="preserve">Lines in each group (nonzero entries)</t>
  </si>
  <si>
    <t xml:space="preserve">Link to the large plane: S4 folded to D-groups</t>
  </si>
  <si>
    <t xml:space="preserve">(equals the S4 row of the 4x11 matrix: 1,542 | 577 | 604 | 4,135 | 1,702; the five rows sum to that S4 line by line)</t>
  </si>
  <si>
    <t xml:space="preserve">Even-lines test: summary for each choice of 4 of the 5 even groups</t>
  </si>
  <si>
    <t xml:space="preserve">Rows used</t>
  </si>
  <si>
    <t xml:space="preserve">Nonzero of 330</t>
  </si>
  <si>
    <t xml:space="preserve">Positive</t>
  </si>
  <si>
    <t xml:space="preserve">Negative</t>
  </si>
  <si>
    <t xml:space="preserve">Predicted nonzero (product of line counts)</t>
  </si>
  <si>
    <t xml:space="preserve">Zero</t>
  </si>
  <si>
    <t xml:space="preserve">Lies in Gr&gt;=0(4,11)?</t>
  </si>
  <si>
    <t xml:space="preserve">Cell dimension (sum of line counts - 4)</t>
  </si>
  <si>
    <t xml:space="preserve">D-groups without D2</t>
  </si>
  <si>
    <t xml:space="preserve">D-groups without D4</t>
  </si>
  <si>
    <t xml:space="preserve">D-groups without D6</t>
  </si>
  <si>
    <t xml:space="preserve">D-groups without D8</t>
  </si>
  <si>
    <t xml:space="preserve">D-groups without D10</t>
  </si>
  <si>
    <t xml:space="preserve">Reading: each row occupies its own block of lines, so a coordinate is nonzero only when it takes exactly one line from each chosen group; it is then a plain product of four entries. All such coordinates are positive, so the plane lies in the nonnegative Grassmannian, in a small positroid cell (dimension 2 to 6 of 28).</t>
  </si>
  <si>
    <t xml:space="preserve">Block</t>
  </si>
  <si>
    <t xml:space="preserve">#</t>
  </si>
  <si>
    <t xml:space="preserve">Name</t>
  </si>
  <si>
    <t xml:space="preserve">Static value</t>
  </si>
  <si>
    <t xml:space="preserve">Dynamic value</t>
  </si>
  <si>
    <t xml:space="preserve">Rising (1/0)</t>
  </si>
  <si>
    <t xml:space="preserve">Line (blue cell)</t>
  </si>
  <si>
    <t xml:space="preserve">Column (1-9)</t>
  </si>
  <si>
    <t xml:space="preserve">Blue cell value</t>
  </si>
  <si>
    <t xml:space="preserve">D-group</t>
  </si>
  <si>
    <t xml:space="preserve">L</t>
  </si>
  <si>
    <t xml:space="preserve">المخرج</t>
  </si>
  <si>
    <t xml:space="preserve">الصمد</t>
  </si>
  <si>
    <t xml:space="preserve">Y</t>
  </si>
  <si>
    <t xml:space="preserve">البر</t>
  </si>
  <si>
    <t xml:space="preserve">N</t>
  </si>
  <si>
    <t xml:space="preserve">الملك</t>
  </si>
  <si>
    <t xml:space="preserve">الله</t>
  </si>
  <si>
    <t xml:space="preserve">المتكبر</t>
  </si>
  <si>
    <t xml:space="preserve">الحكم</t>
  </si>
  <si>
    <t xml:space="preserve">المقتدر</t>
  </si>
  <si>
    <t xml:space="preserve">المجيد</t>
  </si>
  <si>
    <t xml:space="preserve">الغنى</t>
  </si>
  <si>
    <t xml:space="preserve">الحق</t>
  </si>
  <si>
    <t xml:space="preserve">الكريم</t>
  </si>
  <si>
    <t xml:space="preserve">العزيز</t>
  </si>
  <si>
    <t xml:space="preserve">الخبير</t>
  </si>
  <si>
    <t xml:space="preserve">العظيم</t>
  </si>
  <si>
    <t xml:space="preserve">الشهيد</t>
  </si>
  <si>
    <t xml:space="preserve">النصير</t>
  </si>
  <si>
    <t xml:space="preserve">المجيب</t>
  </si>
  <si>
    <t xml:space="preserve">المهيمن</t>
  </si>
  <si>
    <t xml:space="preserve">البصير</t>
  </si>
  <si>
    <t xml:space="preserve">الكبير</t>
  </si>
  <si>
    <t xml:space="preserve">الرؤف</t>
  </si>
  <si>
    <t xml:space="preserve">الغفور</t>
  </si>
  <si>
    <t xml:space="preserve">المصور</t>
  </si>
  <si>
    <t xml:space="preserve">الشكور</t>
  </si>
  <si>
    <t xml:space="preserve">المؤمن</t>
  </si>
  <si>
    <t xml:space="preserve">المتين</t>
  </si>
  <si>
    <t xml:space="preserve">الكفيل</t>
  </si>
  <si>
    <t xml:space="preserve">المليك</t>
  </si>
  <si>
    <t xml:space="preserve">العفو</t>
  </si>
  <si>
    <t xml:space="preserve">العليم</t>
  </si>
  <si>
    <t xml:space="preserve">العلى</t>
  </si>
  <si>
    <t xml:space="preserve">الحميد</t>
  </si>
  <si>
    <t xml:space="preserve">الحى</t>
  </si>
  <si>
    <t xml:space="preserve">الحفيظ</t>
  </si>
  <si>
    <t xml:space="preserve">الرحيم</t>
  </si>
  <si>
    <t xml:space="preserve">الحفى</t>
  </si>
  <si>
    <t xml:space="preserve">اللطيف</t>
  </si>
  <si>
    <t xml:space="preserve">الحكيم</t>
  </si>
  <si>
    <t xml:space="preserve">القدير</t>
  </si>
  <si>
    <t xml:space="preserve">السميع</t>
  </si>
  <si>
    <t xml:space="preserve">القريب</t>
  </si>
  <si>
    <t xml:space="preserve">الرقيب</t>
  </si>
  <si>
    <t xml:space="preserve">المحيط</t>
  </si>
  <si>
    <t xml:space="preserve">الحليم</t>
  </si>
  <si>
    <t xml:space="preserve">المقيت</t>
  </si>
  <si>
    <t xml:space="preserve">الحسيب</t>
  </si>
  <si>
    <t xml:space="preserve">القدوس</t>
  </si>
  <si>
    <t xml:space="preserve">الودود</t>
  </si>
  <si>
    <t xml:space="preserve">المحيى</t>
  </si>
  <si>
    <t xml:space="preserve">الولى</t>
  </si>
  <si>
    <t xml:space="preserve">المولى</t>
  </si>
  <si>
    <t xml:space="preserve">الوكيل</t>
  </si>
  <si>
    <t xml:space="preserve">القيوم</t>
  </si>
  <si>
    <t xml:space="preserve">القوى</t>
  </si>
  <si>
    <t xml:space="preserve">الاخر</t>
  </si>
  <si>
    <t xml:space="preserve">الغف ا ر</t>
  </si>
  <si>
    <t xml:space="preserve">كاشف الضر</t>
  </si>
  <si>
    <t xml:space="preserve">الاكرم</t>
  </si>
  <si>
    <t xml:space="preserve">الشاكر</t>
  </si>
  <si>
    <t xml:space="preserve">الظ اهر</t>
  </si>
  <si>
    <t xml:space="preserve">الجبار</t>
  </si>
  <si>
    <t xml:space="preserve">غافر الذنب</t>
  </si>
  <si>
    <t xml:space="preserve">ب الغ امره</t>
  </si>
  <si>
    <t xml:space="preserve">الغالب</t>
  </si>
  <si>
    <t xml:space="preserve">الباطن</t>
  </si>
  <si>
    <t xml:space="preserve">الاحد</t>
  </si>
  <si>
    <t xml:space="preserve">القادر</t>
  </si>
  <si>
    <t xml:space="preserve">الرزاق</t>
  </si>
  <si>
    <t xml:space="preserve">الرحمن</t>
  </si>
  <si>
    <t xml:space="preserve">القاهر</t>
  </si>
  <si>
    <t xml:space="preserve">القهار</t>
  </si>
  <si>
    <t xml:space="preserve">المتعال</t>
  </si>
  <si>
    <t xml:space="preserve">م الك الملك</t>
  </si>
  <si>
    <t xml:space="preserve">الفتاح</t>
  </si>
  <si>
    <t xml:space="preserve">السل ا م</t>
  </si>
  <si>
    <t xml:space="preserve">الخ الق</t>
  </si>
  <si>
    <t xml:space="preserve">الخل ا ق</t>
  </si>
  <si>
    <t xml:space="preserve">المستعان</t>
  </si>
  <si>
    <t xml:space="preserve">البارئ</t>
  </si>
  <si>
    <t xml:space="preserve">الهادى</t>
  </si>
  <si>
    <t xml:space="preserve">رفيع الدرج ات</t>
  </si>
  <si>
    <t xml:space="preserve">الاعلى</t>
  </si>
  <si>
    <t xml:space="preserve">الوهاب</t>
  </si>
  <si>
    <t xml:space="preserve">الاول</t>
  </si>
  <si>
    <t xml:space="preserve">التواب</t>
  </si>
  <si>
    <t xml:space="preserve">الواحد</t>
  </si>
  <si>
    <t xml:space="preserve">الواسع</t>
  </si>
  <si>
    <t xml:space="preserve">فعال لما يريد</t>
  </si>
  <si>
    <t xml:space="preserve">الوالى</t>
  </si>
  <si>
    <t xml:space="preserve">قابل التوب</t>
  </si>
  <si>
    <t xml:space="preserve">عل ام الغيوب</t>
  </si>
  <si>
    <t xml:space="preserve">جامع الناس</t>
  </si>
  <si>
    <t xml:space="preserve">القائم بالقسط</t>
  </si>
  <si>
    <t xml:space="preserve">فالق الاصباح</t>
  </si>
  <si>
    <t xml:space="preserve">الاخذ بالناصية</t>
  </si>
  <si>
    <t xml:space="preserve">علم الغيب و الشهده</t>
  </si>
  <si>
    <t xml:space="preserve">بديع السم ا وات و الارض</t>
  </si>
  <si>
    <t xml:space="preserve">فاطر السموت و الارض</t>
  </si>
  <si>
    <t xml:space="preserve">Totals</t>
  </si>
  <si>
    <t xml:space="preserve">Dynamic names placed on the 99 even-line cells in ascending dynamic value (ties L&gt;N&gt;Y), starting at cell 136 (line 12, column 1). Blue = inputs from the model rules.</t>
  </si>
  <si>
    <t xml:space="preserve">All 330 Plucker coordinates (4 of the 11 even lines) for each choice of 4 rows. Exact integers computed outside Excel.</t>
  </si>
  <si>
    <t xml:space="preserve">line a</t>
  </si>
  <si>
    <t xml:space="preserve">line b</t>
  </si>
  <si>
    <t xml:space="preserve">line c</t>
  </si>
  <si>
    <t xml:space="preserve">line d</t>
  </si>
  <si>
    <t xml:space="preserve">rows without D2</t>
  </si>
  <si>
    <t xml:space="preserve">rows without D4</t>
  </si>
  <si>
    <t xml:space="preserve">rows without D6</t>
  </si>
  <si>
    <t xml:space="preserve">rows without D8</t>
  </si>
  <si>
    <t xml:space="preserve">rows without D10</t>
  </si>
  <si>
    <t xml:space="preserve">How the even part sits inside the large 4 x 29 plane (S1..S4 over one column per line)</t>
  </si>
  <si>
    <t xml:space="preserve">Even line</t>
  </si>
  <si>
    <t xml:space="preserve">S4 entry on the line (= even-lines matrix entry)</t>
  </si>
  <si>
    <t xml:space="preserve">Large-plane coordinates through this line (C(17,2))</t>
  </si>
  <si>
    <t xml:space="preserve">Check: coordinates = 216 x S4 entry x (2x2 minor of S1,S2)</t>
  </si>
  <si>
    <t xml:space="preserve">verified</t>
  </si>
  <si>
    <t xml:space="preserve">Total coordinates</t>
  </si>
  <si>
    <t xml:space="preserve">All 1,496 nonzero coordinates of the large plane have the form +/- 216 x (S4 entry on one even line) x (S1[a] S2[b] - S1[b] S2[a]) for two odd lines a, b other than line 20. I checked every one (0 failures). So the large plane splits as a 3-plane on the odd lines plus a single vector (S4) on the even lines, and the five rows of this sheet unfold that single vector line by line: S4 = D2 + D4 + D6 + D8 + D10 rows.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</si>
</sst>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#,##0;\-#,##0;\-"/>
    <numFmt numFmtId="168" formatCode="#,##0;[RED]\-#,##0;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  <c r="B3" s="2" t="n">
        <v>12</v>
      </c>
      <c r="C3" s="2" t="n">
        <v>13</v>
      </c>
      <c r="D3" s="2" t="n">
        <v>14</v>
      </c>
      <c r="E3" s="2" t="n">
        <v>16</v>
      </c>
      <c r="F3" s="2" t="n">
        <v>19</v>
      </c>
      <c r="G3" s="2" t="n">
        <v>22</v>
      </c>
      <c r="H3" s="2" t="n">
        <v>23</v>
      </c>
      <c r="I3" s="2" t="n">
        <v>24</v>
      </c>
      <c r="J3" s="2" t="n">
        <v>25</v>
      </c>
      <c r="K3" s="2" t="n">
        <v>26</v>
      </c>
      <c r="L3" s="2" t="n">
        <v>28</v>
      </c>
      <c r="M3" s="1" t="s">
        <v>2</v>
      </c>
    </row>
    <row r="4" customFormat="false" ht="15" hidden="false" customHeight="false" outlineLevel="0" collapsed="false">
      <c r="A4" s="1" t="s">
        <v>3</v>
      </c>
      <c r="B4" s="3" t="n">
        <v>2</v>
      </c>
      <c r="C4" s="3" t="n">
        <v>2</v>
      </c>
      <c r="D4" s="3" t="n">
        <v>2</v>
      </c>
      <c r="E4" s="3" t="n">
        <v>4</v>
      </c>
      <c r="F4" s="3" t="n">
        <v>6</v>
      </c>
      <c r="G4" s="3" t="n">
        <v>8</v>
      </c>
      <c r="H4" s="3" t="n">
        <v>8</v>
      </c>
      <c r="I4" s="3" t="n">
        <v>8</v>
      </c>
      <c r="J4" s="3" t="n">
        <v>8</v>
      </c>
      <c r="K4" s="3" t="n">
        <v>8</v>
      </c>
      <c r="L4" s="3" t="n">
        <v>10</v>
      </c>
    </row>
    <row r="5" customFormat="false" ht="15" hidden="false" customHeight="false" outlineLevel="0" collapsed="false">
      <c r="A5" s="1" t="s">
        <v>4</v>
      </c>
      <c r="B5" s="4" t="n">
        <f aca="false">COUNTIF('Names (99)'!$G$2:$G$100,B$3)</f>
        <v>9</v>
      </c>
      <c r="C5" s="4" t="n">
        <f aca="false">COUNTIF('Names (99)'!$G$2:$G$100,C$3)</f>
        <v>9</v>
      </c>
      <c r="D5" s="4" t="n">
        <f aca="false">COUNTIF('Names (99)'!$G$2:$G$100,D$3)</f>
        <v>9</v>
      </c>
      <c r="E5" s="4" t="n">
        <f aca="false">COUNTIF('Names (99)'!$G$2:$G$100,E$3)</f>
        <v>9</v>
      </c>
      <c r="F5" s="4" t="n">
        <f aca="false">COUNTIF('Names (99)'!$G$2:$G$100,F$3)</f>
        <v>9</v>
      </c>
      <c r="G5" s="4" t="n">
        <f aca="false">COUNTIF('Names (99)'!$G$2:$G$100,G$3)</f>
        <v>9</v>
      </c>
      <c r="H5" s="4" t="n">
        <f aca="false">COUNTIF('Names (99)'!$G$2:$G$100,H$3)</f>
        <v>9</v>
      </c>
      <c r="I5" s="4" t="n">
        <f aca="false">COUNTIF('Names (99)'!$G$2:$G$100,I$3)</f>
        <v>9</v>
      </c>
      <c r="J5" s="4" t="n">
        <f aca="false">COUNTIF('Names (99)'!$G$2:$G$100,J$3)</f>
        <v>9</v>
      </c>
      <c r="K5" s="4" t="n">
        <f aca="false">COUNTIF('Names (99)'!$G$2:$G$100,K$3)</f>
        <v>9</v>
      </c>
      <c r="L5" s="4" t="n">
        <f aca="false">COUNTIF('Names (99)'!$G$2:$G$100,L$3)</f>
        <v>9</v>
      </c>
      <c r="M5" s="1" t="n">
        <f aca="false">SUM(B5:L5)</f>
        <v>99</v>
      </c>
    </row>
    <row r="6" customFormat="false" ht="15" hidden="false" customHeight="false" outlineLevel="0" collapsed="false">
      <c r="A6" s="1" t="s">
        <v>5</v>
      </c>
      <c r="B6" s="4" t="n">
        <f aca="false">COUNTIFS('Names (99)'!$G$2:$G$100,B$3,'Names (99)'!$F$2:$F$100,1)</f>
        <v>0</v>
      </c>
      <c r="C6" s="4" t="n">
        <f aca="false">COUNTIFS('Names (99)'!$G$2:$G$100,C$3,'Names (99)'!$F$2:$F$100,1)</f>
        <v>0</v>
      </c>
      <c r="D6" s="4" t="n">
        <f aca="false">COUNTIFS('Names (99)'!$G$2:$G$100,D$3,'Names (99)'!$F$2:$F$100,1)</f>
        <v>0</v>
      </c>
      <c r="E6" s="4" t="n">
        <f aca="false">COUNTIFS('Names (99)'!$G$2:$G$100,E$3,'Names (99)'!$F$2:$F$100,1)</f>
        <v>0</v>
      </c>
      <c r="F6" s="4" t="n">
        <f aca="false">COUNTIFS('Names (99)'!$G$2:$G$100,F$3,'Names (99)'!$F$2:$F$100,1)</f>
        <v>0</v>
      </c>
      <c r="G6" s="4" t="n">
        <f aca="false">COUNTIFS('Names (99)'!$G$2:$G$100,G$3,'Names (99)'!$F$2:$F$100,1)</f>
        <v>0</v>
      </c>
      <c r="H6" s="4" t="n">
        <f aca="false">COUNTIFS('Names (99)'!$G$2:$G$100,H$3,'Names (99)'!$F$2:$F$100,1)</f>
        <v>2</v>
      </c>
      <c r="I6" s="4" t="n">
        <f aca="false">COUNTIFS('Names (99)'!$G$2:$G$100,I$3,'Names (99)'!$F$2:$F$100,1)</f>
        <v>2</v>
      </c>
      <c r="J6" s="4" t="n">
        <f aca="false">COUNTIFS('Names (99)'!$G$2:$G$100,J$3,'Names (99)'!$F$2:$F$100,1)</f>
        <v>4</v>
      </c>
      <c r="K6" s="4" t="n">
        <f aca="false">COUNTIFS('Names (99)'!$G$2:$G$100,K$3,'Names (99)'!$F$2:$F$100,1)</f>
        <v>3</v>
      </c>
      <c r="L6" s="4" t="n">
        <f aca="false">COUNTIFS('Names (99)'!$G$2:$G$100,L$3,'Names (99)'!$F$2:$F$100,1)</f>
        <v>4</v>
      </c>
      <c r="M6" s="1" t="n">
        <f aca="false">SUM(B6:L6)</f>
        <v>15</v>
      </c>
    </row>
    <row r="7" customFormat="false" ht="15" hidden="false" customHeight="false" outlineLevel="0" collapsed="false">
      <c r="A7" s="1" t="s">
        <v>6</v>
      </c>
      <c r="B7" s="5" t="n">
        <f aca="false">SUMIFS('Names (99)'!$E$2:$E$100,'Names (99)'!$G$2:$G$100,B$3)</f>
        <v>451</v>
      </c>
      <c r="C7" s="5" t="n">
        <f aca="false">SUMIFS('Names (99)'!$E$2:$E$100,'Names (99)'!$G$2:$G$100,C$3)</f>
        <v>537</v>
      </c>
      <c r="D7" s="5" t="n">
        <f aca="false">SUMIFS('Names (99)'!$E$2:$E$100,'Names (99)'!$G$2:$G$100,D$3)</f>
        <v>554</v>
      </c>
      <c r="E7" s="5" t="n">
        <f aca="false">SUMIFS('Names (99)'!$E$2:$E$100,'Names (99)'!$G$2:$G$100,E$3)</f>
        <v>577</v>
      </c>
      <c r="F7" s="5" t="n">
        <f aca="false">SUMIFS('Names (99)'!$E$2:$E$100,'Names (99)'!$G$2:$G$100,F$3)</f>
        <v>604</v>
      </c>
      <c r="G7" s="5" t="n">
        <f aca="false">SUMIFS('Names (99)'!$E$2:$E$100,'Names (99)'!$G$2:$G$100,G$3)</f>
        <v>698</v>
      </c>
      <c r="H7" s="5" t="n">
        <f aca="false">SUMIFS('Names (99)'!$E$2:$E$100,'Names (99)'!$G$2:$G$100,H$3)</f>
        <v>765</v>
      </c>
      <c r="I7" s="5" t="n">
        <f aca="false">SUMIFS('Names (99)'!$E$2:$E$100,'Names (99)'!$G$2:$G$100,I$3)</f>
        <v>824</v>
      </c>
      <c r="J7" s="5" t="n">
        <f aca="false">SUMIFS('Names (99)'!$E$2:$E$100,'Names (99)'!$G$2:$G$100,J$3)</f>
        <v>868</v>
      </c>
      <c r="K7" s="5" t="n">
        <f aca="false">SUMIFS('Names (99)'!$E$2:$E$100,'Names (99)'!$G$2:$G$100,K$3)</f>
        <v>980</v>
      </c>
      <c r="L7" s="5" t="n">
        <f aca="false">SUMIFS('Names (99)'!$E$2:$E$100,'Names (99)'!$G$2:$G$100,L$3)</f>
        <v>1702</v>
      </c>
      <c r="M7" s="6" t="n">
        <f aca="false">SUM(B7:L7)</f>
        <v>8560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3" t="n">
        <v>2</v>
      </c>
      <c r="B9" s="7" t="n">
        <f aca="false">IF(B$4=$A9,B$7,0)</f>
        <v>451</v>
      </c>
      <c r="C9" s="7" t="n">
        <f aca="false">IF(C$4=$A9,C$7,0)</f>
        <v>537</v>
      </c>
      <c r="D9" s="7" t="n">
        <f aca="false">IF(D$4=$A9,D$7,0)</f>
        <v>554</v>
      </c>
      <c r="E9" s="7" t="n">
        <f aca="false">IF(E$4=$A9,E$7,0)</f>
        <v>0</v>
      </c>
      <c r="F9" s="7" t="n">
        <f aca="false">IF(F$4=$A9,F$7,0)</f>
        <v>0</v>
      </c>
      <c r="G9" s="7" t="n">
        <f aca="false">IF(G$4=$A9,G$7,0)</f>
        <v>0</v>
      </c>
      <c r="H9" s="7" t="n">
        <f aca="false">IF(H$4=$A9,H$7,0)</f>
        <v>0</v>
      </c>
      <c r="I9" s="7" t="n">
        <f aca="false">IF(I$4=$A9,I$7,0)</f>
        <v>0</v>
      </c>
      <c r="J9" s="7" t="n">
        <f aca="false">IF(J$4=$A9,J$7,0)</f>
        <v>0</v>
      </c>
      <c r="K9" s="7" t="n">
        <f aca="false">IF(K$4=$A9,K$7,0)</f>
        <v>0</v>
      </c>
      <c r="L9" s="7" t="n">
        <f aca="false">IF(L$4=$A9,L$7,0)</f>
        <v>0</v>
      </c>
      <c r="M9" s="5" t="n">
        <f aca="false">SUM(B9:L9)</f>
        <v>1542</v>
      </c>
      <c r="N9" s="4" t="str">
        <f aca="false">"D"&amp;A9</f>
        <v>D2</v>
      </c>
    </row>
    <row r="10" customFormat="false" ht="15" hidden="false" customHeight="false" outlineLevel="0" collapsed="false">
      <c r="A10" s="3" t="n">
        <v>4</v>
      </c>
      <c r="B10" s="7" t="n">
        <f aca="false">IF(B$4=$A10,B$7,0)</f>
        <v>0</v>
      </c>
      <c r="C10" s="7" t="n">
        <f aca="false">IF(C$4=$A10,C$7,0)</f>
        <v>0</v>
      </c>
      <c r="D10" s="7" t="n">
        <f aca="false">IF(D$4=$A10,D$7,0)</f>
        <v>0</v>
      </c>
      <c r="E10" s="7" t="n">
        <f aca="false">IF(E$4=$A10,E$7,0)</f>
        <v>577</v>
      </c>
      <c r="F10" s="7" t="n">
        <f aca="false">IF(F$4=$A10,F$7,0)</f>
        <v>0</v>
      </c>
      <c r="G10" s="7" t="n">
        <f aca="false">IF(G$4=$A10,G$7,0)</f>
        <v>0</v>
      </c>
      <c r="H10" s="7" t="n">
        <f aca="false">IF(H$4=$A10,H$7,0)</f>
        <v>0</v>
      </c>
      <c r="I10" s="7" t="n">
        <f aca="false">IF(I$4=$A10,I$7,0)</f>
        <v>0</v>
      </c>
      <c r="J10" s="7" t="n">
        <f aca="false">IF(J$4=$A10,J$7,0)</f>
        <v>0</v>
      </c>
      <c r="K10" s="7" t="n">
        <f aca="false">IF(K$4=$A10,K$7,0)</f>
        <v>0</v>
      </c>
      <c r="L10" s="7" t="n">
        <f aca="false">IF(L$4=$A10,L$7,0)</f>
        <v>0</v>
      </c>
      <c r="M10" s="5" t="n">
        <f aca="false">SUM(B10:L10)</f>
        <v>577</v>
      </c>
      <c r="N10" s="4" t="str">
        <f aca="false">"D"&amp;A10</f>
        <v>D4</v>
      </c>
    </row>
    <row r="11" customFormat="false" ht="15" hidden="false" customHeight="false" outlineLevel="0" collapsed="false">
      <c r="A11" s="3" t="n">
        <v>6</v>
      </c>
      <c r="B11" s="7" t="n">
        <f aca="false">IF(B$4=$A11,B$7,0)</f>
        <v>0</v>
      </c>
      <c r="C11" s="7" t="n">
        <f aca="false">IF(C$4=$A11,C$7,0)</f>
        <v>0</v>
      </c>
      <c r="D11" s="7" t="n">
        <f aca="false">IF(D$4=$A11,D$7,0)</f>
        <v>0</v>
      </c>
      <c r="E11" s="7" t="n">
        <f aca="false">IF(E$4=$A11,E$7,0)</f>
        <v>0</v>
      </c>
      <c r="F11" s="7" t="n">
        <f aca="false">IF(F$4=$A11,F$7,0)</f>
        <v>604</v>
      </c>
      <c r="G11" s="7" t="n">
        <f aca="false">IF(G$4=$A11,G$7,0)</f>
        <v>0</v>
      </c>
      <c r="H11" s="7" t="n">
        <f aca="false">IF(H$4=$A11,H$7,0)</f>
        <v>0</v>
      </c>
      <c r="I11" s="7" t="n">
        <f aca="false">IF(I$4=$A11,I$7,0)</f>
        <v>0</v>
      </c>
      <c r="J11" s="7" t="n">
        <f aca="false">IF(J$4=$A11,J$7,0)</f>
        <v>0</v>
      </c>
      <c r="K11" s="7" t="n">
        <f aca="false">IF(K$4=$A11,K$7,0)</f>
        <v>0</v>
      </c>
      <c r="L11" s="7" t="n">
        <f aca="false">IF(L$4=$A11,L$7,0)</f>
        <v>0</v>
      </c>
      <c r="M11" s="5" t="n">
        <f aca="false">SUM(B11:L11)</f>
        <v>604</v>
      </c>
      <c r="N11" s="4" t="str">
        <f aca="false">"D"&amp;A11</f>
        <v>D6</v>
      </c>
    </row>
    <row r="12" customFormat="false" ht="15" hidden="false" customHeight="false" outlineLevel="0" collapsed="false">
      <c r="A12" s="3" t="n">
        <v>8</v>
      </c>
      <c r="B12" s="7" t="n">
        <f aca="false">IF(B$4=$A12,B$7,0)</f>
        <v>0</v>
      </c>
      <c r="C12" s="7" t="n">
        <f aca="false">IF(C$4=$A12,C$7,0)</f>
        <v>0</v>
      </c>
      <c r="D12" s="7" t="n">
        <f aca="false">IF(D$4=$A12,D$7,0)</f>
        <v>0</v>
      </c>
      <c r="E12" s="7" t="n">
        <f aca="false">IF(E$4=$A12,E$7,0)</f>
        <v>0</v>
      </c>
      <c r="F12" s="7" t="n">
        <f aca="false">IF(F$4=$A12,F$7,0)</f>
        <v>0</v>
      </c>
      <c r="G12" s="7" t="n">
        <f aca="false">IF(G$4=$A12,G$7,0)</f>
        <v>698</v>
      </c>
      <c r="H12" s="7" t="n">
        <f aca="false">IF(H$4=$A12,H$7,0)</f>
        <v>765</v>
      </c>
      <c r="I12" s="7" t="n">
        <f aca="false">IF(I$4=$A12,I$7,0)</f>
        <v>824</v>
      </c>
      <c r="J12" s="7" t="n">
        <f aca="false">IF(J$4=$A12,J$7,0)</f>
        <v>868</v>
      </c>
      <c r="K12" s="7" t="n">
        <f aca="false">IF(K$4=$A12,K$7,0)</f>
        <v>980</v>
      </c>
      <c r="L12" s="7" t="n">
        <f aca="false">IF(L$4=$A12,L$7,0)</f>
        <v>0</v>
      </c>
      <c r="M12" s="5" t="n">
        <f aca="false">SUM(B12:L12)</f>
        <v>4135</v>
      </c>
      <c r="N12" s="4" t="str">
        <f aca="false">"D"&amp;A12</f>
        <v>D8</v>
      </c>
    </row>
    <row r="13" customFormat="false" ht="15" hidden="false" customHeight="false" outlineLevel="0" collapsed="false">
      <c r="A13" s="3" t="n">
        <v>10</v>
      </c>
      <c r="B13" s="7" t="n">
        <f aca="false">IF(B$4=$A13,B$7,0)</f>
        <v>0</v>
      </c>
      <c r="C13" s="7" t="n">
        <f aca="false">IF(C$4=$A13,C$7,0)</f>
        <v>0</v>
      </c>
      <c r="D13" s="7" t="n">
        <f aca="false">IF(D$4=$A13,D$7,0)</f>
        <v>0</v>
      </c>
      <c r="E13" s="7" t="n">
        <f aca="false">IF(E$4=$A13,E$7,0)</f>
        <v>0</v>
      </c>
      <c r="F13" s="7" t="n">
        <f aca="false">IF(F$4=$A13,F$7,0)</f>
        <v>0</v>
      </c>
      <c r="G13" s="7" t="n">
        <f aca="false">IF(G$4=$A13,G$7,0)</f>
        <v>0</v>
      </c>
      <c r="H13" s="7" t="n">
        <f aca="false">IF(H$4=$A13,H$7,0)</f>
        <v>0</v>
      </c>
      <c r="I13" s="7" t="n">
        <f aca="false">IF(I$4=$A13,I$7,0)</f>
        <v>0</v>
      </c>
      <c r="J13" s="7" t="n">
        <f aca="false">IF(J$4=$A13,J$7,0)</f>
        <v>0</v>
      </c>
      <c r="K13" s="7" t="n">
        <f aca="false">IF(K$4=$A13,K$7,0)</f>
        <v>0</v>
      </c>
      <c r="L13" s="7" t="n">
        <f aca="false">IF(L$4=$A13,L$7,0)</f>
        <v>1702</v>
      </c>
      <c r="M13" s="5" t="n">
        <f aca="false">SUM(B13:L13)</f>
        <v>1702</v>
      </c>
      <c r="N13" s="4" t="str">
        <f aca="false">"D"&amp;A13</f>
        <v>D10</v>
      </c>
    </row>
    <row r="14" customFormat="false" ht="15" hidden="false" customHeight="false" outlineLevel="0" collapsed="false">
      <c r="L14" s="1" t="s">
        <v>8</v>
      </c>
      <c r="M14" s="6" t="n">
        <f aca="false">SUM(M9:M13)</f>
        <v>8560</v>
      </c>
    </row>
    <row r="15" customFormat="false" ht="15" hidden="false" customHeight="false" outlineLevel="0" collapsed="false"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</row>
    <row r="16" customFormat="false" ht="15" hidden="false" customHeight="false" outlineLevel="0" collapsed="false">
      <c r="A16" s="1" t="s">
        <v>14</v>
      </c>
      <c r="B16" s="4" t="n">
        <f aca="false">COUNTIF(B9:L9,"&gt;0")</f>
        <v>3</v>
      </c>
      <c r="C16" s="4" t="n">
        <f aca="false">COUNTIF(B10:L10,"&gt;0")</f>
        <v>1</v>
      </c>
      <c r="D16" s="4" t="n">
        <f aca="false">COUNTIF(B11:L11,"&gt;0")</f>
        <v>1</v>
      </c>
      <c r="E16" s="4" t="n">
        <f aca="false">COUNTIF(B12:L12,"&gt;0")</f>
        <v>5</v>
      </c>
      <c r="F16" s="4" t="n">
        <f aca="false">COUNTIF(B13:L13,"&gt;0")</f>
        <v>1</v>
      </c>
    </row>
    <row r="18" customFormat="false" ht="15" hidden="false" customHeight="false" outlineLevel="0" collapsed="false">
      <c r="A18" s="1" t="s">
        <v>15</v>
      </c>
      <c r="B18" s="5" t="n">
        <f aca="false">SUMIF($B$4:$L$4,A9,$B$7:$L$7)</f>
        <v>1542</v>
      </c>
      <c r="C18" s="5" t="n">
        <f aca="false">SUMIF($B$4:$L$4,A10,$B$7:$L$7)</f>
        <v>577</v>
      </c>
      <c r="D18" s="5" t="n">
        <f aca="false">SUMIF($B$4:$L$4,A11,$B$7:$L$7)</f>
        <v>604</v>
      </c>
      <c r="E18" s="5" t="n">
        <f aca="false">SUMIF($B$4:$L$4,A12,$B$7:$L$7)</f>
        <v>4135</v>
      </c>
      <c r="F18" s="5" t="n">
        <f aca="false">SUMIF($B$4:$L$4,A13,$B$7:$L$7)</f>
        <v>1702</v>
      </c>
    </row>
    <row r="19" customFormat="false" ht="15" hidden="false" customHeight="false" outlineLevel="0" collapsed="false">
      <c r="A19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7"/>
  </cols>
  <sheetData>
    <row r="1" customFormat="false" ht="15" hidden="false" customHeight="false" outlineLevel="0" collapsed="false">
      <c r="A1" s="1" t="s">
        <v>17</v>
      </c>
    </row>
    <row r="3" customFormat="false" ht="57.75" hidden="false" customHeight="true" outlineLevel="0" collapsed="false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</row>
    <row r="4" customFormat="false" ht="15" hidden="false" customHeight="false" outlineLevel="0" collapsed="false">
      <c r="A4" s="4" t="s">
        <v>26</v>
      </c>
      <c r="B4" s="4" t="n">
        <f aca="false">COUNTIF(Minors!E3:E332,"&lt;&gt;0")</f>
        <v>5</v>
      </c>
      <c r="C4" s="4" t="n">
        <f aca="false">COUNTIF(Minors!E3:E332,"&gt;0")</f>
        <v>5</v>
      </c>
      <c r="D4" s="4" t="n">
        <f aca="false">COUNTIF(Minors!E3:E332,"&lt;0")</f>
        <v>0</v>
      </c>
      <c r="E4" s="4" t="n">
        <f aca="false">COUNTIF('Even matrix'!B10:L10,"&gt;0")*COUNTIF('Even matrix'!B11:L11,"&gt;0")*COUNTIF('Even matrix'!B12:L12,"&gt;0")*COUNTIF('Even matrix'!B13:L13,"&gt;0")</f>
        <v>5</v>
      </c>
      <c r="F4" s="4" t="n">
        <f aca="false">330-B4</f>
        <v>325</v>
      </c>
      <c r="G4" s="4" t="str">
        <f aca="false">IF(D4=0,"yes","no")</f>
        <v>yes</v>
      </c>
      <c r="H4" s="4" t="n">
        <f aca="false">COUNTIF('Even matrix'!B10:L10,"&gt;0")+COUNTIF('Even matrix'!B11:L11,"&gt;0")+COUNTIF('Even matrix'!B12:L12,"&gt;0")+COUNTIF('Even matrix'!B13:L13,"&gt;0")-4</f>
        <v>4</v>
      </c>
    </row>
    <row r="5" customFormat="false" ht="15" hidden="false" customHeight="false" outlineLevel="0" collapsed="false">
      <c r="A5" s="4" t="s">
        <v>27</v>
      </c>
      <c r="B5" s="4" t="n">
        <f aca="false">COUNTIF(Minors!F3:F332,"&lt;&gt;0")</f>
        <v>15</v>
      </c>
      <c r="C5" s="4" t="n">
        <f aca="false">COUNTIF(Minors!F3:F332,"&gt;0")</f>
        <v>15</v>
      </c>
      <c r="D5" s="4" t="n">
        <f aca="false">COUNTIF(Minors!F3:F332,"&lt;0")</f>
        <v>0</v>
      </c>
      <c r="E5" s="4" t="n">
        <f aca="false">COUNTIF('Even matrix'!B9:L9,"&gt;0")*COUNTIF('Even matrix'!B11:L11,"&gt;0")*COUNTIF('Even matrix'!B12:L12,"&gt;0")*COUNTIF('Even matrix'!B13:L13,"&gt;0")</f>
        <v>15</v>
      </c>
      <c r="F5" s="4" t="n">
        <f aca="false">330-B5</f>
        <v>315</v>
      </c>
      <c r="G5" s="4" t="str">
        <f aca="false">IF(D5=0,"yes","no")</f>
        <v>yes</v>
      </c>
      <c r="H5" s="4" t="n">
        <f aca="false">COUNTIF('Even matrix'!B9:L9,"&gt;0")+COUNTIF('Even matrix'!B11:L11,"&gt;0")+COUNTIF('Even matrix'!B12:L12,"&gt;0")+COUNTIF('Even matrix'!B13:L13,"&gt;0")-4</f>
        <v>6</v>
      </c>
    </row>
    <row r="6" customFormat="false" ht="15" hidden="false" customHeight="false" outlineLevel="0" collapsed="false">
      <c r="A6" s="4" t="s">
        <v>28</v>
      </c>
      <c r="B6" s="4" t="n">
        <f aca="false">COUNTIF(Minors!G3:G332,"&lt;&gt;0")</f>
        <v>15</v>
      </c>
      <c r="C6" s="4" t="n">
        <f aca="false">COUNTIF(Minors!G3:G332,"&gt;0")</f>
        <v>15</v>
      </c>
      <c r="D6" s="4" t="n">
        <f aca="false">COUNTIF(Minors!G3:G332,"&lt;0")</f>
        <v>0</v>
      </c>
      <c r="E6" s="4" t="n">
        <f aca="false">COUNTIF('Even matrix'!B9:L9,"&gt;0")*COUNTIF('Even matrix'!B10:L10,"&gt;0")*COUNTIF('Even matrix'!B12:L12,"&gt;0")*COUNTIF('Even matrix'!B13:L13,"&gt;0")</f>
        <v>15</v>
      </c>
      <c r="F6" s="4" t="n">
        <f aca="false">330-B6</f>
        <v>315</v>
      </c>
      <c r="G6" s="4" t="str">
        <f aca="false">IF(D6=0,"yes","no")</f>
        <v>yes</v>
      </c>
      <c r="H6" s="4" t="n">
        <f aca="false">COUNTIF('Even matrix'!B9:L9,"&gt;0")+COUNTIF('Even matrix'!B10:L10,"&gt;0")+COUNTIF('Even matrix'!B12:L12,"&gt;0")+COUNTIF('Even matrix'!B13:L13,"&gt;0")-4</f>
        <v>6</v>
      </c>
    </row>
    <row r="7" customFormat="false" ht="15" hidden="false" customHeight="false" outlineLevel="0" collapsed="false">
      <c r="A7" s="4" t="s">
        <v>29</v>
      </c>
      <c r="B7" s="4" t="n">
        <f aca="false">COUNTIF(Minors!H3:H332,"&lt;&gt;0")</f>
        <v>3</v>
      </c>
      <c r="C7" s="4" t="n">
        <f aca="false">COUNTIF(Minors!H3:H332,"&gt;0")</f>
        <v>3</v>
      </c>
      <c r="D7" s="4" t="n">
        <f aca="false">COUNTIF(Minors!H3:H332,"&lt;0")</f>
        <v>0</v>
      </c>
      <c r="E7" s="4" t="n">
        <f aca="false">COUNTIF('Even matrix'!B9:L9,"&gt;0")*COUNTIF('Even matrix'!B10:L10,"&gt;0")*COUNTIF('Even matrix'!B11:L11,"&gt;0")*COUNTIF('Even matrix'!B13:L13,"&gt;0")</f>
        <v>3</v>
      </c>
      <c r="F7" s="4" t="n">
        <f aca="false">330-B7</f>
        <v>327</v>
      </c>
      <c r="G7" s="4" t="str">
        <f aca="false">IF(D7=0,"yes","no")</f>
        <v>yes</v>
      </c>
      <c r="H7" s="4" t="n">
        <f aca="false">COUNTIF('Even matrix'!B9:L9,"&gt;0")+COUNTIF('Even matrix'!B10:L10,"&gt;0")+COUNTIF('Even matrix'!B11:L11,"&gt;0")+COUNTIF('Even matrix'!B13:L13,"&gt;0")-4</f>
        <v>2</v>
      </c>
    </row>
    <row r="8" customFormat="false" ht="15" hidden="false" customHeight="false" outlineLevel="0" collapsed="false">
      <c r="A8" s="4" t="s">
        <v>30</v>
      </c>
      <c r="B8" s="4" t="n">
        <f aca="false">COUNTIF(Minors!I3:I332,"&lt;&gt;0")</f>
        <v>15</v>
      </c>
      <c r="C8" s="4" t="n">
        <f aca="false">COUNTIF(Minors!I3:I332,"&gt;0")</f>
        <v>15</v>
      </c>
      <c r="D8" s="4" t="n">
        <f aca="false">COUNTIF(Minors!I3:I332,"&lt;0")</f>
        <v>0</v>
      </c>
      <c r="E8" s="4" t="n">
        <f aca="false">COUNTIF('Even matrix'!B9:L9,"&gt;0")*COUNTIF('Even matrix'!B10:L10,"&gt;0")*COUNTIF('Even matrix'!B11:L11,"&gt;0")*COUNTIF('Even matrix'!B12:L12,"&gt;0")</f>
        <v>15</v>
      </c>
      <c r="F8" s="4" t="n">
        <f aca="false">330-B8</f>
        <v>315</v>
      </c>
      <c r="G8" s="4" t="str">
        <f aca="false">IF(D8=0,"yes","no")</f>
        <v>yes</v>
      </c>
      <c r="H8" s="4" t="n">
        <f aca="false">COUNTIF('Even matrix'!B9:L9,"&gt;0")+COUNTIF('Even matrix'!B10:L10,"&gt;0")+COUNTIF('Even matrix'!B11:L11,"&gt;0")+COUNTIF('Even matrix'!B12:L12,"&gt;0")-4</f>
        <v>6</v>
      </c>
    </row>
    <row r="10" customFormat="false" ht="15" hidden="false" customHeight="true" outlineLevel="0" collapsed="false">
      <c r="A10" s="9" t="s">
        <v>31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</sheetData>
  <mergeCells count="1">
    <mergeCell ref="A10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customFormat="false" ht="15" hidden="false" customHeight="false" outlineLevel="0" collapsed="false">
      <c r="A2" s="4" t="s">
        <v>42</v>
      </c>
      <c r="B2" s="4" t="n">
        <v>20</v>
      </c>
      <c r="C2" s="4" t="s">
        <v>43</v>
      </c>
      <c r="D2" s="3" t="n">
        <v>44</v>
      </c>
      <c r="E2" s="3" t="n">
        <v>44</v>
      </c>
      <c r="F2" s="3" t="n">
        <v>0</v>
      </c>
      <c r="G2" s="3" t="n">
        <v>12</v>
      </c>
      <c r="H2" s="3" t="n">
        <v>1</v>
      </c>
      <c r="I2" s="4" t="n">
        <v>136</v>
      </c>
      <c r="J2" s="4" t="n">
        <v>2</v>
      </c>
    </row>
    <row r="3" customFormat="false" ht="15" hidden="false" customHeight="false" outlineLevel="0" collapsed="false">
      <c r="A3" s="4" t="s">
        <v>42</v>
      </c>
      <c r="B3" s="4" t="n">
        <v>47</v>
      </c>
      <c r="C3" s="4" t="s">
        <v>44</v>
      </c>
      <c r="D3" s="3" t="n">
        <v>45</v>
      </c>
      <c r="E3" s="3" t="n">
        <v>45</v>
      </c>
      <c r="F3" s="3" t="n">
        <v>0</v>
      </c>
      <c r="G3" s="3" t="n">
        <v>12</v>
      </c>
      <c r="H3" s="3" t="n">
        <v>2</v>
      </c>
      <c r="I3" s="4" t="n">
        <v>137</v>
      </c>
      <c r="J3" s="4" t="n">
        <v>2</v>
      </c>
    </row>
    <row r="4" customFormat="false" ht="15" hidden="false" customHeight="false" outlineLevel="0" collapsed="false">
      <c r="A4" s="4" t="s">
        <v>45</v>
      </c>
      <c r="B4" s="4" t="n">
        <v>19</v>
      </c>
      <c r="C4" s="4" t="s">
        <v>46</v>
      </c>
      <c r="D4" s="3" t="n">
        <v>46</v>
      </c>
      <c r="E4" s="3" t="n">
        <v>46</v>
      </c>
      <c r="F4" s="3" t="n">
        <v>0</v>
      </c>
      <c r="G4" s="3" t="n">
        <v>12</v>
      </c>
      <c r="H4" s="3" t="n">
        <v>3</v>
      </c>
      <c r="I4" s="4" t="n">
        <v>138</v>
      </c>
      <c r="J4" s="4" t="n">
        <v>2</v>
      </c>
    </row>
    <row r="5" customFormat="false" ht="15" hidden="false" customHeight="false" outlineLevel="0" collapsed="false">
      <c r="A5" s="4" t="s">
        <v>47</v>
      </c>
      <c r="B5" s="4" t="n">
        <v>27</v>
      </c>
      <c r="C5" s="4" t="s">
        <v>48</v>
      </c>
      <c r="D5" s="3" t="n">
        <v>49</v>
      </c>
      <c r="E5" s="3" t="n">
        <v>49</v>
      </c>
      <c r="F5" s="3" t="n">
        <v>0</v>
      </c>
      <c r="G5" s="3" t="n">
        <v>12</v>
      </c>
      <c r="H5" s="3" t="n">
        <v>4</v>
      </c>
      <c r="I5" s="4" t="n">
        <v>139</v>
      </c>
      <c r="J5" s="4" t="n">
        <v>2</v>
      </c>
    </row>
    <row r="6" customFormat="false" ht="15" hidden="false" customHeight="false" outlineLevel="0" collapsed="false">
      <c r="A6" s="4" t="s">
        <v>42</v>
      </c>
      <c r="B6" s="4" t="n">
        <v>1</v>
      </c>
      <c r="C6" s="4" t="s">
        <v>49</v>
      </c>
      <c r="D6" s="3" t="n">
        <v>50</v>
      </c>
      <c r="E6" s="3" t="n">
        <v>50</v>
      </c>
      <c r="F6" s="3" t="n">
        <v>0</v>
      </c>
      <c r="G6" s="3" t="n">
        <v>12</v>
      </c>
      <c r="H6" s="3" t="n">
        <v>5</v>
      </c>
      <c r="I6" s="4" t="n">
        <v>140</v>
      </c>
      <c r="J6" s="4" t="n">
        <v>2</v>
      </c>
    </row>
    <row r="7" customFormat="false" ht="15" hidden="false" customHeight="false" outlineLevel="0" collapsed="false">
      <c r="A7" s="4" t="s">
        <v>42</v>
      </c>
      <c r="B7" s="4" t="n">
        <v>43</v>
      </c>
      <c r="C7" s="4" t="s">
        <v>50</v>
      </c>
      <c r="D7" s="3" t="n">
        <v>51</v>
      </c>
      <c r="E7" s="3" t="n">
        <v>51</v>
      </c>
      <c r="F7" s="3" t="n">
        <v>0</v>
      </c>
      <c r="G7" s="3" t="n">
        <v>12</v>
      </c>
      <c r="H7" s="3" t="n">
        <v>6</v>
      </c>
      <c r="I7" s="4" t="n">
        <v>141</v>
      </c>
      <c r="J7" s="4" t="n">
        <v>2</v>
      </c>
    </row>
    <row r="8" customFormat="false" ht="15" hidden="false" customHeight="false" outlineLevel="0" collapsed="false">
      <c r="A8" s="4" t="s">
        <v>47</v>
      </c>
      <c r="B8" s="4" t="n">
        <v>21</v>
      </c>
      <c r="C8" s="4" t="s">
        <v>51</v>
      </c>
      <c r="D8" s="3" t="n">
        <v>52</v>
      </c>
      <c r="E8" s="3" t="n">
        <v>52</v>
      </c>
      <c r="F8" s="3" t="n">
        <v>0</v>
      </c>
      <c r="G8" s="3" t="n">
        <v>12</v>
      </c>
      <c r="H8" s="3" t="n">
        <v>7</v>
      </c>
      <c r="I8" s="4" t="n">
        <v>142</v>
      </c>
      <c r="J8" s="4" t="n">
        <v>2</v>
      </c>
    </row>
    <row r="9" customFormat="false" ht="15" hidden="false" customHeight="false" outlineLevel="0" collapsed="false">
      <c r="A9" s="4" t="s">
        <v>42</v>
      </c>
      <c r="B9" s="4" t="n">
        <v>30</v>
      </c>
      <c r="C9" s="4" t="s">
        <v>52</v>
      </c>
      <c r="D9" s="3" t="n">
        <v>56</v>
      </c>
      <c r="E9" s="3" t="n">
        <v>56</v>
      </c>
      <c r="F9" s="3" t="n">
        <v>0</v>
      </c>
      <c r="G9" s="3" t="n">
        <v>12</v>
      </c>
      <c r="H9" s="3" t="n">
        <v>8</v>
      </c>
      <c r="I9" s="4" t="n">
        <v>143</v>
      </c>
      <c r="J9" s="4" t="n">
        <v>2</v>
      </c>
    </row>
    <row r="10" customFormat="false" ht="15" hidden="false" customHeight="false" outlineLevel="0" collapsed="false">
      <c r="A10" s="4" t="s">
        <v>42</v>
      </c>
      <c r="B10" s="4" t="n">
        <v>24</v>
      </c>
      <c r="C10" s="4" t="s">
        <v>53</v>
      </c>
      <c r="D10" s="3" t="n">
        <v>58</v>
      </c>
      <c r="E10" s="3" t="n">
        <v>58</v>
      </c>
      <c r="F10" s="3" t="n">
        <v>0</v>
      </c>
      <c r="G10" s="3" t="n">
        <v>12</v>
      </c>
      <c r="H10" s="3" t="n">
        <v>9</v>
      </c>
      <c r="I10" s="4" t="n">
        <v>144</v>
      </c>
      <c r="J10" s="4" t="n">
        <v>2</v>
      </c>
    </row>
    <row r="11" customFormat="false" ht="15" hidden="false" customHeight="false" outlineLevel="0" collapsed="false">
      <c r="A11" s="4" t="s">
        <v>47</v>
      </c>
      <c r="B11" s="4" t="n">
        <v>13</v>
      </c>
      <c r="C11" s="4" t="s">
        <v>54</v>
      </c>
      <c r="D11" s="3" t="n">
        <v>59</v>
      </c>
      <c r="E11" s="3" t="n">
        <v>59</v>
      </c>
      <c r="F11" s="3" t="n">
        <v>0</v>
      </c>
      <c r="G11" s="3" t="n">
        <v>13</v>
      </c>
      <c r="H11" s="3" t="n">
        <v>1</v>
      </c>
      <c r="I11" s="4" t="n">
        <v>145</v>
      </c>
      <c r="J11" s="4" t="n">
        <v>2</v>
      </c>
    </row>
    <row r="12" customFormat="false" ht="15" hidden="false" customHeight="false" outlineLevel="0" collapsed="false">
      <c r="A12" s="4" t="s">
        <v>47</v>
      </c>
      <c r="B12" s="4" t="n">
        <v>20</v>
      </c>
      <c r="C12" s="4" t="s">
        <v>55</v>
      </c>
      <c r="D12" s="3" t="n">
        <v>59</v>
      </c>
      <c r="E12" s="3" t="n">
        <v>59</v>
      </c>
      <c r="F12" s="3" t="n">
        <v>0</v>
      </c>
      <c r="G12" s="3" t="n">
        <v>13</v>
      </c>
      <c r="H12" s="3" t="n">
        <v>2</v>
      </c>
      <c r="I12" s="4" t="n">
        <v>146</v>
      </c>
      <c r="J12" s="4" t="n">
        <v>2</v>
      </c>
    </row>
    <row r="13" customFormat="false" ht="15" hidden="false" customHeight="false" outlineLevel="0" collapsed="false">
      <c r="A13" s="4" t="s">
        <v>45</v>
      </c>
      <c r="B13" s="4" t="n">
        <v>16</v>
      </c>
      <c r="C13" s="4" t="s">
        <v>56</v>
      </c>
      <c r="D13" s="3" t="n">
        <v>59</v>
      </c>
      <c r="E13" s="3" t="n">
        <v>59</v>
      </c>
      <c r="F13" s="3" t="n">
        <v>0</v>
      </c>
      <c r="G13" s="3" t="n">
        <v>13</v>
      </c>
      <c r="H13" s="3" t="n">
        <v>3</v>
      </c>
      <c r="I13" s="4" t="n">
        <v>147</v>
      </c>
      <c r="J13" s="4" t="n">
        <v>2</v>
      </c>
    </row>
    <row r="14" customFormat="false" ht="15" hidden="false" customHeight="false" outlineLevel="0" collapsed="false">
      <c r="A14" s="4" t="s">
        <v>47</v>
      </c>
      <c r="B14" s="4" t="n">
        <v>7</v>
      </c>
      <c r="C14" s="4" t="s">
        <v>57</v>
      </c>
      <c r="D14" s="3" t="n">
        <v>60</v>
      </c>
      <c r="E14" s="3" t="n">
        <v>60</v>
      </c>
      <c r="F14" s="3" t="n">
        <v>0</v>
      </c>
      <c r="G14" s="3" t="n">
        <v>13</v>
      </c>
      <c r="H14" s="3" t="n">
        <v>4</v>
      </c>
      <c r="I14" s="4" t="n">
        <v>148</v>
      </c>
      <c r="J14" s="4" t="n">
        <v>2</v>
      </c>
    </row>
    <row r="15" customFormat="false" ht="15" hidden="false" customHeight="false" outlineLevel="0" collapsed="false">
      <c r="A15" s="4" t="s">
        <v>47</v>
      </c>
      <c r="B15" s="4" t="n">
        <v>9</v>
      </c>
      <c r="C15" s="4" t="s">
        <v>58</v>
      </c>
      <c r="D15" s="3" t="n">
        <v>60</v>
      </c>
      <c r="E15" s="3" t="n">
        <v>60</v>
      </c>
      <c r="F15" s="3" t="n">
        <v>0</v>
      </c>
      <c r="G15" s="3" t="n">
        <v>13</v>
      </c>
      <c r="H15" s="3" t="n">
        <v>5</v>
      </c>
      <c r="I15" s="4" t="n">
        <v>149</v>
      </c>
      <c r="J15" s="4" t="n">
        <v>2</v>
      </c>
    </row>
    <row r="16" customFormat="false" ht="15" hidden="false" customHeight="false" outlineLevel="0" collapsed="false">
      <c r="A16" s="4" t="s">
        <v>47</v>
      </c>
      <c r="B16" s="4" t="n">
        <v>12</v>
      </c>
      <c r="C16" s="4" t="s">
        <v>59</v>
      </c>
      <c r="D16" s="3" t="n">
        <v>60</v>
      </c>
      <c r="E16" s="3" t="n">
        <v>60</v>
      </c>
      <c r="F16" s="3" t="n">
        <v>0</v>
      </c>
      <c r="G16" s="3" t="n">
        <v>13</v>
      </c>
      <c r="H16" s="3" t="n">
        <v>6</v>
      </c>
      <c r="I16" s="4" t="n">
        <v>150</v>
      </c>
      <c r="J16" s="4" t="n">
        <v>2</v>
      </c>
    </row>
    <row r="17" customFormat="false" ht="15" hidden="false" customHeight="false" outlineLevel="0" collapsed="false">
      <c r="A17" s="4" t="s">
        <v>47</v>
      </c>
      <c r="B17" s="4" t="n">
        <v>15</v>
      </c>
      <c r="C17" s="4" t="s">
        <v>60</v>
      </c>
      <c r="D17" s="3" t="n">
        <v>60</v>
      </c>
      <c r="E17" s="3" t="n">
        <v>60</v>
      </c>
      <c r="F17" s="3" t="n">
        <v>0</v>
      </c>
      <c r="G17" s="3" t="n">
        <v>13</v>
      </c>
      <c r="H17" s="3" t="n">
        <v>7</v>
      </c>
      <c r="I17" s="4" t="n">
        <v>151</v>
      </c>
      <c r="J17" s="4" t="n">
        <v>2</v>
      </c>
    </row>
    <row r="18" customFormat="false" ht="15" hidden="false" customHeight="false" outlineLevel="0" collapsed="false">
      <c r="A18" s="4" t="s">
        <v>45</v>
      </c>
      <c r="B18" s="4" t="n">
        <v>4</v>
      </c>
      <c r="C18" s="4" t="s">
        <v>61</v>
      </c>
      <c r="D18" s="3" t="n">
        <v>60</v>
      </c>
      <c r="E18" s="3" t="n">
        <v>60</v>
      </c>
      <c r="F18" s="3" t="n">
        <v>0</v>
      </c>
      <c r="G18" s="3" t="n">
        <v>13</v>
      </c>
      <c r="H18" s="3" t="n">
        <v>8</v>
      </c>
      <c r="I18" s="4" t="n">
        <v>152</v>
      </c>
      <c r="J18" s="4" t="n">
        <v>2</v>
      </c>
    </row>
    <row r="19" customFormat="false" ht="15" hidden="false" customHeight="false" outlineLevel="0" collapsed="false">
      <c r="A19" s="4" t="s">
        <v>45</v>
      </c>
      <c r="B19" s="4" t="n">
        <v>10</v>
      </c>
      <c r="C19" s="4" t="s">
        <v>62</v>
      </c>
      <c r="D19" s="3" t="n">
        <v>60</v>
      </c>
      <c r="E19" s="3" t="n">
        <v>60</v>
      </c>
      <c r="F19" s="3" t="n">
        <v>0</v>
      </c>
      <c r="G19" s="3" t="n">
        <v>13</v>
      </c>
      <c r="H19" s="3" t="n">
        <v>9</v>
      </c>
      <c r="I19" s="4" t="n">
        <v>153</v>
      </c>
      <c r="J19" s="4" t="n">
        <v>2</v>
      </c>
    </row>
    <row r="20" customFormat="false" ht="15" hidden="false" customHeight="false" outlineLevel="0" collapsed="false">
      <c r="A20" s="4" t="s">
        <v>42</v>
      </c>
      <c r="B20" s="4" t="n">
        <v>41</v>
      </c>
      <c r="C20" s="4" t="s">
        <v>63</v>
      </c>
      <c r="D20" s="3" t="n">
        <v>61</v>
      </c>
      <c r="E20" s="3" t="n">
        <v>61</v>
      </c>
      <c r="F20" s="3" t="n">
        <v>0</v>
      </c>
      <c r="G20" s="3" t="n">
        <v>14</v>
      </c>
      <c r="H20" s="3" t="n">
        <v>1</v>
      </c>
      <c r="I20" s="4" t="n">
        <v>154</v>
      </c>
      <c r="J20" s="4" t="n">
        <v>2</v>
      </c>
    </row>
    <row r="21" customFormat="false" ht="15" hidden="false" customHeight="false" outlineLevel="0" collapsed="false">
      <c r="A21" s="4" t="s">
        <v>47</v>
      </c>
      <c r="B21" s="4" t="n">
        <v>5</v>
      </c>
      <c r="C21" s="4" t="s">
        <v>64</v>
      </c>
      <c r="D21" s="3" t="n">
        <v>61</v>
      </c>
      <c r="E21" s="3" t="n">
        <v>61</v>
      </c>
      <c r="F21" s="3" t="n">
        <v>0</v>
      </c>
      <c r="G21" s="3" t="n">
        <v>14</v>
      </c>
      <c r="H21" s="3" t="n">
        <v>2</v>
      </c>
      <c r="I21" s="4" t="n">
        <v>155</v>
      </c>
      <c r="J21" s="4" t="n">
        <v>2</v>
      </c>
    </row>
    <row r="22" customFormat="false" ht="15" hidden="false" customHeight="false" outlineLevel="0" collapsed="false">
      <c r="A22" s="4" t="s">
        <v>47</v>
      </c>
      <c r="B22" s="4" t="n">
        <v>19</v>
      </c>
      <c r="C22" s="4" t="s">
        <v>65</v>
      </c>
      <c r="D22" s="3" t="n">
        <v>61</v>
      </c>
      <c r="E22" s="3" t="n">
        <v>61</v>
      </c>
      <c r="F22" s="3" t="n">
        <v>0</v>
      </c>
      <c r="G22" s="3" t="n">
        <v>14</v>
      </c>
      <c r="H22" s="3" t="n">
        <v>3</v>
      </c>
      <c r="I22" s="4" t="n">
        <v>156</v>
      </c>
      <c r="J22" s="4" t="n">
        <v>2</v>
      </c>
    </row>
    <row r="23" customFormat="false" ht="15" hidden="false" customHeight="false" outlineLevel="0" collapsed="false">
      <c r="A23" s="4" t="s">
        <v>45</v>
      </c>
      <c r="B23" s="4" t="n">
        <v>5</v>
      </c>
      <c r="C23" s="4" t="s">
        <v>66</v>
      </c>
      <c r="D23" s="3" t="n">
        <v>61</v>
      </c>
      <c r="E23" s="3" t="n">
        <v>61</v>
      </c>
      <c r="F23" s="3" t="n">
        <v>0</v>
      </c>
      <c r="G23" s="3" t="n">
        <v>14</v>
      </c>
      <c r="H23" s="3" t="n">
        <v>4</v>
      </c>
      <c r="I23" s="4" t="n">
        <v>157</v>
      </c>
      <c r="J23" s="4" t="n">
        <v>2</v>
      </c>
    </row>
    <row r="24" customFormat="false" ht="15" hidden="false" customHeight="false" outlineLevel="0" collapsed="false">
      <c r="A24" s="4" t="s">
        <v>45</v>
      </c>
      <c r="B24" s="4" t="n">
        <v>7</v>
      </c>
      <c r="C24" s="4" t="s">
        <v>67</v>
      </c>
      <c r="D24" s="3" t="n">
        <v>61</v>
      </c>
      <c r="E24" s="3" t="n">
        <v>61</v>
      </c>
      <c r="F24" s="3" t="n">
        <v>0</v>
      </c>
      <c r="G24" s="3" t="n">
        <v>14</v>
      </c>
      <c r="H24" s="3" t="n">
        <v>5</v>
      </c>
      <c r="I24" s="4" t="n">
        <v>158</v>
      </c>
      <c r="J24" s="4" t="n">
        <v>2</v>
      </c>
    </row>
    <row r="25" customFormat="false" ht="15" hidden="false" customHeight="false" outlineLevel="0" collapsed="false">
      <c r="A25" s="4" t="s">
        <v>42</v>
      </c>
      <c r="B25" s="4" t="n">
        <v>44</v>
      </c>
      <c r="C25" s="4" t="s">
        <v>68</v>
      </c>
      <c r="D25" s="3" t="n">
        <v>62</v>
      </c>
      <c r="E25" s="3" t="n">
        <v>62</v>
      </c>
      <c r="F25" s="3" t="n">
        <v>0</v>
      </c>
      <c r="G25" s="3" t="n">
        <v>14</v>
      </c>
      <c r="H25" s="3" t="n">
        <v>6</v>
      </c>
      <c r="I25" s="4" t="n">
        <v>159</v>
      </c>
      <c r="J25" s="4" t="n">
        <v>2</v>
      </c>
    </row>
    <row r="26" customFormat="false" ht="15" hidden="false" customHeight="false" outlineLevel="0" collapsed="false">
      <c r="A26" s="4" t="s">
        <v>45</v>
      </c>
      <c r="B26" s="4" t="n">
        <v>17</v>
      </c>
      <c r="C26" s="4" t="s">
        <v>69</v>
      </c>
      <c r="D26" s="3" t="n">
        <v>62</v>
      </c>
      <c r="E26" s="3" t="n">
        <v>62</v>
      </c>
      <c r="F26" s="3" t="n">
        <v>0</v>
      </c>
      <c r="G26" s="3" t="n">
        <v>14</v>
      </c>
      <c r="H26" s="3" t="n">
        <v>7</v>
      </c>
      <c r="I26" s="4" t="n">
        <v>160</v>
      </c>
      <c r="J26" s="4" t="n">
        <v>2</v>
      </c>
    </row>
    <row r="27" customFormat="false" ht="15" hidden="false" customHeight="false" outlineLevel="0" collapsed="false">
      <c r="A27" s="4" t="s">
        <v>45</v>
      </c>
      <c r="B27" s="4" t="n">
        <v>21</v>
      </c>
      <c r="C27" s="4" t="s">
        <v>70</v>
      </c>
      <c r="D27" s="3" t="n">
        <v>62</v>
      </c>
      <c r="E27" s="3" t="n">
        <v>62</v>
      </c>
      <c r="F27" s="3" t="n">
        <v>0</v>
      </c>
      <c r="G27" s="3" t="n">
        <v>14</v>
      </c>
      <c r="H27" s="3" t="n">
        <v>8</v>
      </c>
      <c r="I27" s="4" t="n">
        <v>161</v>
      </c>
      <c r="J27" s="4" t="n">
        <v>2</v>
      </c>
    </row>
    <row r="28" customFormat="false" ht="15" hidden="false" customHeight="false" outlineLevel="0" collapsed="false">
      <c r="A28" s="4" t="s">
        <v>42</v>
      </c>
      <c r="B28" s="4" t="n">
        <v>35</v>
      </c>
      <c r="C28" s="4" t="s">
        <v>71</v>
      </c>
      <c r="D28" s="3" t="n">
        <v>63</v>
      </c>
      <c r="E28" s="3" t="n">
        <v>63</v>
      </c>
      <c r="F28" s="3" t="n">
        <v>0</v>
      </c>
      <c r="G28" s="3" t="n">
        <v>14</v>
      </c>
      <c r="H28" s="3" t="n">
        <v>9</v>
      </c>
      <c r="I28" s="4" t="n">
        <v>162</v>
      </c>
      <c r="J28" s="4" t="n">
        <v>2</v>
      </c>
    </row>
    <row r="29" customFormat="false" ht="15" hidden="false" customHeight="false" outlineLevel="0" collapsed="false">
      <c r="A29" s="4" t="s">
        <v>47</v>
      </c>
      <c r="B29" s="4" t="n">
        <v>26</v>
      </c>
      <c r="C29" s="4" t="s">
        <v>72</v>
      </c>
      <c r="D29" s="3" t="n">
        <v>63</v>
      </c>
      <c r="E29" s="3" t="n">
        <v>63</v>
      </c>
      <c r="F29" s="3" t="n">
        <v>0</v>
      </c>
      <c r="G29" s="3" t="n">
        <v>16</v>
      </c>
      <c r="H29" s="3" t="n">
        <v>1</v>
      </c>
      <c r="I29" s="4" t="n">
        <v>172</v>
      </c>
      <c r="J29" s="4" t="n">
        <v>4</v>
      </c>
    </row>
    <row r="30" customFormat="false" ht="15" hidden="false" customHeight="false" outlineLevel="0" collapsed="false">
      <c r="A30" s="4" t="s">
        <v>47</v>
      </c>
      <c r="B30" s="4" t="n">
        <v>29</v>
      </c>
      <c r="C30" s="4" t="s">
        <v>73</v>
      </c>
      <c r="D30" s="3" t="n">
        <v>63</v>
      </c>
      <c r="E30" s="3" t="n">
        <v>63</v>
      </c>
      <c r="F30" s="3" t="n">
        <v>0</v>
      </c>
      <c r="G30" s="3" t="n">
        <v>16</v>
      </c>
      <c r="H30" s="3" t="n">
        <v>2</v>
      </c>
      <c r="I30" s="4" t="n">
        <v>173</v>
      </c>
      <c r="J30" s="4" t="n">
        <v>4</v>
      </c>
    </row>
    <row r="31" customFormat="false" ht="15" hidden="false" customHeight="false" outlineLevel="0" collapsed="false">
      <c r="A31" s="4" t="s">
        <v>45</v>
      </c>
      <c r="B31" s="4" t="n">
        <v>9</v>
      </c>
      <c r="C31" s="4" t="s">
        <v>74</v>
      </c>
      <c r="D31" s="3" t="n">
        <v>63</v>
      </c>
      <c r="E31" s="3" t="n">
        <v>63</v>
      </c>
      <c r="F31" s="3" t="n">
        <v>0</v>
      </c>
      <c r="G31" s="3" t="n">
        <v>16</v>
      </c>
      <c r="H31" s="3" t="n">
        <v>3</v>
      </c>
      <c r="I31" s="4" t="n">
        <v>174</v>
      </c>
      <c r="J31" s="4" t="n">
        <v>4</v>
      </c>
    </row>
    <row r="32" customFormat="false" ht="15" hidden="false" customHeight="false" outlineLevel="0" collapsed="false">
      <c r="A32" s="4" t="s">
        <v>47</v>
      </c>
      <c r="B32" s="4" t="n">
        <v>3</v>
      </c>
      <c r="C32" s="4" t="s">
        <v>75</v>
      </c>
      <c r="D32" s="3" t="n">
        <v>64</v>
      </c>
      <c r="E32" s="3" t="n">
        <v>64</v>
      </c>
      <c r="F32" s="3" t="n">
        <v>0</v>
      </c>
      <c r="G32" s="3" t="n">
        <v>16</v>
      </c>
      <c r="H32" s="3" t="n">
        <v>4</v>
      </c>
      <c r="I32" s="4" t="n">
        <v>175</v>
      </c>
      <c r="J32" s="4" t="n">
        <v>4</v>
      </c>
    </row>
    <row r="33" customFormat="false" ht="15" hidden="false" customHeight="false" outlineLevel="0" collapsed="false">
      <c r="A33" s="4" t="s">
        <v>47</v>
      </c>
      <c r="B33" s="4" t="n">
        <v>11</v>
      </c>
      <c r="C33" s="4" t="s">
        <v>76</v>
      </c>
      <c r="D33" s="3" t="n">
        <v>64</v>
      </c>
      <c r="E33" s="3" t="n">
        <v>64</v>
      </c>
      <c r="F33" s="3" t="n">
        <v>0</v>
      </c>
      <c r="G33" s="3" t="n">
        <v>16</v>
      </c>
      <c r="H33" s="3" t="n">
        <v>5</v>
      </c>
      <c r="I33" s="4" t="n">
        <v>176</v>
      </c>
      <c r="J33" s="4" t="n">
        <v>4</v>
      </c>
    </row>
    <row r="34" customFormat="false" ht="15" hidden="false" customHeight="false" outlineLevel="0" collapsed="false">
      <c r="A34" s="4" t="s">
        <v>42</v>
      </c>
      <c r="B34" s="4" t="n">
        <v>9</v>
      </c>
      <c r="C34" s="4" t="s">
        <v>77</v>
      </c>
      <c r="D34" s="3" t="n">
        <v>65</v>
      </c>
      <c r="E34" s="3" t="n">
        <v>65</v>
      </c>
      <c r="F34" s="3" t="n">
        <v>0</v>
      </c>
      <c r="G34" s="3" t="n">
        <v>16</v>
      </c>
      <c r="H34" s="3" t="n">
        <v>6</v>
      </c>
      <c r="I34" s="4" t="n">
        <v>177</v>
      </c>
      <c r="J34" s="4" t="n">
        <v>4</v>
      </c>
    </row>
    <row r="35" customFormat="false" ht="15" hidden="false" customHeight="false" outlineLevel="0" collapsed="false">
      <c r="A35" s="4" t="s">
        <v>47</v>
      </c>
      <c r="B35" s="4" t="n">
        <v>10</v>
      </c>
      <c r="C35" s="4" t="s">
        <v>78</v>
      </c>
      <c r="D35" s="3" t="n">
        <v>65</v>
      </c>
      <c r="E35" s="3" t="n">
        <v>65</v>
      </c>
      <c r="F35" s="3" t="n">
        <v>0</v>
      </c>
      <c r="G35" s="3" t="n">
        <v>16</v>
      </c>
      <c r="H35" s="3" t="n">
        <v>7</v>
      </c>
      <c r="I35" s="4" t="n">
        <v>178</v>
      </c>
      <c r="J35" s="4" t="n">
        <v>4</v>
      </c>
    </row>
    <row r="36" customFormat="false" ht="15" hidden="false" customHeight="false" outlineLevel="0" collapsed="false">
      <c r="A36" s="4" t="s">
        <v>47</v>
      </c>
      <c r="B36" s="4" t="n">
        <v>23</v>
      </c>
      <c r="C36" s="4" t="s">
        <v>79</v>
      </c>
      <c r="D36" s="3" t="n">
        <v>65</v>
      </c>
      <c r="E36" s="3" t="n">
        <v>65</v>
      </c>
      <c r="F36" s="3" t="n">
        <v>0</v>
      </c>
      <c r="G36" s="3" t="n">
        <v>16</v>
      </c>
      <c r="H36" s="3" t="n">
        <v>8</v>
      </c>
      <c r="I36" s="4" t="n">
        <v>179</v>
      </c>
      <c r="J36" s="4" t="n">
        <v>4</v>
      </c>
    </row>
    <row r="37" customFormat="false" ht="15" hidden="false" customHeight="false" outlineLevel="0" collapsed="false">
      <c r="A37" s="4" t="s">
        <v>45</v>
      </c>
      <c r="B37" s="4" t="n">
        <v>1</v>
      </c>
      <c r="C37" s="4" t="s">
        <v>80</v>
      </c>
      <c r="D37" s="3" t="n">
        <v>65</v>
      </c>
      <c r="E37" s="3" t="n">
        <v>65</v>
      </c>
      <c r="F37" s="3" t="n">
        <v>0</v>
      </c>
      <c r="G37" s="3" t="n">
        <v>16</v>
      </c>
      <c r="H37" s="3" t="n">
        <v>9</v>
      </c>
      <c r="I37" s="4" t="n">
        <v>180</v>
      </c>
      <c r="J37" s="4" t="n">
        <v>4</v>
      </c>
    </row>
    <row r="38" customFormat="false" ht="15" hidden="false" customHeight="false" outlineLevel="0" collapsed="false">
      <c r="A38" s="4" t="s">
        <v>45</v>
      </c>
      <c r="B38" s="4" t="n">
        <v>13</v>
      </c>
      <c r="C38" s="4" t="s">
        <v>81</v>
      </c>
      <c r="D38" s="3" t="n">
        <v>65</v>
      </c>
      <c r="E38" s="3" t="n">
        <v>65</v>
      </c>
      <c r="F38" s="3" t="n">
        <v>0</v>
      </c>
      <c r="G38" s="3" t="n">
        <v>19</v>
      </c>
      <c r="H38" s="3" t="n">
        <v>1</v>
      </c>
      <c r="I38" s="4" t="n">
        <v>199</v>
      </c>
      <c r="J38" s="4" t="n">
        <v>6</v>
      </c>
    </row>
    <row r="39" customFormat="false" ht="15" hidden="false" customHeight="false" outlineLevel="0" collapsed="false">
      <c r="A39" s="4" t="s">
        <v>42</v>
      </c>
      <c r="B39" s="4" t="n">
        <v>22</v>
      </c>
      <c r="C39" s="4" t="s">
        <v>82</v>
      </c>
      <c r="D39" s="3" t="n">
        <v>66</v>
      </c>
      <c r="E39" s="3" t="n">
        <v>66</v>
      </c>
      <c r="F39" s="3" t="n">
        <v>0</v>
      </c>
      <c r="G39" s="3" t="n">
        <v>19</v>
      </c>
      <c r="H39" s="3" t="n">
        <v>2</v>
      </c>
      <c r="I39" s="4" t="n">
        <v>200</v>
      </c>
      <c r="J39" s="4" t="n">
        <v>6</v>
      </c>
    </row>
    <row r="40" customFormat="false" ht="15" hidden="false" customHeight="false" outlineLevel="0" collapsed="false">
      <c r="A40" s="4" t="s">
        <v>47</v>
      </c>
      <c r="B40" s="4" t="n">
        <v>4</v>
      </c>
      <c r="C40" s="4" t="s">
        <v>83</v>
      </c>
      <c r="D40" s="3" t="n">
        <v>66</v>
      </c>
      <c r="E40" s="3" t="n">
        <v>66</v>
      </c>
      <c r="F40" s="3" t="n">
        <v>0</v>
      </c>
      <c r="G40" s="3" t="n">
        <v>19</v>
      </c>
      <c r="H40" s="3" t="n">
        <v>3</v>
      </c>
      <c r="I40" s="4" t="n">
        <v>201</v>
      </c>
      <c r="J40" s="4" t="n">
        <v>6</v>
      </c>
    </row>
    <row r="41" customFormat="false" ht="15" hidden="false" customHeight="false" outlineLevel="0" collapsed="false">
      <c r="A41" s="4" t="s">
        <v>45</v>
      </c>
      <c r="B41" s="4" t="n">
        <v>2</v>
      </c>
      <c r="C41" s="4" t="s">
        <v>84</v>
      </c>
      <c r="D41" s="3" t="n">
        <v>66</v>
      </c>
      <c r="E41" s="3" t="n">
        <v>66</v>
      </c>
      <c r="F41" s="3" t="n">
        <v>0</v>
      </c>
      <c r="G41" s="3" t="n">
        <v>19</v>
      </c>
      <c r="H41" s="3" t="n">
        <v>4</v>
      </c>
      <c r="I41" s="4" t="n">
        <v>202</v>
      </c>
      <c r="J41" s="4" t="n">
        <v>6</v>
      </c>
    </row>
    <row r="42" customFormat="false" ht="15" hidden="false" customHeight="false" outlineLevel="0" collapsed="false">
      <c r="A42" s="4" t="s">
        <v>47</v>
      </c>
      <c r="B42" s="4" t="n">
        <v>6</v>
      </c>
      <c r="C42" s="4" t="s">
        <v>85</v>
      </c>
      <c r="D42" s="3" t="n">
        <v>67</v>
      </c>
      <c r="E42" s="3" t="n">
        <v>67</v>
      </c>
      <c r="F42" s="3" t="n">
        <v>0</v>
      </c>
      <c r="G42" s="3" t="n">
        <v>19</v>
      </c>
      <c r="H42" s="3" t="n">
        <v>5</v>
      </c>
      <c r="I42" s="4" t="n">
        <v>203</v>
      </c>
      <c r="J42" s="4" t="n">
        <v>6</v>
      </c>
    </row>
    <row r="43" customFormat="false" ht="15" hidden="false" customHeight="false" outlineLevel="0" collapsed="false">
      <c r="A43" s="4" t="s">
        <v>42</v>
      </c>
      <c r="B43" s="4" t="n">
        <v>7</v>
      </c>
      <c r="C43" s="4" t="s">
        <v>86</v>
      </c>
      <c r="D43" s="3" t="n">
        <v>68</v>
      </c>
      <c r="E43" s="3" t="n">
        <v>68</v>
      </c>
      <c r="F43" s="3" t="n">
        <v>0</v>
      </c>
      <c r="G43" s="3" t="n">
        <v>19</v>
      </c>
      <c r="H43" s="3" t="n">
        <v>6</v>
      </c>
      <c r="I43" s="4" t="n">
        <v>204</v>
      </c>
      <c r="J43" s="4" t="n">
        <v>6</v>
      </c>
    </row>
    <row r="44" customFormat="false" ht="15" hidden="false" customHeight="false" outlineLevel="0" collapsed="false">
      <c r="A44" s="4" t="s">
        <v>47</v>
      </c>
      <c r="B44" s="4" t="n">
        <v>17</v>
      </c>
      <c r="C44" s="4" t="s">
        <v>87</v>
      </c>
      <c r="D44" s="3" t="n">
        <v>68</v>
      </c>
      <c r="E44" s="3" t="n">
        <v>68</v>
      </c>
      <c r="F44" s="3" t="n">
        <v>0</v>
      </c>
      <c r="G44" s="3" t="n">
        <v>19</v>
      </c>
      <c r="H44" s="3" t="n">
        <v>7</v>
      </c>
      <c r="I44" s="4" t="n">
        <v>205</v>
      </c>
      <c r="J44" s="4" t="n">
        <v>6</v>
      </c>
    </row>
    <row r="45" customFormat="false" ht="15" hidden="false" customHeight="false" outlineLevel="0" collapsed="false">
      <c r="A45" s="4" t="s">
        <v>42</v>
      </c>
      <c r="B45" s="4" t="n">
        <v>2</v>
      </c>
      <c r="C45" s="4" t="s">
        <v>88</v>
      </c>
      <c r="D45" s="3" t="n">
        <v>69</v>
      </c>
      <c r="E45" s="3" t="n">
        <v>69</v>
      </c>
      <c r="F45" s="3" t="n">
        <v>0</v>
      </c>
      <c r="G45" s="3" t="n">
        <v>19</v>
      </c>
      <c r="H45" s="3" t="n">
        <v>8</v>
      </c>
      <c r="I45" s="4" t="n">
        <v>206</v>
      </c>
      <c r="J45" s="4" t="n">
        <v>6</v>
      </c>
    </row>
    <row r="46" customFormat="false" ht="15" hidden="false" customHeight="false" outlineLevel="0" collapsed="false">
      <c r="A46" s="4" t="s">
        <v>47</v>
      </c>
      <c r="B46" s="4" t="n">
        <v>8</v>
      </c>
      <c r="C46" s="4" t="s">
        <v>89</v>
      </c>
      <c r="D46" s="3" t="n">
        <v>69</v>
      </c>
      <c r="E46" s="3" t="n">
        <v>69</v>
      </c>
      <c r="F46" s="3" t="n">
        <v>0</v>
      </c>
      <c r="G46" s="3" t="n">
        <v>19</v>
      </c>
      <c r="H46" s="3" t="n">
        <v>9</v>
      </c>
      <c r="I46" s="4" t="n">
        <v>207</v>
      </c>
      <c r="J46" s="4" t="n">
        <v>6</v>
      </c>
    </row>
    <row r="47" customFormat="false" ht="15" hidden="false" customHeight="false" outlineLevel="0" collapsed="false">
      <c r="A47" s="4" t="s">
        <v>42</v>
      </c>
      <c r="B47" s="4" t="n">
        <v>12</v>
      </c>
      <c r="C47" s="4" t="s">
        <v>90</v>
      </c>
      <c r="D47" s="3" t="n">
        <v>70</v>
      </c>
      <c r="E47" s="3" t="n">
        <v>70</v>
      </c>
      <c r="F47" s="3" t="n">
        <v>0</v>
      </c>
      <c r="G47" s="3" t="n">
        <v>22</v>
      </c>
      <c r="H47" s="3" t="n">
        <v>1</v>
      </c>
      <c r="I47" s="4" t="n">
        <v>226</v>
      </c>
      <c r="J47" s="4" t="n">
        <v>8</v>
      </c>
    </row>
    <row r="48" customFormat="false" ht="15" hidden="false" customHeight="false" outlineLevel="0" collapsed="false">
      <c r="A48" s="4" t="s">
        <v>47</v>
      </c>
      <c r="B48" s="4" t="n">
        <v>18</v>
      </c>
      <c r="C48" s="4" t="s">
        <v>91</v>
      </c>
      <c r="D48" s="3" t="n">
        <v>74</v>
      </c>
      <c r="E48" s="3" t="n">
        <v>74</v>
      </c>
      <c r="F48" s="3" t="n">
        <v>0</v>
      </c>
      <c r="G48" s="3" t="n">
        <v>22</v>
      </c>
      <c r="H48" s="3" t="n">
        <v>2</v>
      </c>
      <c r="I48" s="4" t="n">
        <v>227</v>
      </c>
      <c r="J48" s="4" t="n">
        <v>8</v>
      </c>
    </row>
    <row r="49" customFormat="false" ht="15" hidden="false" customHeight="false" outlineLevel="0" collapsed="false">
      <c r="A49" s="4" t="s">
        <v>42</v>
      </c>
      <c r="B49" s="4" t="n">
        <v>40</v>
      </c>
      <c r="C49" s="4" t="s">
        <v>92</v>
      </c>
      <c r="D49" s="3" t="n">
        <v>76</v>
      </c>
      <c r="E49" s="3" t="n">
        <v>76</v>
      </c>
      <c r="F49" s="3" t="n">
        <v>0</v>
      </c>
      <c r="G49" s="3" t="n">
        <v>22</v>
      </c>
      <c r="H49" s="3" t="n">
        <v>3</v>
      </c>
      <c r="I49" s="4" t="n">
        <v>228</v>
      </c>
      <c r="J49" s="4" t="n">
        <v>8</v>
      </c>
    </row>
    <row r="50" customFormat="false" ht="15" hidden="false" customHeight="false" outlineLevel="0" collapsed="false">
      <c r="A50" s="4" t="s">
        <v>45</v>
      </c>
      <c r="B50" s="4" t="n">
        <v>11</v>
      </c>
      <c r="C50" s="4" t="s">
        <v>93</v>
      </c>
      <c r="D50" s="3" t="n">
        <v>78</v>
      </c>
      <c r="E50" s="3" t="n">
        <v>78</v>
      </c>
      <c r="F50" s="3" t="n">
        <v>0</v>
      </c>
      <c r="G50" s="3" t="n">
        <v>22</v>
      </c>
      <c r="H50" s="3" t="n">
        <v>4</v>
      </c>
      <c r="I50" s="4" t="n">
        <v>229</v>
      </c>
      <c r="J50" s="4" t="n">
        <v>8</v>
      </c>
    </row>
    <row r="51" customFormat="false" ht="15" hidden="false" customHeight="false" outlineLevel="0" collapsed="false">
      <c r="A51" s="4" t="s">
        <v>42</v>
      </c>
      <c r="B51" s="4" t="n">
        <v>31</v>
      </c>
      <c r="C51" s="4" t="s">
        <v>94</v>
      </c>
      <c r="D51" s="3" t="n">
        <v>79</v>
      </c>
      <c r="E51" s="3" t="n">
        <v>79</v>
      </c>
      <c r="F51" s="3" t="n">
        <v>0</v>
      </c>
      <c r="G51" s="3" t="n">
        <v>22</v>
      </c>
      <c r="H51" s="3" t="n">
        <v>5</v>
      </c>
      <c r="I51" s="4" t="n">
        <v>230</v>
      </c>
      <c r="J51" s="4" t="n">
        <v>8</v>
      </c>
    </row>
    <row r="52" customFormat="false" ht="15" hidden="false" customHeight="false" outlineLevel="0" collapsed="false">
      <c r="A52" s="4" t="s">
        <v>45</v>
      </c>
      <c r="B52" s="4" t="n">
        <v>3</v>
      </c>
      <c r="C52" s="4" t="s">
        <v>95</v>
      </c>
      <c r="D52" s="3" t="n">
        <v>79</v>
      </c>
      <c r="E52" s="3" t="n">
        <v>79</v>
      </c>
      <c r="F52" s="3" t="n">
        <v>0</v>
      </c>
      <c r="G52" s="3" t="n">
        <v>22</v>
      </c>
      <c r="H52" s="3" t="n">
        <v>6</v>
      </c>
      <c r="I52" s="4" t="n">
        <v>231</v>
      </c>
      <c r="J52" s="4" t="n">
        <v>8</v>
      </c>
    </row>
    <row r="53" customFormat="false" ht="15" hidden="false" customHeight="false" outlineLevel="0" collapsed="false">
      <c r="A53" s="4" t="s">
        <v>45</v>
      </c>
      <c r="B53" s="4" t="n">
        <v>8</v>
      </c>
      <c r="C53" s="4" t="s">
        <v>96</v>
      </c>
      <c r="D53" s="3" t="n">
        <v>79</v>
      </c>
      <c r="E53" s="3" t="n">
        <v>79</v>
      </c>
      <c r="F53" s="3" t="n">
        <v>0</v>
      </c>
      <c r="G53" s="3" t="n">
        <v>22</v>
      </c>
      <c r="H53" s="3" t="n">
        <v>7</v>
      </c>
      <c r="I53" s="4" t="n">
        <v>232</v>
      </c>
      <c r="J53" s="4" t="n">
        <v>8</v>
      </c>
    </row>
    <row r="54" customFormat="false" ht="15" hidden="false" customHeight="false" outlineLevel="0" collapsed="false">
      <c r="A54" s="4" t="s">
        <v>47</v>
      </c>
      <c r="B54" s="4" t="n">
        <v>16</v>
      </c>
      <c r="C54" s="4" t="s">
        <v>97</v>
      </c>
      <c r="D54" s="3" t="n">
        <v>80</v>
      </c>
      <c r="E54" s="3" t="n">
        <v>80</v>
      </c>
      <c r="F54" s="3" t="n">
        <v>0</v>
      </c>
      <c r="G54" s="3" t="n">
        <v>22</v>
      </c>
      <c r="H54" s="3" t="n">
        <v>8</v>
      </c>
      <c r="I54" s="4" t="n">
        <v>233</v>
      </c>
      <c r="J54" s="4" t="n">
        <v>8</v>
      </c>
    </row>
    <row r="55" customFormat="false" ht="15" hidden="false" customHeight="false" outlineLevel="0" collapsed="false">
      <c r="A55" s="4" t="s">
        <v>42</v>
      </c>
      <c r="B55" s="4" t="n">
        <v>8</v>
      </c>
      <c r="C55" s="4" t="s">
        <v>98</v>
      </c>
      <c r="D55" s="3" t="n">
        <v>83</v>
      </c>
      <c r="E55" s="3" t="n">
        <v>83</v>
      </c>
      <c r="F55" s="3" t="n">
        <v>0</v>
      </c>
      <c r="G55" s="3" t="n">
        <v>22</v>
      </c>
      <c r="H55" s="3" t="n">
        <v>9</v>
      </c>
      <c r="I55" s="4" t="n">
        <v>234</v>
      </c>
      <c r="J55" s="4" t="n">
        <v>8</v>
      </c>
    </row>
    <row r="56" customFormat="false" ht="15" hidden="false" customHeight="false" outlineLevel="0" collapsed="false">
      <c r="A56" s="4" t="s">
        <v>47</v>
      </c>
      <c r="B56" s="4" t="n">
        <v>22</v>
      </c>
      <c r="C56" s="4" t="s">
        <v>99</v>
      </c>
      <c r="D56" s="3" t="n">
        <v>83</v>
      </c>
      <c r="E56" s="3" t="n">
        <v>83</v>
      </c>
      <c r="F56" s="3" t="n">
        <v>0</v>
      </c>
      <c r="G56" s="3" t="n">
        <v>23</v>
      </c>
      <c r="H56" s="3" t="n">
        <v>1</v>
      </c>
      <c r="I56" s="4" t="n">
        <v>235</v>
      </c>
      <c r="J56" s="4" t="n">
        <v>8</v>
      </c>
    </row>
    <row r="57" customFormat="false" ht="15" hidden="false" customHeight="false" outlineLevel="0" collapsed="false">
      <c r="A57" s="4" t="s">
        <v>42</v>
      </c>
      <c r="B57" s="4" t="n">
        <v>37</v>
      </c>
      <c r="C57" s="4" t="s">
        <v>100</v>
      </c>
      <c r="D57" s="3" t="n">
        <v>84</v>
      </c>
      <c r="E57" s="3" t="n">
        <v>84</v>
      </c>
      <c r="F57" s="3" t="n">
        <v>0</v>
      </c>
      <c r="G57" s="3" t="n">
        <v>23</v>
      </c>
      <c r="H57" s="3" t="n">
        <v>2</v>
      </c>
      <c r="I57" s="4" t="n">
        <v>236</v>
      </c>
      <c r="J57" s="4" t="n">
        <v>8</v>
      </c>
    </row>
    <row r="58" customFormat="false" ht="15" hidden="false" customHeight="false" outlineLevel="0" collapsed="false">
      <c r="A58" s="4" t="s">
        <v>45</v>
      </c>
      <c r="B58" s="4" t="n">
        <v>14</v>
      </c>
      <c r="C58" s="4" t="s">
        <v>101</v>
      </c>
      <c r="D58" s="3" t="n">
        <v>44</v>
      </c>
      <c r="E58" s="3" t="n">
        <v>84</v>
      </c>
      <c r="F58" s="3" t="n">
        <v>1</v>
      </c>
      <c r="G58" s="3" t="n">
        <v>23</v>
      </c>
      <c r="H58" s="3" t="n">
        <v>3</v>
      </c>
      <c r="I58" s="4" t="n">
        <v>237</v>
      </c>
      <c r="J58" s="4" t="n">
        <v>8</v>
      </c>
    </row>
    <row r="59" customFormat="false" ht="15" hidden="false" customHeight="false" outlineLevel="0" collapsed="false">
      <c r="A59" s="4" t="s">
        <v>42</v>
      </c>
      <c r="B59" s="4" t="n">
        <v>15</v>
      </c>
      <c r="C59" s="4" t="s">
        <v>102</v>
      </c>
      <c r="D59" s="3" t="n">
        <v>85</v>
      </c>
      <c r="E59" s="3" t="n">
        <v>85</v>
      </c>
      <c r="F59" s="3" t="n">
        <v>0</v>
      </c>
      <c r="G59" s="3" t="n">
        <v>23</v>
      </c>
      <c r="H59" s="3" t="n">
        <v>4</v>
      </c>
      <c r="I59" s="4" t="n">
        <v>238</v>
      </c>
      <c r="J59" s="4" t="n">
        <v>8</v>
      </c>
    </row>
    <row r="60" customFormat="false" ht="15" hidden="false" customHeight="false" outlineLevel="0" collapsed="false">
      <c r="A60" s="4" t="s">
        <v>47</v>
      </c>
      <c r="B60" s="4" t="n">
        <v>31</v>
      </c>
      <c r="C60" s="4" t="s">
        <v>103</v>
      </c>
      <c r="D60" s="3" t="n">
        <v>85</v>
      </c>
      <c r="E60" s="3" t="n">
        <v>85</v>
      </c>
      <c r="F60" s="3" t="n">
        <v>0</v>
      </c>
      <c r="G60" s="3" t="n">
        <v>23</v>
      </c>
      <c r="H60" s="3" t="n">
        <v>5</v>
      </c>
      <c r="I60" s="4" t="n">
        <v>239</v>
      </c>
      <c r="J60" s="4" t="n">
        <v>8</v>
      </c>
    </row>
    <row r="61" customFormat="false" ht="15" hidden="false" customHeight="false" outlineLevel="0" collapsed="false">
      <c r="A61" s="4" t="s">
        <v>45</v>
      </c>
      <c r="B61" s="4" t="n">
        <v>6</v>
      </c>
      <c r="C61" s="4" t="s">
        <v>104</v>
      </c>
      <c r="D61" s="3" t="n">
        <v>85</v>
      </c>
      <c r="E61" s="3" t="n">
        <v>85</v>
      </c>
      <c r="F61" s="3" t="n">
        <v>0</v>
      </c>
      <c r="G61" s="3" t="n">
        <v>23</v>
      </c>
      <c r="H61" s="3" t="n">
        <v>6</v>
      </c>
      <c r="I61" s="4" t="n">
        <v>240</v>
      </c>
      <c r="J61" s="4" t="n">
        <v>8</v>
      </c>
    </row>
    <row r="62" customFormat="false" ht="15" hidden="false" customHeight="false" outlineLevel="0" collapsed="false">
      <c r="A62" s="4" t="s">
        <v>42</v>
      </c>
      <c r="B62" s="4" t="n">
        <v>38</v>
      </c>
      <c r="C62" s="4" t="s">
        <v>105</v>
      </c>
      <c r="D62" s="3" t="n">
        <v>46</v>
      </c>
      <c r="E62" s="3" t="n">
        <v>86</v>
      </c>
      <c r="F62" s="3" t="n">
        <v>1</v>
      </c>
      <c r="G62" s="3" t="n">
        <v>23</v>
      </c>
      <c r="H62" s="3" t="n">
        <v>7</v>
      </c>
      <c r="I62" s="4" t="n">
        <v>241</v>
      </c>
      <c r="J62" s="4" t="n">
        <v>8</v>
      </c>
    </row>
    <row r="63" customFormat="false" ht="15" hidden="false" customHeight="false" outlineLevel="0" collapsed="false">
      <c r="A63" s="4" t="s">
        <v>42</v>
      </c>
      <c r="B63" s="4" t="n">
        <v>42</v>
      </c>
      <c r="C63" s="4" t="s">
        <v>106</v>
      </c>
      <c r="D63" s="3" t="n">
        <v>86</v>
      </c>
      <c r="E63" s="3" t="n">
        <v>86</v>
      </c>
      <c r="F63" s="3" t="n">
        <v>0</v>
      </c>
      <c r="G63" s="3" t="n">
        <v>23</v>
      </c>
      <c r="H63" s="3" t="n">
        <v>8</v>
      </c>
      <c r="I63" s="4" t="n">
        <v>242</v>
      </c>
      <c r="J63" s="4" t="n">
        <v>8</v>
      </c>
    </row>
    <row r="64" customFormat="false" ht="15" hidden="false" customHeight="false" outlineLevel="0" collapsed="false">
      <c r="A64" s="4" t="s">
        <v>45</v>
      </c>
      <c r="B64" s="4" t="n">
        <v>18</v>
      </c>
      <c r="C64" s="4" t="s">
        <v>107</v>
      </c>
      <c r="D64" s="3" t="n">
        <v>87</v>
      </c>
      <c r="E64" s="3" t="n">
        <v>87</v>
      </c>
      <c r="F64" s="3" t="n">
        <v>0</v>
      </c>
      <c r="G64" s="3" t="n">
        <v>23</v>
      </c>
      <c r="H64" s="3" t="n">
        <v>9</v>
      </c>
      <c r="I64" s="4" t="n">
        <v>243</v>
      </c>
      <c r="J64" s="4" t="n">
        <v>8</v>
      </c>
    </row>
    <row r="65" customFormat="false" ht="15" hidden="false" customHeight="false" outlineLevel="0" collapsed="false">
      <c r="A65" s="4" t="s">
        <v>42</v>
      </c>
      <c r="B65" s="4" t="n">
        <v>45</v>
      </c>
      <c r="C65" s="4" t="s">
        <v>108</v>
      </c>
      <c r="D65" s="3" t="n">
        <v>48</v>
      </c>
      <c r="E65" s="3" t="n">
        <v>88</v>
      </c>
      <c r="F65" s="3" t="n">
        <v>1</v>
      </c>
      <c r="G65" s="3" t="n">
        <v>24</v>
      </c>
      <c r="H65" s="3" t="n">
        <v>1</v>
      </c>
      <c r="I65" s="4" t="n">
        <v>244</v>
      </c>
      <c r="J65" s="4" t="n">
        <v>8</v>
      </c>
    </row>
    <row r="66" customFormat="false" ht="15" hidden="false" customHeight="false" outlineLevel="0" collapsed="false">
      <c r="A66" s="4" t="s">
        <v>47</v>
      </c>
      <c r="B66" s="4" t="n">
        <v>24</v>
      </c>
      <c r="C66" s="4" t="s">
        <v>109</v>
      </c>
      <c r="D66" s="3" t="n">
        <v>90</v>
      </c>
      <c r="E66" s="3" t="n">
        <v>90</v>
      </c>
      <c r="F66" s="3" t="n">
        <v>0</v>
      </c>
      <c r="G66" s="3" t="n">
        <v>24</v>
      </c>
      <c r="H66" s="3" t="n">
        <v>2</v>
      </c>
      <c r="I66" s="4" t="n">
        <v>245</v>
      </c>
      <c r="J66" s="4" t="n">
        <v>8</v>
      </c>
    </row>
    <row r="67" customFormat="false" ht="15" hidden="false" customHeight="false" outlineLevel="0" collapsed="false">
      <c r="A67" s="4" t="s">
        <v>42</v>
      </c>
      <c r="B67" s="4" t="n">
        <v>39</v>
      </c>
      <c r="C67" s="4" t="s">
        <v>110</v>
      </c>
      <c r="D67" s="3" t="n">
        <v>91</v>
      </c>
      <c r="E67" s="3" t="n">
        <v>91</v>
      </c>
      <c r="F67" s="3" t="n">
        <v>0</v>
      </c>
      <c r="G67" s="3" t="n">
        <v>24</v>
      </c>
      <c r="H67" s="3" t="n">
        <v>3</v>
      </c>
      <c r="I67" s="4" t="n">
        <v>246</v>
      </c>
      <c r="J67" s="4" t="n">
        <v>8</v>
      </c>
    </row>
    <row r="68" customFormat="false" ht="15" hidden="false" customHeight="false" outlineLevel="0" collapsed="false">
      <c r="A68" s="4" t="s">
        <v>42</v>
      </c>
      <c r="B68" s="4" t="n">
        <v>46</v>
      </c>
      <c r="C68" s="4" t="s">
        <v>111</v>
      </c>
      <c r="D68" s="3" t="n">
        <v>91</v>
      </c>
      <c r="E68" s="3" t="n">
        <v>91</v>
      </c>
      <c r="F68" s="3" t="n">
        <v>0</v>
      </c>
      <c r="G68" s="3" t="n">
        <v>24</v>
      </c>
      <c r="H68" s="3" t="n">
        <v>4</v>
      </c>
      <c r="I68" s="4" t="n">
        <v>247</v>
      </c>
      <c r="J68" s="4" t="n">
        <v>8</v>
      </c>
    </row>
    <row r="69" customFormat="false" ht="15" hidden="false" customHeight="false" outlineLevel="0" collapsed="false">
      <c r="A69" s="4" t="s">
        <v>42</v>
      </c>
      <c r="B69" s="4" t="n">
        <v>17</v>
      </c>
      <c r="C69" s="4" t="s">
        <v>112</v>
      </c>
      <c r="D69" s="3" t="n">
        <v>92</v>
      </c>
      <c r="E69" s="3" t="n">
        <v>92</v>
      </c>
      <c r="F69" s="3" t="n">
        <v>0</v>
      </c>
      <c r="G69" s="3" t="n">
        <v>24</v>
      </c>
      <c r="H69" s="3" t="n">
        <v>5</v>
      </c>
      <c r="I69" s="4" t="n">
        <v>248</v>
      </c>
      <c r="J69" s="4" t="n">
        <v>8</v>
      </c>
    </row>
    <row r="70" customFormat="false" ht="15" hidden="false" customHeight="false" outlineLevel="0" collapsed="false">
      <c r="A70" s="4" t="s">
        <v>42</v>
      </c>
      <c r="B70" s="4" t="n">
        <v>34</v>
      </c>
      <c r="C70" s="4" t="s">
        <v>113</v>
      </c>
      <c r="D70" s="3" t="n">
        <v>92</v>
      </c>
      <c r="E70" s="3" t="n">
        <v>92</v>
      </c>
      <c r="F70" s="3" t="n">
        <v>0</v>
      </c>
      <c r="G70" s="3" t="n">
        <v>24</v>
      </c>
      <c r="H70" s="3" t="n">
        <v>6</v>
      </c>
      <c r="I70" s="4" t="n">
        <v>249</v>
      </c>
      <c r="J70" s="4" t="n">
        <v>8</v>
      </c>
    </row>
    <row r="71" customFormat="false" ht="15" hidden="false" customHeight="false" outlineLevel="0" collapsed="false">
      <c r="A71" s="4" t="s">
        <v>47</v>
      </c>
      <c r="B71" s="4" t="n">
        <v>1</v>
      </c>
      <c r="C71" s="4" t="s">
        <v>114</v>
      </c>
      <c r="D71" s="3" t="n">
        <v>52</v>
      </c>
      <c r="E71" s="3" t="n">
        <v>92</v>
      </c>
      <c r="F71" s="3" t="n">
        <v>1</v>
      </c>
      <c r="G71" s="3" t="n">
        <v>24</v>
      </c>
      <c r="H71" s="3" t="n">
        <v>7</v>
      </c>
      <c r="I71" s="4" t="n">
        <v>250</v>
      </c>
      <c r="J71" s="4" t="n">
        <v>8</v>
      </c>
    </row>
    <row r="72" customFormat="false" ht="15" hidden="false" customHeight="false" outlineLevel="0" collapsed="false">
      <c r="A72" s="4" t="s">
        <v>42</v>
      </c>
      <c r="B72" s="4" t="n">
        <v>16</v>
      </c>
      <c r="C72" s="4" t="s">
        <v>115</v>
      </c>
      <c r="D72" s="3" t="n">
        <v>94</v>
      </c>
      <c r="E72" s="3" t="n">
        <v>94</v>
      </c>
      <c r="F72" s="3" t="n">
        <v>0</v>
      </c>
      <c r="G72" s="3" t="n">
        <v>24</v>
      </c>
      <c r="H72" s="3" t="n">
        <v>8</v>
      </c>
      <c r="I72" s="4" t="n">
        <v>251</v>
      </c>
      <c r="J72" s="4" t="n">
        <v>8</v>
      </c>
    </row>
    <row r="73" customFormat="false" ht="15" hidden="false" customHeight="false" outlineLevel="0" collapsed="false">
      <c r="A73" s="4" t="s">
        <v>42</v>
      </c>
      <c r="B73" s="4" t="n">
        <v>27</v>
      </c>
      <c r="C73" s="4" t="s">
        <v>116</v>
      </c>
      <c r="D73" s="3" t="n">
        <v>94</v>
      </c>
      <c r="E73" s="3" t="n">
        <v>94</v>
      </c>
      <c r="F73" s="3" t="n">
        <v>0</v>
      </c>
      <c r="G73" s="3" t="n">
        <v>24</v>
      </c>
      <c r="H73" s="3" t="n">
        <v>9</v>
      </c>
      <c r="I73" s="4" t="n">
        <v>252</v>
      </c>
      <c r="J73" s="4" t="n">
        <v>8</v>
      </c>
    </row>
    <row r="74" customFormat="false" ht="15" hidden="false" customHeight="false" outlineLevel="0" collapsed="false">
      <c r="A74" s="4" t="s">
        <v>42</v>
      </c>
      <c r="B74" s="4" t="n">
        <v>28</v>
      </c>
      <c r="C74" s="4" t="s">
        <v>117</v>
      </c>
      <c r="D74" s="3" t="n">
        <v>94</v>
      </c>
      <c r="E74" s="3" t="n">
        <v>94</v>
      </c>
      <c r="F74" s="3" t="n">
        <v>0</v>
      </c>
      <c r="G74" s="3" t="n">
        <v>25</v>
      </c>
      <c r="H74" s="3" t="n">
        <v>1</v>
      </c>
      <c r="I74" s="4" t="n">
        <v>253</v>
      </c>
      <c r="J74" s="4" t="n">
        <v>8</v>
      </c>
    </row>
    <row r="75" customFormat="false" ht="15" hidden="false" customHeight="false" outlineLevel="0" collapsed="false">
      <c r="A75" s="4" t="s">
        <v>47</v>
      </c>
      <c r="B75" s="4" t="n">
        <v>2</v>
      </c>
      <c r="C75" s="4" t="s">
        <v>118</v>
      </c>
      <c r="D75" s="3" t="n">
        <v>54</v>
      </c>
      <c r="E75" s="3" t="n">
        <v>94</v>
      </c>
      <c r="F75" s="3" t="n">
        <v>1</v>
      </c>
      <c r="G75" s="3" t="n">
        <v>25</v>
      </c>
      <c r="H75" s="3" t="n">
        <v>2</v>
      </c>
      <c r="I75" s="4" t="n">
        <v>254</v>
      </c>
      <c r="J75" s="4" t="n">
        <v>8</v>
      </c>
    </row>
    <row r="76" customFormat="false" ht="15" hidden="false" customHeight="false" outlineLevel="0" collapsed="false">
      <c r="A76" s="4" t="s">
        <v>42</v>
      </c>
      <c r="B76" s="4" t="n">
        <v>32</v>
      </c>
      <c r="C76" s="4" t="s">
        <v>119</v>
      </c>
      <c r="D76" s="3" t="n">
        <v>95</v>
      </c>
      <c r="E76" s="3" t="n">
        <v>95</v>
      </c>
      <c r="F76" s="3" t="n">
        <v>0</v>
      </c>
      <c r="G76" s="3" t="n">
        <v>25</v>
      </c>
      <c r="H76" s="3" t="n">
        <v>3</v>
      </c>
      <c r="I76" s="4" t="n">
        <v>255</v>
      </c>
      <c r="J76" s="4" t="n">
        <v>8</v>
      </c>
    </row>
    <row r="77" customFormat="false" ht="15" hidden="false" customHeight="false" outlineLevel="0" collapsed="false">
      <c r="A77" s="4" t="s">
        <v>45</v>
      </c>
      <c r="B77" s="4" t="n">
        <v>20</v>
      </c>
      <c r="C77" s="4" t="s">
        <v>120</v>
      </c>
      <c r="D77" s="3" t="n">
        <v>55</v>
      </c>
      <c r="E77" s="3" t="n">
        <v>95</v>
      </c>
      <c r="F77" s="3" t="n">
        <v>1</v>
      </c>
      <c r="G77" s="3" t="n">
        <v>25</v>
      </c>
      <c r="H77" s="3" t="n">
        <v>4</v>
      </c>
      <c r="I77" s="4" t="n">
        <v>256</v>
      </c>
      <c r="J77" s="4" t="n">
        <v>8</v>
      </c>
    </row>
    <row r="78" customFormat="false" ht="15" hidden="false" customHeight="false" outlineLevel="0" collapsed="false">
      <c r="A78" s="4" t="s">
        <v>42</v>
      </c>
      <c r="B78" s="4" t="n">
        <v>21</v>
      </c>
      <c r="C78" s="4" t="s">
        <v>121</v>
      </c>
      <c r="D78" s="3" t="n">
        <v>56</v>
      </c>
      <c r="E78" s="3" t="n">
        <v>96</v>
      </c>
      <c r="F78" s="3" t="n">
        <v>1</v>
      </c>
      <c r="G78" s="3" t="n">
        <v>25</v>
      </c>
      <c r="H78" s="3" t="n">
        <v>5</v>
      </c>
      <c r="I78" s="4" t="n">
        <v>257</v>
      </c>
      <c r="J78" s="4" t="n">
        <v>8</v>
      </c>
    </row>
    <row r="79" customFormat="false" ht="15" hidden="false" customHeight="false" outlineLevel="0" collapsed="false">
      <c r="A79" s="4" t="s">
        <v>42</v>
      </c>
      <c r="B79" s="4" t="n">
        <v>29</v>
      </c>
      <c r="C79" s="4" t="s">
        <v>122</v>
      </c>
      <c r="D79" s="3" t="n">
        <v>56</v>
      </c>
      <c r="E79" s="3" t="n">
        <v>96</v>
      </c>
      <c r="F79" s="3" t="n">
        <v>1</v>
      </c>
      <c r="G79" s="3" t="n">
        <v>25</v>
      </c>
      <c r="H79" s="3" t="n">
        <v>6</v>
      </c>
      <c r="I79" s="4" t="n">
        <v>258</v>
      </c>
      <c r="J79" s="4" t="n">
        <v>8</v>
      </c>
    </row>
    <row r="80" customFormat="false" ht="15" hidden="false" customHeight="false" outlineLevel="0" collapsed="false">
      <c r="A80" s="4" t="s">
        <v>45</v>
      </c>
      <c r="B80" s="4" t="n">
        <v>12</v>
      </c>
      <c r="C80" s="4" t="s">
        <v>123</v>
      </c>
      <c r="D80" s="3" t="n">
        <v>98</v>
      </c>
      <c r="E80" s="3" t="n">
        <v>98</v>
      </c>
      <c r="F80" s="3" t="n">
        <v>0</v>
      </c>
      <c r="G80" s="3" t="n">
        <v>25</v>
      </c>
      <c r="H80" s="3" t="n">
        <v>7</v>
      </c>
      <c r="I80" s="4" t="n">
        <v>259</v>
      </c>
      <c r="J80" s="4" t="n">
        <v>8</v>
      </c>
    </row>
    <row r="81" customFormat="false" ht="15" hidden="false" customHeight="false" outlineLevel="0" collapsed="false">
      <c r="A81" s="4" t="s">
        <v>42</v>
      </c>
      <c r="B81" s="4" t="n">
        <v>4</v>
      </c>
      <c r="C81" s="4" t="s">
        <v>124</v>
      </c>
      <c r="D81" s="3" t="n">
        <v>100</v>
      </c>
      <c r="E81" s="3" t="n">
        <v>100</v>
      </c>
      <c r="F81" s="3" t="n">
        <v>0</v>
      </c>
      <c r="G81" s="3" t="n">
        <v>25</v>
      </c>
      <c r="H81" s="3" t="n">
        <v>8</v>
      </c>
      <c r="I81" s="4" t="n">
        <v>260</v>
      </c>
      <c r="J81" s="4" t="n">
        <v>8</v>
      </c>
    </row>
    <row r="82" customFormat="false" ht="15" hidden="false" customHeight="false" outlineLevel="0" collapsed="false">
      <c r="A82" s="4" t="s">
        <v>45</v>
      </c>
      <c r="B82" s="4" t="n">
        <v>15</v>
      </c>
      <c r="C82" s="4" t="s">
        <v>125</v>
      </c>
      <c r="D82" s="3" t="n">
        <v>100</v>
      </c>
      <c r="E82" s="3" t="n">
        <v>100</v>
      </c>
      <c r="F82" s="3" t="n">
        <v>0</v>
      </c>
      <c r="G82" s="3" t="n">
        <v>25</v>
      </c>
      <c r="H82" s="3" t="n">
        <v>9</v>
      </c>
      <c r="I82" s="4" t="n">
        <v>261</v>
      </c>
      <c r="J82" s="4" t="n">
        <v>8</v>
      </c>
    </row>
    <row r="83" customFormat="false" ht="15" hidden="false" customHeight="false" outlineLevel="0" collapsed="false">
      <c r="A83" s="4" t="s">
        <v>47</v>
      </c>
      <c r="B83" s="4" t="n">
        <v>28</v>
      </c>
      <c r="C83" s="4" t="s">
        <v>126</v>
      </c>
      <c r="D83" s="3" t="n">
        <v>64</v>
      </c>
      <c r="E83" s="3" t="n">
        <v>104</v>
      </c>
      <c r="F83" s="3" t="n">
        <v>1</v>
      </c>
      <c r="G83" s="3" t="n">
        <v>26</v>
      </c>
      <c r="H83" s="3" t="n">
        <v>1</v>
      </c>
      <c r="I83" s="4" t="n">
        <v>262</v>
      </c>
      <c r="J83" s="4" t="n">
        <v>8</v>
      </c>
    </row>
    <row r="84" customFormat="false" ht="15" hidden="false" customHeight="false" outlineLevel="0" collapsed="false">
      <c r="A84" s="4" t="s">
        <v>47</v>
      </c>
      <c r="B84" s="4" t="n">
        <v>30</v>
      </c>
      <c r="C84" s="4" t="s">
        <v>127</v>
      </c>
      <c r="D84" s="3" t="n">
        <v>104</v>
      </c>
      <c r="E84" s="3" t="n">
        <v>104</v>
      </c>
      <c r="F84" s="3" t="n">
        <v>0</v>
      </c>
      <c r="G84" s="3" t="n">
        <v>26</v>
      </c>
      <c r="H84" s="3" t="n">
        <v>2</v>
      </c>
      <c r="I84" s="4" t="n">
        <v>263</v>
      </c>
      <c r="J84" s="4" t="n">
        <v>8</v>
      </c>
    </row>
    <row r="85" customFormat="false" ht="15" hidden="false" customHeight="false" outlineLevel="0" collapsed="false">
      <c r="A85" s="4" t="s">
        <v>42</v>
      </c>
      <c r="B85" s="4" t="n">
        <v>10</v>
      </c>
      <c r="C85" s="4" t="s">
        <v>128</v>
      </c>
      <c r="D85" s="3" t="n">
        <v>105</v>
      </c>
      <c r="E85" s="3" t="n">
        <v>105</v>
      </c>
      <c r="F85" s="3" t="n">
        <v>0</v>
      </c>
      <c r="G85" s="3" t="n">
        <v>26</v>
      </c>
      <c r="H85" s="3" t="n">
        <v>3</v>
      </c>
      <c r="I85" s="4" t="n">
        <v>264</v>
      </c>
      <c r="J85" s="4" t="n">
        <v>8</v>
      </c>
    </row>
    <row r="86" customFormat="false" ht="15" hidden="false" customHeight="false" outlineLevel="0" collapsed="false">
      <c r="A86" s="4" t="s">
        <v>42</v>
      </c>
      <c r="B86" s="4" t="n">
        <v>36</v>
      </c>
      <c r="C86" s="4" t="s">
        <v>129</v>
      </c>
      <c r="D86" s="3" t="n">
        <v>105</v>
      </c>
      <c r="E86" s="3" t="n">
        <v>105</v>
      </c>
      <c r="F86" s="3" t="n">
        <v>0</v>
      </c>
      <c r="G86" s="3" t="n">
        <v>26</v>
      </c>
      <c r="H86" s="3" t="n">
        <v>4</v>
      </c>
      <c r="I86" s="4" t="n">
        <v>265</v>
      </c>
      <c r="J86" s="4" t="n">
        <v>8</v>
      </c>
    </row>
    <row r="87" customFormat="false" ht="15" hidden="false" customHeight="false" outlineLevel="0" collapsed="false">
      <c r="A87" s="4" t="s">
        <v>42</v>
      </c>
      <c r="B87" s="4" t="n">
        <v>3</v>
      </c>
      <c r="C87" s="4" t="s">
        <v>130</v>
      </c>
      <c r="D87" s="3" t="n">
        <v>107</v>
      </c>
      <c r="E87" s="3" t="n">
        <v>107</v>
      </c>
      <c r="F87" s="3" t="n">
        <v>0</v>
      </c>
      <c r="G87" s="3" t="n">
        <v>26</v>
      </c>
      <c r="H87" s="3" t="n">
        <v>5</v>
      </c>
      <c r="I87" s="4" t="n">
        <v>266</v>
      </c>
      <c r="J87" s="4" t="n">
        <v>8</v>
      </c>
    </row>
    <row r="88" customFormat="false" ht="15" hidden="false" customHeight="false" outlineLevel="0" collapsed="false">
      <c r="A88" s="4" t="s">
        <v>42</v>
      </c>
      <c r="B88" s="4" t="n">
        <v>26</v>
      </c>
      <c r="C88" s="4" t="s">
        <v>131</v>
      </c>
      <c r="D88" s="3" t="n">
        <v>68</v>
      </c>
      <c r="E88" s="3" t="n">
        <v>108</v>
      </c>
      <c r="F88" s="3" t="n">
        <v>1</v>
      </c>
      <c r="G88" s="3" t="n">
        <v>26</v>
      </c>
      <c r="H88" s="3" t="n">
        <v>6</v>
      </c>
      <c r="I88" s="4" t="n">
        <v>267</v>
      </c>
      <c r="J88" s="4" t="n">
        <v>8</v>
      </c>
    </row>
    <row r="89" customFormat="false" ht="15" hidden="false" customHeight="false" outlineLevel="0" collapsed="false">
      <c r="A89" s="4" t="s">
        <v>42</v>
      </c>
      <c r="B89" s="4" t="n">
        <v>5</v>
      </c>
      <c r="C89" s="4" t="s">
        <v>132</v>
      </c>
      <c r="D89" s="3" t="n">
        <v>70</v>
      </c>
      <c r="E89" s="3" t="n">
        <v>110</v>
      </c>
      <c r="F89" s="3" t="n">
        <v>1</v>
      </c>
      <c r="G89" s="3" t="n">
        <v>26</v>
      </c>
      <c r="H89" s="3" t="n">
        <v>7</v>
      </c>
      <c r="I89" s="4" t="n">
        <v>268</v>
      </c>
      <c r="J89" s="4" t="n">
        <v>8</v>
      </c>
    </row>
    <row r="90" customFormat="false" ht="15" hidden="false" customHeight="false" outlineLevel="0" collapsed="false">
      <c r="A90" s="4" t="s">
        <v>42</v>
      </c>
      <c r="B90" s="4" t="n">
        <v>25</v>
      </c>
      <c r="C90" s="4" t="s">
        <v>133</v>
      </c>
      <c r="D90" s="3" t="n">
        <v>118</v>
      </c>
      <c r="E90" s="3" t="n">
        <v>118</v>
      </c>
      <c r="F90" s="3" t="n">
        <v>0</v>
      </c>
      <c r="G90" s="3" t="n">
        <v>26</v>
      </c>
      <c r="H90" s="3" t="n">
        <v>8</v>
      </c>
      <c r="I90" s="4" t="n">
        <v>269</v>
      </c>
      <c r="J90" s="4" t="n">
        <v>8</v>
      </c>
    </row>
    <row r="91" customFormat="false" ht="15" hidden="false" customHeight="false" outlineLevel="0" collapsed="false">
      <c r="A91" s="4" t="s">
        <v>47</v>
      </c>
      <c r="B91" s="4" t="n">
        <v>25</v>
      </c>
      <c r="C91" s="4" t="s">
        <v>134</v>
      </c>
      <c r="D91" s="3" t="n">
        <v>119</v>
      </c>
      <c r="E91" s="3" t="n">
        <v>119</v>
      </c>
      <c r="F91" s="3" t="n">
        <v>0</v>
      </c>
      <c r="G91" s="3" t="n">
        <v>26</v>
      </c>
      <c r="H91" s="3" t="n">
        <v>9</v>
      </c>
      <c r="I91" s="4" t="n">
        <v>270</v>
      </c>
      <c r="J91" s="4" t="n">
        <v>8</v>
      </c>
    </row>
    <row r="92" customFormat="false" ht="15" hidden="false" customHeight="false" outlineLevel="0" collapsed="false">
      <c r="A92" s="4" t="s">
        <v>42</v>
      </c>
      <c r="B92" s="4" t="n">
        <v>33</v>
      </c>
      <c r="C92" s="4" t="s">
        <v>135</v>
      </c>
      <c r="D92" s="3" t="n">
        <v>121</v>
      </c>
      <c r="E92" s="3" t="n">
        <v>121</v>
      </c>
      <c r="F92" s="3" t="n">
        <v>0</v>
      </c>
      <c r="G92" s="3" t="n">
        <v>28</v>
      </c>
      <c r="H92" s="3" t="n">
        <v>1</v>
      </c>
      <c r="I92" s="4" t="n">
        <v>280</v>
      </c>
      <c r="J92" s="4" t="n">
        <v>10</v>
      </c>
    </row>
    <row r="93" customFormat="false" ht="15" hidden="false" customHeight="false" outlineLevel="0" collapsed="false">
      <c r="A93" s="4" t="s">
        <v>42</v>
      </c>
      <c r="B93" s="4" t="n">
        <v>13</v>
      </c>
      <c r="C93" s="4" t="s">
        <v>136</v>
      </c>
      <c r="D93" s="3" t="n">
        <v>83</v>
      </c>
      <c r="E93" s="3" t="n">
        <v>123</v>
      </c>
      <c r="F93" s="3" t="n">
        <v>1</v>
      </c>
      <c r="G93" s="3" t="n">
        <v>28</v>
      </c>
      <c r="H93" s="3" t="n">
        <v>2</v>
      </c>
      <c r="I93" s="4" t="n">
        <v>281</v>
      </c>
      <c r="J93" s="4" t="n">
        <v>10</v>
      </c>
    </row>
    <row r="94" customFormat="false" ht="15" hidden="false" customHeight="false" outlineLevel="0" collapsed="false">
      <c r="A94" s="4" t="s">
        <v>42</v>
      </c>
      <c r="B94" s="4" t="n">
        <v>11</v>
      </c>
      <c r="C94" s="4" t="s">
        <v>137</v>
      </c>
      <c r="D94" s="3" t="n">
        <v>134</v>
      </c>
      <c r="E94" s="3" t="n">
        <v>134</v>
      </c>
      <c r="F94" s="3" t="n">
        <v>0</v>
      </c>
      <c r="G94" s="3" t="n">
        <v>28</v>
      </c>
      <c r="H94" s="3" t="n">
        <v>3</v>
      </c>
      <c r="I94" s="4" t="n">
        <v>282</v>
      </c>
      <c r="J94" s="4" t="n">
        <v>10</v>
      </c>
    </row>
    <row r="95" customFormat="false" ht="15" hidden="false" customHeight="false" outlineLevel="0" collapsed="false">
      <c r="A95" s="4" t="s">
        <v>47</v>
      </c>
      <c r="B95" s="4" t="n">
        <v>14</v>
      </c>
      <c r="C95" s="4" t="s">
        <v>138</v>
      </c>
      <c r="D95" s="3" t="n">
        <v>171</v>
      </c>
      <c r="E95" s="3" t="n">
        <v>171</v>
      </c>
      <c r="F95" s="3" t="n">
        <v>0</v>
      </c>
      <c r="G95" s="3" t="n">
        <v>28</v>
      </c>
      <c r="H95" s="3" t="n">
        <v>4</v>
      </c>
      <c r="I95" s="4" t="n">
        <v>283</v>
      </c>
      <c r="J95" s="4" t="n">
        <v>10</v>
      </c>
    </row>
    <row r="96" customFormat="false" ht="15" hidden="false" customHeight="false" outlineLevel="0" collapsed="false">
      <c r="A96" s="4" t="s">
        <v>42</v>
      </c>
      <c r="B96" s="4" t="n">
        <v>19</v>
      </c>
      <c r="C96" s="4" t="s">
        <v>139</v>
      </c>
      <c r="D96" s="3" t="n">
        <v>186</v>
      </c>
      <c r="E96" s="3" t="n">
        <v>186</v>
      </c>
      <c r="F96" s="3" t="n">
        <v>0</v>
      </c>
      <c r="G96" s="3" t="n">
        <v>28</v>
      </c>
      <c r="H96" s="3" t="n">
        <v>5</v>
      </c>
      <c r="I96" s="4" t="n">
        <v>284</v>
      </c>
      <c r="J96" s="4" t="n">
        <v>10</v>
      </c>
    </row>
    <row r="97" customFormat="false" ht="15" hidden="false" customHeight="false" outlineLevel="0" collapsed="false">
      <c r="A97" s="4" t="s">
        <v>42</v>
      </c>
      <c r="B97" s="4" t="n">
        <v>23</v>
      </c>
      <c r="C97" s="4" t="s">
        <v>140</v>
      </c>
      <c r="D97" s="3" t="n">
        <v>188</v>
      </c>
      <c r="E97" s="3" t="n">
        <v>188</v>
      </c>
      <c r="F97" s="3" t="n">
        <v>0</v>
      </c>
      <c r="G97" s="3" t="n">
        <v>28</v>
      </c>
      <c r="H97" s="3" t="n">
        <v>6</v>
      </c>
      <c r="I97" s="4" t="n">
        <v>285</v>
      </c>
      <c r="J97" s="4" t="n">
        <v>10</v>
      </c>
    </row>
    <row r="98" customFormat="false" ht="15" hidden="false" customHeight="false" outlineLevel="0" collapsed="false">
      <c r="A98" s="4" t="s">
        <v>42</v>
      </c>
      <c r="B98" s="4" t="n">
        <v>18</v>
      </c>
      <c r="C98" s="4" t="s">
        <v>141</v>
      </c>
      <c r="D98" s="3" t="n">
        <v>131</v>
      </c>
      <c r="E98" s="3" t="n">
        <v>211</v>
      </c>
      <c r="F98" s="3" t="n">
        <v>1</v>
      </c>
      <c r="G98" s="3" t="n">
        <v>28</v>
      </c>
      <c r="H98" s="3" t="n">
        <v>7</v>
      </c>
      <c r="I98" s="4" t="n">
        <v>286</v>
      </c>
      <c r="J98" s="4" t="n">
        <v>10</v>
      </c>
    </row>
    <row r="99" customFormat="false" ht="15" hidden="false" customHeight="false" outlineLevel="0" collapsed="false">
      <c r="A99" s="4" t="s">
        <v>42</v>
      </c>
      <c r="B99" s="4" t="n">
        <v>6</v>
      </c>
      <c r="C99" s="4" t="s">
        <v>142</v>
      </c>
      <c r="D99" s="3" t="n">
        <v>191</v>
      </c>
      <c r="E99" s="3" t="n">
        <v>271</v>
      </c>
      <c r="F99" s="3" t="n">
        <v>1</v>
      </c>
      <c r="G99" s="3" t="n">
        <v>28</v>
      </c>
      <c r="H99" s="3" t="n">
        <v>8</v>
      </c>
      <c r="I99" s="4" t="n">
        <v>287</v>
      </c>
      <c r="J99" s="4" t="n">
        <v>10</v>
      </c>
    </row>
    <row r="100" customFormat="false" ht="15" hidden="false" customHeight="false" outlineLevel="0" collapsed="false">
      <c r="A100" s="4" t="s">
        <v>42</v>
      </c>
      <c r="B100" s="4" t="n">
        <v>14</v>
      </c>
      <c r="C100" s="4" t="s">
        <v>143</v>
      </c>
      <c r="D100" s="3" t="n">
        <v>217</v>
      </c>
      <c r="E100" s="3" t="n">
        <v>297</v>
      </c>
      <c r="F100" s="3" t="n">
        <v>1</v>
      </c>
      <c r="G100" s="3" t="n">
        <v>28</v>
      </c>
      <c r="H100" s="3" t="n">
        <v>9</v>
      </c>
      <c r="I100" s="4" t="n">
        <v>288</v>
      </c>
      <c r="J100" s="4" t="n">
        <v>10</v>
      </c>
    </row>
    <row r="102" customFormat="false" ht="15" hidden="false" customHeight="false" outlineLevel="0" collapsed="false">
      <c r="C102" s="1" t="s">
        <v>144</v>
      </c>
      <c r="D102" s="1" t="n">
        <f aca="false">SUM(D2:D100)</f>
        <v>7840</v>
      </c>
      <c r="E102" s="1" t="n">
        <f aca="false">SUM(E2:E100)</f>
        <v>8560</v>
      </c>
      <c r="F102" s="1" t="n">
        <f aca="false">SUM(F2:F100)</f>
        <v>15</v>
      </c>
    </row>
    <row r="104" customFormat="false" ht="15" hidden="false" customHeight="false" outlineLevel="0" collapsed="false">
      <c r="A104" s="4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9" min="5" style="0" width="20"/>
  </cols>
  <sheetData>
    <row r="1" customFormat="false" ht="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2" t="s">
        <v>149</v>
      </c>
      <c r="D2" s="2" t="s">
        <v>150</v>
      </c>
      <c r="E2" s="2" t="s">
        <v>151</v>
      </c>
      <c r="F2" s="2" t="s">
        <v>152</v>
      </c>
      <c r="G2" s="2" t="s">
        <v>153</v>
      </c>
      <c r="H2" s="2" t="s">
        <v>154</v>
      </c>
      <c r="I2" s="2" t="s">
        <v>155</v>
      </c>
    </row>
    <row r="3" customFormat="false" ht="15" hidden="false" customHeight="false" outlineLevel="0" collapsed="false">
      <c r="A3" s="4" t="n">
        <v>12</v>
      </c>
      <c r="B3" s="4" t="n">
        <v>13</v>
      </c>
      <c r="C3" s="4" t="n">
        <v>14</v>
      </c>
      <c r="D3" s="4" t="n">
        <v>16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</row>
    <row r="4" customFormat="false" ht="15" hidden="false" customHeight="false" outlineLevel="0" collapsed="false">
      <c r="A4" s="4" t="n">
        <v>12</v>
      </c>
      <c r="B4" s="4" t="n">
        <v>13</v>
      </c>
      <c r="C4" s="4" t="n">
        <v>14</v>
      </c>
      <c r="D4" s="4" t="n">
        <v>19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</row>
    <row r="5" customFormat="false" ht="15" hidden="false" customHeight="false" outlineLevel="0" collapsed="false">
      <c r="A5" s="4" t="n">
        <v>12</v>
      </c>
      <c r="B5" s="4" t="n">
        <v>13</v>
      </c>
      <c r="C5" s="4" t="n">
        <v>14</v>
      </c>
      <c r="D5" s="4" t="n">
        <v>22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</row>
    <row r="6" customFormat="false" ht="15" hidden="false" customHeight="false" outlineLevel="0" collapsed="false">
      <c r="A6" s="4" t="n">
        <v>12</v>
      </c>
      <c r="B6" s="4" t="n">
        <v>13</v>
      </c>
      <c r="C6" s="4" t="n">
        <v>14</v>
      </c>
      <c r="D6" s="4" t="n">
        <v>23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</row>
    <row r="7" customFormat="false" ht="15" hidden="false" customHeight="false" outlineLevel="0" collapsed="false">
      <c r="A7" s="4" t="n">
        <v>12</v>
      </c>
      <c r="B7" s="4" t="n">
        <v>13</v>
      </c>
      <c r="C7" s="4" t="n">
        <v>14</v>
      </c>
      <c r="D7" s="4" t="n">
        <v>24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</row>
    <row r="8" customFormat="false" ht="15" hidden="false" customHeight="false" outlineLevel="0" collapsed="false">
      <c r="A8" s="4" t="n">
        <v>12</v>
      </c>
      <c r="B8" s="4" t="n">
        <v>13</v>
      </c>
      <c r="C8" s="4" t="n">
        <v>14</v>
      </c>
      <c r="D8" s="4" t="n">
        <v>25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</row>
    <row r="9" customFormat="false" ht="15" hidden="false" customHeight="false" outlineLevel="0" collapsed="false">
      <c r="A9" s="4" t="n">
        <v>12</v>
      </c>
      <c r="B9" s="4" t="n">
        <v>13</v>
      </c>
      <c r="C9" s="4" t="n">
        <v>14</v>
      </c>
      <c r="D9" s="4" t="n">
        <v>26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</row>
    <row r="10" customFormat="false" ht="15" hidden="false" customHeight="false" outlineLevel="0" collapsed="false">
      <c r="A10" s="4" t="n">
        <v>12</v>
      </c>
      <c r="B10" s="4" t="n">
        <v>13</v>
      </c>
      <c r="C10" s="4" t="n">
        <v>14</v>
      </c>
      <c r="D10" s="4" t="n">
        <v>28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</row>
    <row r="11" customFormat="false" ht="15" hidden="false" customHeight="false" outlineLevel="0" collapsed="false">
      <c r="A11" s="4" t="n">
        <v>12</v>
      </c>
      <c r="B11" s="4" t="n">
        <v>13</v>
      </c>
      <c r="C11" s="4" t="n">
        <v>16</v>
      </c>
      <c r="D11" s="4" t="n">
        <v>19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</row>
    <row r="12" customFormat="false" ht="15" hidden="false" customHeight="false" outlineLevel="0" collapsed="false">
      <c r="A12" s="4" t="n">
        <v>12</v>
      </c>
      <c r="B12" s="4" t="n">
        <v>13</v>
      </c>
      <c r="C12" s="4" t="n">
        <v>16</v>
      </c>
      <c r="D12" s="4" t="n">
        <v>22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</row>
    <row r="13" customFormat="false" ht="15" hidden="false" customHeight="false" outlineLevel="0" collapsed="false">
      <c r="A13" s="4" t="n">
        <v>12</v>
      </c>
      <c r="B13" s="4" t="n">
        <v>13</v>
      </c>
      <c r="C13" s="4" t="n">
        <v>16</v>
      </c>
      <c r="D13" s="4" t="n">
        <v>23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</row>
    <row r="14" customFormat="false" ht="15" hidden="false" customHeight="false" outlineLevel="0" collapsed="false">
      <c r="A14" s="4" t="n">
        <v>12</v>
      </c>
      <c r="B14" s="4" t="n">
        <v>13</v>
      </c>
      <c r="C14" s="4" t="n">
        <v>16</v>
      </c>
      <c r="D14" s="4" t="n">
        <v>24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</row>
    <row r="15" customFormat="false" ht="15" hidden="false" customHeight="false" outlineLevel="0" collapsed="false">
      <c r="A15" s="4" t="n">
        <v>12</v>
      </c>
      <c r="B15" s="4" t="n">
        <v>13</v>
      </c>
      <c r="C15" s="4" t="n">
        <v>16</v>
      </c>
      <c r="D15" s="4" t="n">
        <v>25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</row>
    <row r="16" customFormat="false" ht="15" hidden="false" customHeight="false" outlineLevel="0" collapsed="false">
      <c r="A16" s="4" t="n">
        <v>12</v>
      </c>
      <c r="B16" s="4" t="n">
        <v>13</v>
      </c>
      <c r="C16" s="4" t="n">
        <v>16</v>
      </c>
      <c r="D16" s="4" t="n">
        <v>26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</row>
    <row r="17" customFormat="false" ht="15" hidden="false" customHeight="false" outlineLevel="0" collapsed="false">
      <c r="A17" s="4" t="n">
        <v>12</v>
      </c>
      <c r="B17" s="4" t="n">
        <v>13</v>
      </c>
      <c r="C17" s="4" t="n">
        <v>16</v>
      </c>
      <c r="D17" s="4" t="n">
        <v>28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</row>
    <row r="18" customFormat="false" ht="15" hidden="false" customHeight="false" outlineLevel="0" collapsed="false">
      <c r="A18" s="4" t="n">
        <v>12</v>
      </c>
      <c r="B18" s="4" t="n">
        <v>13</v>
      </c>
      <c r="C18" s="4" t="n">
        <v>19</v>
      </c>
      <c r="D18" s="4" t="n">
        <v>22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</row>
    <row r="19" customFormat="false" ht="15" hidden="false" customHeight="false" outlineLevel="0" collapsed="false">
      <c r="A19" s="4" t="n">
        <v>12</v>
      </c>
      <c r="B19" s="4" t="n">
        <v>13</v>
      </c>
      <c r="C19" s="4" t="n">
        <v>19</v>
      </c>
      <c r="D19" s="4" t="n">
        <v>23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</row>
    <row r="20" customFormat="false" ht="15" hidden="false" customHeight="false" outlineLevel="0" collapsed="false">
      <c r="A20" s="4" t="n">
        <v>12</v>
      </c>
      <c r="B20" s="4" t="n">
        <v>13</v>
      </c>
      <c r="C20" s="4" t="n">
        <v>19</v>
      </c>
      <c r="D20" s="4" t="n">
        <v>24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</row>
    <row r="21" customFormat="false" ht="15" hidden="false" customHeight="false" outlineLevel="0" collapsed="false">
      <c r="A21" s="4" t="n">
        <v>12</v>
      </c>
      <c r="B21" s="4" t="n">
        <v>13</v>
      </c>
      <c r="C21" s="4" t="n">
        <v>19</v>
      </c>
      <c r="D21" s="4" t="n">
        <v>25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</row>
    <row r="22" customFormat="false" ht="15" hidden="false" customHeight="false" outlineLevel="0" collapsed="false">
      <c r="A22" s="4" t="n">
        <v>12</v>
      </c>
      <c r="B22" s="4" t="n">
        <v>13</v>
      </c>
      <c r="C22" s="4" t="n">
        <v>19</v>
      </c>
      <c r="D22" s="4" t="n">
        <v>26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</row>
    <row r="23" customFormat="false" ht="15" hidden="false" customHeight="false" outlineLevel="0" collapsed="false">
      <c r="A23" s="4" t="n">
        <v>12</v>
      </c>
      <c r="B23" s="4" t="n">
        <v>13</v>
      </c>
      <c r="C23" s="4" t="n">
        <v>19</v>
      </c>
      <c r="D23" s="4" t="n">
        <v>28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</row>
    <row r="24" customFormat="false" ht="15" hidden="false" customHeight="false" outlineLevel="0" collapsed="false">
      <c r="A24" s="4" t="n">
        <v>12</v>
      </c>
      <c r="B24" s="4" t="n">
        <v>13</v>
      </c>
      <c r="C24" s="4" t="n">
        <v>22</v>
      </c>
      <c r="D24" s="4" t="n">
        <v>23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</row>
    <row r="25" customFormat="false" ht="15" hidden="false" customHeight="false" outlineLevel="0" collapsed="false">
      <c r="A25" s="4" t="n">
        <v>12</v>
      </c>
      <c r="B25" s="4" t="n">
        <v>13</v>
      </c>
      <c r="C25" s="4" t="n">
        <v>22</v>
      </c>
      <c r="D25" s="4" t="n">
        <v>24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</row>
    <row r="26" customFormat="false" ht="15" hidden="false" customHeight="false" outlineLevel="0" collapsed="false">
      <c r="A26" s="4" t="n">
        <v>12</v>
      </c>
      <c r="B26" s="4" t="n">
        <v>13</v>
      </c>
      <c r="C26" s="4" t="n">
        <v>22</v>
      </c>
      <c r="D26" s="4" t="n">
        <v>25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</row>
    <row r="27" customFormat="false" ht="15" hidden="false" customHeight="false" outlineLevel="0" collapsed="false">
      <c r="A27" s="4" t="n">
        <v>12</v>
      </c>
      <c r="B27" s="4" t="n">
        <v>13</v>
      </c>
      <c r="C27" s="4" t="n">
        <v>22</v>
      </c>
      <c r="D27" s="4" t="n">
        <v>26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</row>
    <row r="28" customFormat="false" ht="15" hidden="false" customHeight="false" outlineLevel="0" collapsed="false">
      <c r="A28" s="4" t="n">
        <v>12</v>
      </c>
      <c r="B28" s="4" t="n">
        <v>13</v>
      </c>
      <c r="C28" s="4" t="n">
        <v>22</v>
      </c>
      <c r="D28" s="4" t="n">
        <v>28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</row>
    <row r="29" customFormat="false" ht="15" hidden="false" customHeight="false" outlineLevel="0" collapsed="false">
      <c r="A29" s="4" t="n">
        <v>12</v>
      </c>
      <c r="B29" s="4" t="n">
        <v>13</v>
      </c>
      <c r="C29" s="4" t="n">
        <v>23</v>
      </c>
      <c r="D29" s="4" t="n">
        <v>24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</row>
    <row r="30" customFormat="false" ht="15" hidden="false" customHeight="false" outlineLevel="0" collapsed="false">
      <c r="A30" s="4" t="n">
        <v>12</v>
      </c>
      <c r="B30" s="4" t="n">
        <v>13</v>
      </c>
      <c r="C30" s="4" t="n">
        <v>23</v>
      </c>
      <c r="D30" s="4" t="n">
        <v>25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</row>
    <row r="31" customFormat="false" ht="15" hidden="false" customHeight="false" outlineLevel="0" collapsed="false">
      <c r="A31" s="4" t="n">
        <v>12</v>
      </c>
      <c r="B31" s="4" t="n">
        <v>13</v>
      </c>
      <c r="C31" s="4" t="n">
        <v>23</v>
      </c>
      <c r="D31" s="4" t="n">
        <v>26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</row>
    <row r="32" customFormat="false" ht="15" hidden="false" customHeight="false" outlineLevel="0" collapsed="false">
      <c r="A32" s="4" t="n">
        <v>12</v>
      </c>
      <c r="B32" s="4" t="n">
        <v>13</v>
      </c>
      <c r="C32" s="4" t="n">
        <v>23</v>
      </c>
      <c r="D32" s="4" t="n">
        <v>28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</row>
    <row r="33" customFormat="false" ht="15" hidden="false" customHeight="false" outlineLevel="0" collapsed="false">
      <c r="A33" s="4" t="n">
        <v>12</v>
      </c>
      <c r="B33" s="4" t="n">
        <v>13</v>
      </c>
      <c r="C33" s="4" t="n">
        <v>24</v>
      </c>
      <c r="D33" s="4" t="n">
        <v>25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</row>
    <row r="34" customFormat="false" ht="15" hidden="false" customHeight="false" outlineLevel="0" collapsed="false">
      <c r="A34" s="4" t="n">
        <v>12</v>
      </c>
      <c r="B34" s="4" t="n">
        <v>13</v>
      </c>
      <c r="C34" s="4" t="n">
        <v>24</v>
      </c>
      <c r="D34" s="4" t="n">
        <v>26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</row>
    <row r="35" customFormat="false" ht="15" hidden="false" customHeight="false" outlineLevel="0" collapsed="false">
      <c r="A35" s="4" t="n">
        <v>12</v>
      </c>
      <c r="B35" s="4" t="n">
        <v>13</v>
      </c>
      <c r="C35" s="4" t="n">
        <v>24</v>
      </c>
      <c r="D35" s="4" t="n">
        <v>28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</row>
    <row r="36" customFormat="false" ht="15" hidden="false" customHeight="false" outlineLevel="0" collapsed="false">
      <c r="A36" s="4" t="n">
        <v>12</v>
      </c>
      <c r="B36" s="4" t="n">
        <v>13</v>
      </c>
      <c r="C36" s="4" t="n">
        <v>25</v>
      </c>
      <c r="D36" s="4" t="n">
        <v>26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</row>
    <row r="37" customFormat="false" ht="15" hidden="false" customHeight="false" outlineLevel="0" collapsed="false">
      <c r="A37" s="4" t="n">
        <v>12</v>
      </c>
      <c r="B37" s="4" t="n">
        <v>13</v>
      </c>
      <c r="C37" s="4" t="n">
        <v>25</v>
      </c>
      <c r="D37" s="4" t="n">
        <v>28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</row>
    <row r="38" customFormat="false" ht="15" hidden="false" customHeight="false" outlineLevel="0" collapsed="false">
      <c r="A38" s="4" t="n">
        <v>12</v>
      </c>
      <c r="B38" s="4" t="n">
        <v>13</v>
      </c>
      <c r="C38" s="4" t="n">
        <v>26</v>
      </c>
      <c r="D38" s="4" t="n">
        <v>28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</row>
    <row r="39" customFormat="false" ht="15" hidden="false" customHeight="false" outlineLevel="0" collapsed="false">
      <c r="A39" s="4" t="n">
        <v>12</v>
      </c>
      <c r="B39" s="4" t="n">
        <v>14</v>
      </c>
      <c r="C39" s="4" t="n">
        <v>16</v>
      </c>
      <c r="D39" s="4" t="n">
        <v>19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</row>
    <row r="40" customFormat="false" ht="15" hidden="false" customHeight="false" outlineLevel="0" collapsed="false">
      <c r="A40" s="4" t="n">
        <v>12</v>
      </c>
      <c r="B40" s="4" t="n">
        <v>14</v>
      </c>
      <c r="C40" s="4" t="n">
        <v>16</v>
      </c>
      <c r="D40" s="4" t="n">
        <v>22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</row>
    <row r="41" customFormat="false" ht="15" hidden="false" customHeight="false" outlineLevel="0" collapsed="false">
      <c r="A41" s="4" t="n">
        <v>12</v>
      </c>
      <c r="B41" s="4" t="n">
        <v>14</v>
      </c>
      <c r="C41" s="4" t="n">
        <v>16</v>
      </c>
      <c r="D41" s="4" t="n">
        <v>23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</row>
    <row r="42" customFormat="false" ht="15" hidden="false" customHeight="false" outlineLevel="0" collapsed="false">
      <c r="A42" s="4" t="n">
        <v>12</v>
      </c>
      <c r="B42" s="4" t="n">
        <v>14</v>
      </c>
      <c r="C42" s="4" t="n">
        <v>16</v>
      </c>
      <c r="D42" s="4" t="n">
        <v>24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</row>
    <row r="43" customFormat="false" ht="15" hidden="false" customHeight="false" outlineLevel="0" collapsed="false">
      <c r="A43" s="4" t="n">
        <v>12</v>
      </c>
      <c r="B43" s="4" t="n">
        <v>14</v>
      </c>
      <c r="C43" s="4" t="n">
        <v>16</v>
      </c>
      <c r="D43" s="4" t="n">
        <v>25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</row>
    <row r="44" customFormat="false" ht="15" hidden="false" customHeight="false" outlineLevel="0" collapsed="false">
      <c r="A44" s="4" t="n">
        <v>12</v>
      </c>
      <c r="B44" s="4" t="n">
        <v>14</v>
      </c>
      <c r="C44" s="4" t="n">
        <v>16</v>
      </c>
      <c r="D44" s="4" t="n">
        <v>26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</row>
    <row r="45" customFormat="false" ht="15" hidden="false" customHeight="false" outlineLevel="0" collapsed="false">
      <c r="A45" s="4" t="n">
        <v>12</v>
      </c>
      <c r="B45" s="4" t="n">
        <v>14</v>
      </c>
      <c r="C45" s="4" t="n">
        <v>16</v>
      </c>
      <c r="D45" s="4" t="n">
        <v>28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</row>
    <row r="46" customFormat="false" ht="15" hidden="false" customHeight="false" outlineLevel="0" collapsed="false">
      <c r="A46" s="4" t="n">
        <v>12</v>
      </c>
      <c r="B46" s="4" t="n">
        <v>14</v>
      </c>
      <c r="C46" s="4" t="n">
        <v>19</v>
      </c>
      <c r="D46" s="4" t="n">
        <v>22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</row>
    <row r="47" customFormat="false" ht="15" hidden="false" customHeight="false" outlineLevel="0" collapsed="false">
      <c r="A47" s="4" t="n">
        <v>12</v>
      </c>
      <c r="B47" s="4" t="n">
        <v>14</v>
      </c>
      <c r="C47" s="4" t="n">
        <v>19</v>
      </c>
      <c r="D47" s="4" t="n">
        <v>23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</row>
    <row r="48" customFormat="false" ht="15" hidden="false" customHeight="false" outlineLevel="0" collapsed="false">
      <c r="A48" s="4" t="n">
        <v>12</v>
      </c>
      <c r="B48" s="4" t="n">
        <v>14</v>
      </c>
      <c r="C48" s="4" t="n">
        <v>19</v>
      </c>
      <c r="D48" s="4" t="n">
        <v>24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</row>
    <row r="49" customFormat="false" ht="15" hidden="false" customHeight="false" outlineLevel="0" collapsed="false">
      <c r="A49" s="4" t="n">
        <v>12</v>
      </c>
      <c r="B49" s="4" t="n">
        <v>14</v>
      </c>
      <c r="C49" s="4" t="n">
        <v>19</v>
      </c>
      <c r="D49" s="4" t="n">
        <v>25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</row>
    <row r="50" customFormat="false" ht="15" hidden="false" customHeight="false" outlineLevel="0" collapsed="false">
      <c r="A50" s="4" t="n">
        <v>12</v>
      </c>
      <c r="B50" s="4" t="n">
        <v>14</v>
      </c>
      <c r="C50" s="4" t="n">
        <v>19</v>
      </c>
      <c r="D50" s="4" t="n">
        <v>26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</row>
    <row r="51" customFormat="false" ht="15" hidden="false" customHeight="false" outlineLevel="0" collapsed="false">
      <c r="A51" s="4" t="n">
        <v>12</v>
      </c>
      <c r="B51" s="4" t="n">
        <v>14</v>
      </c>
      <c r="C51" s="4" t="n">
        <v>19</v>
      </c>
      <c r="D51" s="4" t="n">
        <v>28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</row>
    <row r="52" customFormat="false" ht="15" hidden="false" customHeight="false" outlineLevel="0" collapsed="false">
      <c r="A52" s="4" t="n">
        <v>12</v>
      </c>
      <c r="B52" s="4" t="n">
        <v>14</v>
      </c>
      <c r="C52" s="4" t="n">
        <v>22</v>
      </c>
      <c r="D52" s="4" t="n">
        <v>23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</row>
    <row r="53" customFormat="false" ht="15" hidden="false" customHeight="false" outlineLevel="0" collapsed="false">
      <c r="A53" s="4" t="n">
        <v>12</v>
      </c>
      <c r="B53" s="4" t="n">
        <v>14</v>
      </c>
      <c r="C53" s="4" t="n">
        <v>22</v>
      </c>
      <c r="D53" s="4" t="n">
        <v>24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</row>
    <row r="54" customFormat="false" ht="15" hidden="false" customHeight="false" outlineLevel="0" collapsed="false">
      <c r="A54" s="4" t="n">
        <v>12</v>
      </c>
      <c r="B54" s="4" t="n">
        <v>14</v>
      </c>
      <c r="C54" s="4" t="n">
        <v>22</v>
      </c>
      <c r="D54" s="4" t="n">
        <v>25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</row>
    <row r="55" customFormat="false" ht="15" hidden="false" customHeight="false" outlineLevel="0" collapsed="false">
      <c r="A55" s="4" t="n">
        <v>12</v>
      </c>
      <c r="B55" s="4" t="n">
        <v>14</v>
      </c>
      <c r="C55" s="4" t="n">
        <v>22</v>
      </c>
      <c r="D55" s="4" t="n">
        <v>26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</row>
    <row r="56" customFormat="false" ht="15" hidden="false" customHeight="false" outlineLevel="0" collapsed="false">
      <c r="A56" s="4" t="n">
        <v>12</v>
      </c>
      <c r="B56" s="4" t="n">
        <v>14</v>
      </c>
      <c r="C56" s="4" t="n">
        <v>22</v>
      </c>
      <c r="D56" s="4" t="n">
        <v>28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</row>
    <row r="57" customFormat="false" ht="15" hidden="false" customHeight="false" outlineLevel="0" collapsed="false">
      <c r="A57" s="4" t="n">
        <v>12</v>
      </c>
      <c r="B57" s="4" t="n">
        <v>14</v>
      </c>
      <c r="C57" s="4" t="n">
        <v>23</v>
      </c>
      <c r="D57" s="4" t="n">
        <v>24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</row>
    <row r="58" customFormat="false" ht="15" hidden="false" customHeight="false" outlineLevel="0" collapsed="false">
      <c r="A58" s="4" t="n">
        <v>12</v>
      </c>
      <c r="B58" s="4" t="n">
        <v>14</v>
      </c>
      <c r="C58" s="4" t="n">
        <v>23</v>
      </c>
      <c r="D58" s="4" t="n">
        <v>25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</row>
    <row r="59" customFormat="false" ht="15" hidden="false" customHeight="false" outlineLevel="0" collapsed="false">
      <c r="A59" s="4" t="n">
        <v>12</v>
      </c>
      <c r="B59" s="4" t="n">
        <v>14</v>
      </c>
      <c r="C59" s="4" t="n">
        <v>23</v>
      </c>
      <c r="D59" s="4" t="n">
        <v>26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</row>
    <row r="60" customFormat="false" ht="15" hidden="false" customHeight="false" outlineLevel="0" collapsed="false">
      <c r="A60" s="4" t="n">
        <v>12</v>
      </c>
      <c r="B60" s="4" t="n">
        <v>14</v>
      </c>
      <c r="C60" s="4" t="n">
        <v>23</v>
      </c>
      <c r="D60" s="4" t="n">
        <v>28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</row>
    <row r="61" customFormat="false" ht="15" hidden="false" customHeight="false" outlineLevel="0" collapsed="false">
      <c r="A61" s="4" t="n">
        <v>12</v>
      </c>
      <c r="B61" s="4" t="n">
        <v>14</v>
      </c>
      <c r="C61" s="4" t="n">
        <v>24</v>
      </c>
      <c r="D61" s="4" t="n">
        <v>25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</row>
    <row r="62" customFormat="false" ht="15" hidden="false" customHeight="false" outlineLevel="0" collapsed="false">
      <c r="A62" s="4" t="n">
        <v>12</v>
      </c>
      <c r="B62" s="4" t="n">
        <v>14</v>
      </c>
      <c r="C62" s="4" t="n">
        <v>24</v>
      </c>
      <c r="D62" s="4" t="n">
        <v>26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</row>
    <row r="63" customFormat="false" ht="15" hidden="false" customHeight="false" outlineLevel="0" collapsed="false">
      <c r="A63" s="4" t="n">
        <v>12</v>
      </c>
      <c r="B63" s="4" t="n">
        <v>14</v>
      </c>
      <c r="C63" s="4" t="n">
        <v>24</v>
      </c>
      <c r="D63" s="4" t="n">
        <v>28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</row>
    <row r="64" customFormat="false" ht="15" hidden="false" customHeight="false" outlineLevel="0" collapsed="false">
      <c r="A64" s="4" t="n">
        <v>12</v>
      </c>
      <c r="B64" s="4" t="n">
        <v>14</v>
      </c>
      <c r="C64" s="4" t="n">
        <v>25</v>
      </c>
      <c r="D64" s="4" t="n">
        <v>26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</row>
    <row r="65" customFormat="false" ht="15" hidden="false" customHeight="false" outlineLevel="0" collapsed="false">
      <c r="A65" s="4" t="n">
        <v>12</v>
      </c>
      <c r="B65" s="4" t="n">
        <v>14</v>
      </c>
      <c r="C65" s="4" t="n">
        <v>25</v>
      </c>
      <c r="D65" s="4" t="n">
        <v>28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</row>
    <row r="66" customFormat="false" ht="15" hidden="false" customHeight="false" outlineLevel="0" collapsed="false">
      <c r="A66" s="4" t="n">
        <v>12</v>
      </c>
      <c r="B66" s="4" t="n">
        <v>14</v>
      </c>
      <c r="C66" s="4" t="n">
        <v>26</v>
      </c>
      <c r="D66" s="4" t="n">
        <v>28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</row>
    <row r="67" customFormat="false" ht="15" hidden="false" customHeight="false" outlineLevel="0" collapsed="false">
      <c r="A67" s="4" t="n">
        <v>12</v>
      </c>
      <c r="B67" s="4" t="n">
        <v>16</v>
      </c>
      <c r="C67" s="4" t="n">
        <v>19</v>
      </c>
      <c r="D67" s="4" t="n">
        <v>22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109709621384</v>
      </c>
    </row>
    <row r="68" customFormat="false" ht="15" hidden="false" customHeight="false" outlineLevel="0" collapsed="false">
      <c r="A68" s="4" t="n">
        <v>12</v>
      </c>
      <c r="B68" s="4" t="n">
        <v>16</v>
      </c>
      <c r="C68" s="4" t="n">
        <v>19</v>
      </c>
      <c r="D68" s="4" t="n">
        <v>23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120240487620</v>
      </c>
    </row>
    <row r="69" customFormat="false" ht="15" hidden="false" customHeight="false" outlineLevel="0" collapsed="false">
      <c r="A69" s="4" t="n">
        <v>12</v>
      </c>
      <c r="B69" s="4" t="n">
        <v>16</v>
      </c>
      <c r="C69" s="4" t="n">
        <v>19</v>
      </c>
      <c r="D69" s="4" t="n">
        <v>24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129513936992</v>
      </c>
    </row>
    <row r="70" customFormat="false" ht="15" hidden="false" customHeight="false" outlineLevel="0" collapsed="false">
      <c r="A70" s="4" t="n">
        <v>12</v>
      </c>
      <c r="B70" s="4" t="n">
        <v>16</v>
      </c>
      <c r="C70" s="4" t="n">
        <v>19</v>
      </c>
      <c r="D70" s="4" t="n">
        <v>25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136429729744</v>
      </c>
    </row>
    <row r="71" customFormat="false" ht="15" hidden="false" customHeight="false" outlineLevel="0" collapsed="false">
      <c r="A71" s="4" t="n">
        <v>12</v>
      </c>
      <c r="B71" s="4" t="n">
        <v>16</v>
      </c>
      <c r="C71" s="4" t="n">
        <v>19</v>
      </c>
      <c r="D71" s="4" t="n">
        <v>26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154033565840</v>
      </c>
    </row>
    <row r="72" customFormat="false" ht="15" hidden="false" customHeight="false" outlineLevel="0" collapsed="false">
      <c r="A72" s="4" t="n">
        <v>12</v>
      </c>
      <c r="B72" s="4" t="n">
        <v>16</v>
      </c>
      <c r="C72" s="4" t="n">
        <v>19</v>
      </c>
      <c r="D72" s="4" t="n">
        <v>28</v>
      </c>
      <c r="E72" s="10" t="n">
        <v>0</v>
      </c>
      <c r="F72" s="10" t="n">
        <v>0</v>
      </c>
      <c r="G72" s="10" t="n">
        <v>0</v>
      </c>
      <c r="H72" s="10" t="n">
        <v>267515437816</v>
      </c>
      <c r="I72" s="10" t="n">
        <v>0</v>
      </c>
    </row>
    <row r="73" customFormat="false" ht="15" hidden="false" customHeight="false" outlineLevel="0" collapsed="false">
      <c r="A73" s="4" t="n">
        <v>12</v>
      </c>
      <c r="B73" s="4" t="n">
        <v>16</v>
      </c>
      <c r="C73" s="4" t="n">
        <v>22</v>
      </c>
      <c r="D73" s="4" t="n">
        <v>23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</row>
    <row r="74" customFormat="false" ht="15" hidden="false" customHeight="false" outlineLevel="0" collapsed="false">
      <c r="A74" s="4" t="n">
        <v>12</v>
      </c>
      <c r="B74" s="4" t="n">
        <v>16</v>
      </c>
      <c r="C74" s="4" t="n">
        <v>22</v>
      </c>
      <c r="D74" s="4" t="n">
        <v>24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</row>
    <row r="75" customFormat="false" ht="15" hidden="false" customHeight="false" outlineLevel="0" collapsed="false">
      <c r="A75" s="4" t="n">
        <v>12</v>
      </c>
      <c r="B75" s="4" t="n">
        <v>16</v>
      </c>
      <c r="C75" s="4" t="n">
        <v>22</v>
      </c>
      <c r="D75" s="4" t="n">
        <v>25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</row>
    <row r="76" customFormat="false" ht="15" hidden="false" customHeight="false" outlineLevel="0" collapsed="false">
      <c r="A76" s="4" t="n">
        <v>12</v>
      </c>
      <c r="B76" s="4" t="n">
        <v>16</v>
      </c>
      <c r="C76" s="4" t="n">
        <v>22</v>
      </c>
      <c r="D76" s="4" t="n">
        <v>26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</row>
    <row r="77" customFormat="false" ht="15" hidden="false" customHeight="false" outlineLevel="0" collapsed="false">
      <c r="A77" s="4" t="n">
        <v>12</v>
      </c>
      <c r="B77" s="4" t="n">
        <v>16</v>
      </c>
      <c r="C77" s="4" t="n">
        <v>22</v>
      </c>
      <c r="D77" s="4" t="n">
        <v>28</v>
      </c>
      <c r="E77" s="10" t="n">
        <v>0</v>
      </c>
      <c r="F77" s="10" t="n">
        <v>0</v>
      </c>
      <c r="G77" s="10" t="n">
        <v>309148635092</v>
      </c>
      <c r="H77" s="10" t="n">
        <v>0</v>
      </c>
      <c r="I77" s="10" t="n">
        <v>0</v>
      </c>
    </row>
    <row r="78" customFormat="false" ht="15" hidden="false" customHeight="false" outlineLevel="0" collapsed="false">
      <c r="A78" s="4" t="n">
        <v>12</v>
      </c>
      <c r="B78" s="4" t="n">
        <v>16</v>
      </c>
      <c r="C78" s="4" t="n">
        <v>23</v>
      </c>
      <c r="D78" s="4" t="n">
        <v>24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</row>
    <row r="79" customFormat="false" ht="15" hidden="false" customHeight="false" outlineLevel="0" collapsed="false">
      <c r="A79" s="4" t="n">
        <v>12</v>
      </c>
      <c r="B79" s="4" t="n">
        <v>16</v>
      </c>
      <c r="C79" s="4" t="n">
        <v>23</v>
      </c>
      <c r="D79" s="4" t="n">
        <v>25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</row>
    <row r="80" customFormat="false" ht="15" hidden="false" customHeight="false" outlineLevel="0" collapsed="false">
      <c r="A80" s="4" t="n">
        <v>12</v>
      </c>
      <c r="B80" s="4" t="n">
        <v>16</v>
      </c>
      <c r="C80" s="4" t="n">
        <v>23</v>
      </c>
      <c r="D80" s="4" t="n">
        <v>26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</row>
    <row r="81" customFormat="false" ht="15" hidden="false" customHeight="false" outlineLevel="0" collapsed="false">
      <c r="A81" s="4" t="n">
        <v>12</v>
      </c>
      <c r="B81" s="4" t="n">
        <v>16</v>
      </c>
      <c r="C81" s="4" t="n">
        <v>23</v>
      </c>
      <c r="D81" s="4" t="n">
        <v>28</v>
      </c>
      <c r="E81" s="10" t="n">
        <v>0</v>
      </c>
      <c r="F81" s="10" t="n">
        <v>0</v>
      </c>
      <c r="G81" s="10" t="n">
        <v>338823360810</v>
      </c>
      <c r="H81" s="10" t="n">
        <v>0</v>
      </c>
      <c r="I81" s="10" t="n">
        <v>0</v>
      </c>
    </row>
    <row r="82" customFormat="false" ht="15" hidden="false" customHeight="false" outlineLevel="0" collapsed="false">
      <c r="A82" s="4" t="n">
        <v>12</v>
      </c>
      <c r="B82" s="4" t="n">
        <v>16</v>
      </c>
      <c r="C82" s="4" t="n">
        <v>24</v>
      </c>
      <c r="D82" s="4" t="n">
        <v>25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</row>
    <row r="83" customFormat="false" ht="15" hidden="false" customHeight="false" outlineLevel="0" collapsed="false">
      <c r="A83" s="4" t="n">
        <v>12</v>
      </c>
      <c r="B83" s="4" t="n">
        <v>16</v>
      </c>
      <c r="C83" s="4" t="n">
        <v>24</v>
      </c>
      <c r="D83" s="4" t="n">
        <v>26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</row>
    <row r="84" customFormat="false" ht="15" hidden="false" customHeight="false" outlineLevel="0" collapsed="false">
      <c r="A84" s="4" t="n">
        <v>12</v>
      </c>
      <c r="B84" s="4" t="n">
        <v>16</v>
      </c>
      <c r="C84" s="4" t="n">
        <v>24</v>
      </c>
      <c r="D84" s="4" t="n">
        <v>28</v>
      </c>
      <c r="E84" s="10" t="n">
        <v>0</v>
      </c>
      <c r="F84" s="10" t="n">
        <v>0</v>
      </c>
      <c r="G84" s="10" t="n">
        <v>364954835696</v>
      </c>
      <c r="H84" s="10" t="n">
        <v>0</v>
      </c>
      <c r="I84" s="10" t="n">
        <v>0</v>
      </c>
    </row>
    <row r="85" customFormat="false" ht="15" hidden="false" customHeight="false" outlineLevel="0" collapsed="false">
      <c r="A85" s="4" t="n">
        <v>12</v>
      </c>
      <c r="B85" s="4" t="n">
        <v>16</v>
      </c>
      <c r="C85" s="4" t="n">
        <v>25</v>
      </c>
      <c r="D85" s="4" t="n">
        <v>26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</row>
    <row r="86" customFormat="false" ht="15" hidden="false" customHeight="false" outlineLevel="0" collapsed="false">
      <c r="A86" s="4" t="n">
        <v>12</v>
      </c>
      <c r="B86" s="4" t="n">
        <v>16</v>
      </c>
      <c r="C86" s="4" t="n">
        <v>25</v>
      </c>
      <c r="D86" s="4" t="n">
        <v>28</v>
      </c>
      <c r="E86" s="10" t="n">
        <v>0</v>
      </c>
      <c r="F86" s="10" t="n">
        <v>0</v>
      </c>
      <c r="G86" s="10" t="n">
        <v>384442715272</v>
      </c>
      <c r="H86" s="10" t="n">
        <v>0</v>
      </c>
      <c r="I86" s="10" t="n">
        <v>0</v>
      </c>
    </row>
    <row r="87" customFormat="false" ht="15" hidden="false" customHeight="false" outlineLevel="0" collapsed="false">
      <c r="A87" s="4" t="n">
        <v>12</v>
      </c>
      <c r="B87" s="4" t="n">
        <v>16</v>
      </c>
      <c r="C87" s="4" t="n">
        <v>26</v>
      </c>
      <c r="D87" s="4" t="n">
        <v>28</v>
      </c>
      <c r="E87" s="10" t="n">
        <v>0</v>
      </c>
      <c r="F87" s="10" t="n">
        <v>0</v>
      </c>
      <c r="G87" s="10" t="n">
        <v>434048226920</v>
      </c>
      <c r="H87" s="10" t="n">
        <v>0</v>
      </c>
      <c r="I87" s="10" t="n">
        <v>0</v>
      </c>
    </row>
    <row r="88" customFormat="false" ht="15" hidden="false" customHeight="false" outlineLevel="0" collapsed="false">
      <c r="A88" s="4" t="n">
        <v>12</v>
      </c>
      <c r="B88" s="4" t="n">
        <v>19</v>
      </c>
      <c r="C88" s="4" t="n">
        <v>22</v>
      </c>
      <c r="D88" s="4" t="n">
        <v>23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</row>
    <row r="89" customFormat="false" ht="15" hidden="false" customHeight="false" outlineLevel="0" collapsed="false">
      <c r="A89" s="4" t="n">
        <v>12</v>
      </c>
      <c r="B89" s="4" t="n">
        <v>19</v>
      </c>
      <c r="C89" s="4" t="n">
        <v>22</v>
      </c>
      <c r="D89" s="4" t="n">
        <v>24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</row>
    <row r="90" customFormat="false" ht="15" hidden="false" customHeight="false" outlineLevel="0" collapsed="false">
      <c r="A90" s="4" t="n">
        <v>12</v>
      </c>
      <c r="B90" s="4" t="n">
        <v>19</v>
      </c>
      <c r="C90" s="4" t="n">
        <v>22</v>
      </c>
      <c r="D90" s="4" t="n">
        <v>25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</row>
    <row r="91" customFormat="false" ht="15" hidden="false" customHeight="false" outlineLevel="0" collapsed="false">
      <c r="A91" s="4" t="n">
        <v>12</v>
      </c>
      <c r="B91" s="4" t="n">
        <v>19</v>
      </c>
      <c r="C91" s="4" t="n">
        <v>22</v>
      </c>
      <c r="D91" s="4" t="n">
        <v>26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</row>
    <row r="92" customFormat="false" ht="15" hidden="false" customHeight="false" outlineLevel="0" collapsed="false">
      <c r="A92" s="4" t="n">
        <v>12</v>
      </c>
      <c r="B92" s="4" t="n">
        <v>19</v>
      </c>
      <c r="C92" s="4" t="n">
        <v>22</v>
      </c>
      <c r="D92" s="4" t="n">
        <v>28</v>
      </c>
      <c r="E92" s="10" t="n">
        <v>0</v>
      </c>
      <c r="F92" s="10" t="n">
        <v>323614862384</v>
      </c>
      <c r="G92" s="10" t="n">
        <v>0</v>
      </c>
      <c r="H92" s="10" t="n">
        <v>0</v>
      </c>
      <c r="I92" s="10" t="n">
        <v>0</v>
      </c>
    </row>
    <row r="93" customFormat="false" ht="15" hidden="false" customHeight="false" outlineLevel="0" collapsed="false">
      <c r="A93" s="4" t="n">
        <v>12</v>
      </c>
      <c r="B93" s="4" t="n">
        <v>19</v>
      </c>
      <c r="C93" s="4" t="n">
        <v>23</v>
      </c>
      <c r="D93" s="4" t="n">
        <v>24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</row>
    <row r="94" customFormat="false" ht="15" hidden="false" customHeight="false" outlineLevel="0" collapsed="false">
      <c r="A94" s="4" t="n">
        <v>12</v>
      </c>
      <c r="B94" s="4" t="n">
        <v>19</v>
      </c>
      <c r="C94" s="4" t="n">
        <v>23</v>
      </c>
      <c r="D94" s="4" t="n">
        <v>25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</row>
    <row r="95" customFormat="false" ht="15" hidden="false" customHeight="false" outlineLevel="0" collapsed="false">
      <c r="A95" s="4" t="n">
        <v>12</v>
      </c>
      <c r="B95" s="4" t="n">
        <v>19</v>
      </c>
      <c r="C95" s="4" t="n">
        <v>23</v>
      </c>
      <c r="D95" s="4" t="n">
        <v>26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</row>
    <row r="96" customFormat="false" ht="15" hidden="false" customHeight="false" outlineLevel="0" collapsed="false">
      <c r="A96" s="4" t="n">
        <v>12</v>
      </c>
      <c r="B96" s="4" t="n">
        <v>19</v>
      </c>
      <c r="C96" s="4" t="n">
        <v>23</v>
      </c>
      <c r="D96" s="4" t="n">
        <v>28</v>
      </c>
      <c r="E96" s="10" t="n">
        <v>0</v>
      </c>
      <c r="F96" s="10" t="n">
        <v>354678180120</v>
      </c>
      <c r="G96" s="10" t="n">
        <v>0</v>
      </c>
      <c r="H96" s="10" t="n">
        <v>0</v>
      </c>
      <c r="I96" s="10" t="n">
        <v>0</v>
      </c>
    </row>
    <row r="97" customFormat="false" ht="15" hidden="false" customHeight="false" outlineLevel="0" collapsed="false">
      <c r="A97" s="4" t="n">
        <v>12</v>
      </c>
      <c r="B97" s="4" t="n">
        <v>19</v>
      </c>
      <c r="C97" s="4" t="n">
        <v>24</v>
      </c>
      <c r="D97" s="4" t="n">
        <v>25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</row>
    <row r="98" customFormat="false" ht="15" hidden="false" customHeight="false" outlineLevel="0" collapsed="false">
      <c r="A98" s="4" t="n">
        <v>12</v>
      </c>
      <c r="B98" s="4" t="n">
        <v>19</v>
      </c>
      <c r="C98" s="4" t="n">
        <v>24</v>
      </c>
      <c r="D98" s="4" t="n">
        <v>26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</row>
    <row r="99" customFormat="false" ht="15" hidden="false" customHeight="false" outlineLevel="0" collapsed="false">
      <c r="A99" s="4" t="n">
        <v>12</v>
      </c>
      <c r="B99" s="4" t="n">
        <v>19</v>
      </c>
      <c r="C99" s="4" t="n">
        <v>24</v>
      </c>
      <c r="D99" s="4" t="n">
        <v>28</v>
      </c>
      <c r="E99" s="10" t="n">
        <v>0</v>
      </c>
      <c r="F99" s="10" t="n">
        <v>382032444992</v>
      </c>
      <c r="G99" s="10" t="n">
        <v>0</v>
      </c>
      <c r="H99" s="10" t="n">
        <v>0</v>
      </c>
      <c r="I99" s="10" t="n">
        <v>0</v>
      </c>
    </row>
    <row r="100" customFormat="false" ht="15" hidden="false" customHeight="false" outlineLevel="0" collapsed="false">
      <c r="A100" s="4" t="n">
        <v>12</v>
      </c>
      <c r="B100" s="4" t="n">
        <v>19</v>
      </c>
      <c r="C100" s="4" t="n">
        <v>25</v>
      </c>
      <c r="D100" s="4" t="n">
        <v>26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</row>
    <row r="101" customFormat="false" ht="15" hidden="false" customHeight="false" outlineLevel="0" collapsed="false">
      <c r="A101" s="4" t="n">
        <v>12</v>
      </c>
      <c r="B101" s="4" t="n">
        <v>19</v>
      </c>
      <c r="C101" s="4" t="n">
        <v>25</v>
      </c>
      <c r="D101" s="4" t="n">
        <v>28</v>
      </c>
      <c r="E101" s="10" t="n">
        <v>0</v>
      </c>
      <c r="F101" s="10" t="n">
        <v>402432235744</v>
      </c>
      <c r="G101" s="10" t="n">
        <v>0</v>
      </c>
      <c r="H101" s="10" t="n">
        <v>0</v>
      </c>
      <c r="I101" s="10" t="n">
        <v>0</v>
      </c>
    </row>
    <row r="102" customFormat="false" ht="15" hidden="false" customHeight="false" outlineLevel="0" collapsed="false">
      <c r="A102" s="4" t="n">
        <v>12</v>
      </c>
      <c r="B102" s="4" t="n">
        <v>19</v>
      </c>
      <c r="C102" s="4" t="n">
        <v>26</v>
      </c>
      <c r="D102" s="4" t="n">
        <v>28</v>
      </c>
      <c r="E102" s="10" t="n">
        <v>0</v>
      </c>
      <c r="F102" s="10" t="n">
        <v>454358975840</v>
      </c>
      <c r="G102" s="10" t="n">
        <v>0</v>
      </c>
      <c r="H102" s="10" t="n">
        <v>0</v>
      </c>
      <c r="I102" s="10" t="n">
        <v>0</v>
      </c>
    </row>
    <row r="103" customFormat="false" ht="15" hidden="false" customHeight="false" outlineLevel="0" collapsed="false">
      <c r="A103" s="4" t="n">
        <v>12</v>
      </c>
      <c r="B103" s="4" t="n">
        <v>22</v>
      </c>
      <c r="C103" s="4" t="n">
        <v>23</v>
      </c>
      <c r="D103" s="4" t="n">
        <v>24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</row>
    <row r="104" customFormat="false" ht="15" hidden="false" customHeight="false" outlineLevel="0" collapsed="false">
      <c r="A104" s="4" t="n">
        <v>12</v>
      </c>
      <c r="B104" s="4" t="n">
        <v>22</v>
      </c>
      <c r="C104" s="4" t="n">
        <v>23</v>
      </c>
      <c r="D104" s="4" t="n">
        <v>25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</row>
    <row r="105" customFormat="false" ht="15" hidden="false" customHeight="false" outlineLevel="0" collapsed="false">
      <c r="A105" s="4" t="n">
        <v>12</v>
      </c>
      <c r="B105" s="4" t="n">
        <v>22</v>
      </c>
      <c r="C105" s="4" t="n">
        <v>23</v>
      </c>
      <c r="D105" s="4" t="n">
        <v>26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</row>
    <row r="106" customFormat="false" ht="15" hidden="false" customHeight="false" outlineLevel="0" collapsed="false">
      <c r="A106" s="4" t="n">
        <v>12</v>
      </c>
      <c r="B106" s="4" t="n">
        <v>22</v>
      </c>
      <c r="C106" s="4" t="n">
        <v>23</v>
      </c>
      <c r="D106" s="4" t="n">
        <v>28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</row>
    <row r="107" customFormat="false" ht="15" hidden="false" customHeight="false" outlineLevel="0" collapsed="false">
      <c r="A107" s="4" t="n">
        <v>12</v>
      </c>
      <c r="B107" s="4" t="n">
        <v>22</v>
      </c>
      <c r="C107" s="4" t="n">
        <v>24</v>
      </c>
      <c r="D107" s="4" t="n">
        <v>25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</row>
    <row r="108" customFormat="false" ht="15" hidden="false" customHeight="false" outlineLevel="0" collapsed="false">
      <c r="A108" s="4" t="n">
        <v>12</v>
      </c>
      <c r="B108" s="4" t="n">
        <v>22</v>
      </c>
      <c r="C108" s="4" t="n">
        <v>24</v>
      </c>
      <c r="D108" s="4" t="n">
        <v>26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</row>
    <row r="109" customFormat="false" ht="15" hidden="false" customHeight="false" outlineLevel="0" collapsed="false">
      <c r="A109" s="4" t="n">
        <v>12</v>
      </c>
      <c r="B109" s="4" t="n">
        <v>22</v>
      </c>
      <c r="C109" s="4" t="n">
        <v>24</v>
      </c>
      <c r="D109" s="4" t="n">
        <v>28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</row>
    <row r="110" customFormat="false" ht="15" hidden="false" customHeight="false" outlineLevel="0" collapsed="false">
      <c r="A110" s="4" t="n">
        <v>12</v>
      </c>
      <c r="B110" s="4" t="n">
        <v>22</v>
      </c>
      <c r="C110" s="4" t="n">
        <v>25</v>
      </c>
      <c r="D110" s="4" t="n">
        <v>26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</row>
    <row r="111" customFormat="false" ht="15" hidden="false" customHeight="false" outlineLevel="0" collapsed="false">
      <c r="A111" s="4" t="n">
        <v>12</v>
      </c>
      <c r="B111" s="4" t="n">
        <v>22</v>
      </c>
      <c r="C111" s="4" t="n">
        <v>25</v>
      </c>
      <c r="D111" s="4" t="n">
        <v>28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</row>
    <row r="112" customFormat="false" ht="15" hidden="false" customHeight="false" outlineLevel="0" collapsed="false">
      <c r="A112" s="4" t="n">
        <v>12</v>
      </c>
      <c r="B112" s="4" t="n">
        <v>22</v>
      </c>
      <c r="C112" s="4" t="n">
        <v>26</v>
      </c>
      <c r="D112" s="4" t="n">
        <v>28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</row>
    <row r="113" customFormat="false" ht="15" hidden="false" customHeight="false" outlineLevel="0" collapsed="false">
      <c r="A113" s="4" t="n">
        <v>12</v>
      </c>
      <c r="B113" s="4" t="n">
        <v>23</v>
      </c>
      <c r="C113" s="4" t="n">
        <v>24</v>
      </c>
      <c r="D113" s="4" t="n">
        <v>25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</row>
    <row r="114" customFormat="false" ht="15" hidden="false" customHeight="false" outlineLevel="0" collapsed="false">
      <c r="A114" s="4" t="n">
        <v>12</v>
      </c>
      <c r="B114" s="4" t="n">
        <v>23</v>
      </c>
      <c r="C114" s="4" t="n">
        <v>24</v>
      </c>
      <c r="D114" s="4" t="n">
        <v>26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</row>
    <row r="115" customFormat="false" ht="15" hidden="false" customHeight="false" outlineLevel="0" collapsed="false">
      <c r="A115" s="4" t="n">
        <v>12</v>
      </c>
      <c r="B115" s="4" t="n">
        <v>23</v>
      </c>
      <c r="C115" s="4" t="n">
        <v>24</v>
      </c>
      <c r="D115" s="4" t="n">
        <v>28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</row>
    <row r="116" customFormat="false" ht="15" hidden="false" customHeight="false" outlineLevel="0" collapsed="false">
      <c r="A116" s="4" t="n">
        <v>12</v>
      </c>
      <c r="B116" s="4" t="n">
        <v>23</v>
      </c>
      <c r="C116" s="4" t="n">
        <v>25</v>
      </c>
      <c r="D116" s="4" t="n">
        <v>26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</row>
    <row r="117" customFormat="false" ht="15" hidden="false" customHeight="false" outlineLevel="0" collapsed="false">
      <c r="A117" s="4" t="n">
        <v>12</v>
      </c>
      <c r="B117" s="4" t="n">
        <v>23</v>
      </c>
      <c r="C117" s="4" t="n">
        <v>25</v>
      </c>
      <c r="D117" s="4" t="n">
        <v>28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</row>
    <row r="118" customFormat="false" ht="15" hidden="false" customHeight="false" outlineLevel="0" collapsed="false">
      <c r="A118" s="4" t="n">
        <v>12</v>
      </c>
      <c r="B118" s="4" t="n">
        <v>23</v>
      </c>
      <c r="C118" s="4" t="n">
        <v>26</v>
      </c>
      <c r="D118" s="4" t="n">
        <v>28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</row>
    <row r="119" customFormat="false" ht="15" hidden="false" customHeight="false" outlineLevel="0" collapsed="false">
      <c r="A119" s="4" t="n">
        <v>12</v>
      </c>
      <c r="B119" s="4" t="n">
        <v>24</v>
      </c>
      <c r="C119" s="4" t="n">
        <v>25</v>
      </c>
      <c r="D119" s="4" t="n">
        <v>26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</row>
    <row r="120" customFormat="false" ht="15" hidden="false" customHeight="false" outlineLevel="0" collapsed="false">
      <c r="A120" s="4" t="n">
        <v>12</v>
      </c>
      <c r="B120" s="4" t="n">
        <v>24</v>
      </c>
      <c r="C120" s="4" t="n">
        <v>25</v>
      </c>
      <c r="D120" s="4" t="n">
        <v>28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</row>
    <row r="121" customFormat="false" ht="15" hidden="false" customHeight="false" outlineLevel="0" collapsed="false">
      <c r="A121" s="4" t="n">
        <v>12</v>
      </c>
      <c r="B121" s="4" t="n">
        <v>24</v>
      </c>
      <c r="C121" s="4" t="n">
        <v>26</v>
      </c>
      <c r="D121" s="4" t="n">
        <v>28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</row>
    <row r="122" customFormat="false" ht="15" hidden="false" customHeight="false" outlineLevel="0" collapsed="false">
      <c r="A122" s="4" t="n">
        <v>12</v>
      </c>
      <c r="B122" s="4" t="n">
        <v>25</v>
      </c>
      <c r="C122" s="4" t="n">
        <v>26</v>
      </c>
      <c r="D122" s="4" t="n">
        <v>28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</row>
    <row r="123" customFormat="false" ht="15" hidden="false" customHeight="false" outlineLevel="0" collapsed="false">
      <c r="A123" s="4" t="n">
        <v>13</v>
      </c>
      <c r="B123" s="4" t="n">
        <v>14</v>
      </c>
      <c r="C123" s="4" t="n">
        <v>16</v>
      </c>
      <c r="D123" s="4" t="n">
        <v>19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</row>
    <row r="124" customFormat="false" ht="15" hidden="false" customHeight="false" outlineLevel="0" collapsed="false">
      <c r="A124" s="4" t="n">
        <v>13</v>
      </c>
      <c r="B124" s="4" t="n">
        <v>14</v>
      </c>
      <c r="C124" s="4" t="n">
        <v>16</v>
      </c>
      <c r="D124" s="4" t="n">
        <v>22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</row>
    <row r="125" customFormat="false" ht="15" hidden="false" customHeight="false" outlineLevel="0" collapsed="false">
      <c r="A125" s="4" t="n">
        <v>13</v>
      </c>
      <c r="B125" s="4" t="n">
        <v>14</v>
      </c>
      <c r="C125" s="4" t="n">
        <v>16</v>
      </c>
      <c r="D125" s="4" t="n">
        <v>23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</row>
    <row r="126" customFormat="false" ht="15" hidden="false" customHeight="false" outlineLevel="0" collapsed="false">
      <c r="A126" s="4" t="n">
        <v>13</v>
      </c>
      <c r="B126" s="4" t="n">
        <v>14</v>
      </c>
      <c r="C126" s="4" t="n">
        <v>16</v>
      </c>
      <c r="D126" s="4" t="n">
        <v>24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</row>
    <row r="127" customFormat="false" ht="15" hidden="false" customHeight="false" outlineLevel="0" collapsed="false">
      <c r="A127" s="4" t="n">
        <v>13</v>
      </c>
      <c r="B127" s="4" t="n">
        <v>14</v>
      </c>
      <c r="C127" s="4" t="n">
        <v>16</v>
      </c>
      <c r="D127" s="4" t="n">
        <v>25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</row>
    <row r="128" customFormat="false" ht="15" hidden="false" customHeight="false" outlineLevel="0" collapsed="false">
      <c r="A128" s="4" t="n">
        <v>13</v>
      </c>
      <c r="B128" s="4" t="n">
        <v>14</v>
      </c>
      <c r="C128" s="4" t="n">
        <v>16</v>
      </c>
      <c r="D128" s="4" t="n">
        <v>26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</row>
    <row r="129" customFormat="false" ht="15" hidden="false" customHeight="false" outlineLevel="0" collapsed="false">
      <c r="A129" s="4" t="n">
        <v>13</v>
      </c>
      <c r="B129" s="4" t="n">
        <v>14</v>
      </c>
      <c r="C129" s="4" t="n">
        <v>16</v>
      </c>
      <c r="D129" s="4" t="n">
        <v>28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</row>
    <row r="130" customFormat="false" ht="15" hidden="false" customHeight="false" outlineLevel="0" collapsed="false">
      <c r="A130" s="4" t="n">
        <v>13</v>
      </c>
      <c r="B130" s="4" t="n">
        <v>14</v>
      </c>
      <c r="C130" s="4" t="n">
        <v>19</v>
      </c>
      <c r="D130" s="4" t="n">
        <v>22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</row>
    <row r="131" customFormat="false" ht="15" hidden="false" customHeight="false" outlineLevel="0" collapsed="false">
      <c r="A131" s="4" t="n">
        <v>13</v>
      </c>
      <c r="B131" s="4" t="n">
        <v>14</v>
      </c>
      <c r="C131" s="4" t="n">
        <v>19</v>
      </c>
      <c r="D131" s="4" t="n">
        <v>23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</row>
    <row r="132" customFormat="false" ht="15" hidden="false" customHeight="false" outlineLevel="0" collapsed="false">
      <c r="A132" s="4" t="n">
        <v>13</v>
      </c>
      <c r="B132" s="4" t="n">
        <v>14</v>
      </c>
      <c r="C132" s="4" t="n">
        <v>19</v>
      </c>
      <c r="D132" s="4" t="n">
        <v>24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</row>
    <row r="133" customFormat="false" ht="15" hidden="false" customHeight="false" outlineLevel="0" collapsed="false">
      <c r="A133" s="4" t="n">
        <v>13</v>
      </c>
      <c r="B133" s="4" t="n">
        <v>14</v>
      </c>
      <c r="C133" s="4" t="n">
        <v>19</v>
      </c>
      <c r="D133" s="4" t="n">
        <v>25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</row>
    <row r="134" customFormat="false" ht="15" hidden="false" customHeight="false" outlineLevel="0" collapsed="false">
      <c r="A134" s="4" t="n">
        <v>13</v>
      </c>
      <c r="B134" s="4" t="n">
        <v>14</v>
      </c>
      <c r="C134" s="4" t="n">
        <v>19</v>
      </c>
      <c r="D134" s="4" t="n">
        <v>26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</row>
    <row r="135" customFormat="false" ht="15" hidden="false" customHeight="false" outlineLevel="0" collapsed="false">
      <c r="A135" s="4" t="n">
        <v>13</v>
      </c>
      <c r="B135" s="4" t="n">
        <v>14</v>
      </c>
      <c r="C135" s="4" t="n">
        <v>19</v>
      </c>
      <c r="D135" s="4" t="n">
        <v>28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</row>
    <row r="136" customFormat="false" ht="15" hidden="false" customHeight="false" outlineLevel="0" collapsed="false">
      <c r="A136" s="4" t="n">
        <v>13</v>
      </c>
      <c r="B136" s="4" t="n">
        <v>14</v>
      </c>
      <c r="C136" s="4" t="n">
        <v>22</v>
      </c>
      <c r="D136" s="4" t="n">
        <v>23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</row>
    <row r="137" customFormat="false" ht="15" hidden="false" customHeight="false" outlineLevel="0" collapsed="false">
      <c r="A137" s="4" t="n">
        <v>13</v>
      </c>
      <c r="B137" s="4" t="n">
        <v>14</v>
      </c>
      <c r="C137" s="4" t="n">
        <v>22</v>
      </c>
      <c r="D137" s="4" t="n">
        <v>24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</row>
    <row r="138" customFormat="false" ht="15" hidden="false" customHeight="false" outlineLevel="0" collapsed="false">
      <c r="A138" s="4" t="n">
        <v>13</v>
      </c>
      <c r="B138" s="4" t="n">
        <v>14</v>
      </c>
      <c r="C138" s="4" t="n">
        <v>22</v>
      </c>
      <c r="D138" s="4" t="n">
        <v>25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</row>
    <row r="139" customFormat="false" ht="15" hidden="false" customHeight="false" outlineLevel="0" collapsed="false">
      <c r="A139" s="4" t="n">
        <v>13</v>
      </c>
      <c r="B139" s="4" t="n">
        <v>14</v>
      </c>
      <c r="C139" s="4" t="n">
        <v>22</v>
      </c>
      <c r="D139" s="4" t="n">
        <v>26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</row>
    <row r="140" customFormat="false" ht="15" hidden="false" customHeight="false" outlineLevel="0" collapsed="false">
      <c r="A140" s="4" t="n">
        <v>13</v>
      </c>
      <c r="B140" s="4" t="n">
        <v>14</v>
      </c>
      <c r="C140" s="4" t="n">
        <v>22</v>
      </c>
      <c r="D140" s="4" t="n">
        <v>28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</row>
    <row r="141" customFormat="false" ht="15" hidden="false" customHeight="false" outlineLevel="0" collapsed="false">
      <c r="A141" s="4" t="n">
        <v>13</v>
      </c>
      <c r="B141" s="4" t="n">
        <v>14</v>
      </c>
      <c r="C141" s="4" t="n">
        <v>23</v>
      </c>
      <c r="D141" s="4" t="n">
        <v>24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</row>
    <row r="142" customFormat="false" ht="15" hidden="false" customHeight="false" outlineLevel="0" collapsed="false">
      <c r="A142" s="4" t="n">
        <v>13</v>
      </c>
      <c r="B142" s="4" t="n">
        <v>14</v>
      </c>
      <c r="C142" s="4" t="n">
        <v>23</v>
      </c>
      <c r="D142" s="4" t="n">
        <v>25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</row>
    <row r="143" customFormat="false" ht="15" hidden="false" customHeight="false" outlineLevel="0" collapsed="false">
      <c r="A143" s="4" t="n">
        <v>13</v>
      </c>
      <c r="B143" s="4" t="n">
        <v>14</v>
      </c>
      <c r="C143" s="4" t="n">
        <v>23</v>
      </c>
      <c r="D143" s="4" t="n">
        <v>26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</row>
    <row r="144" customFormat="false" ht="15" hidden="false" customHeight="false" outlineLevel="0" collapsed="false">
      <c r="A144" s="4" t="n">
        <v>13</v>
      </c>
      <c r="B144" s="4" t="n">
        <v>14</v>
      </c>
      <c r="C144" s="4" t="n">
        <v>23</v>
      </c>
      <c r="D144" s="4" t="n">
        <v>28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</row>
    <row r="145" customFormat="false" ht="15" hidden="false" customHeight="false" outlineLevel="0" collapsed="false">
      <c r="A145" s="4" t="n">
        <v>13</v>
      </c>
      <c r="B145" s="4" t="n">
        <v>14</v>
      </c>
      <c r="C145" s="4" t="n">
        <v>24</v>
      </c>
      <c r="D145" s="4" t="n">
        <v>25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</row>
    <row r="146" customFormat="false" ht="15" hidden="false" customHeight="false" outlineLevel="0" collapsed="false">
      <c r="A146" s="4" t="n">
        <v>13</v>
      </c>
      <c r="B146" s="4" t="n">
        <v>14</v>
      </c>
      <c r="C146" s="4" t="n">
        <v>24</v>
      </c>
      <c r="D146" s="4" t="n">
        <v>26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</row>
    <row r="147" customFormat="false" ht="15" hidden="false" customHeight="false" outlineLevel="0" collapsed="false">
      <c r="A147" s="4" t="n">
        <v>13</v>
      </c>
      <c r="B147" s="4" t="n">
        <v>14</v>
      </c>
      <c r="C147" s="4" t="n">
        <v>24</v>
      </c>
      <c r="D147" s="4" t="n">
        <v>28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</row>
    <row r="148" customFormat="false" ht="15" hidden="false" customHeight="false" outlineLevel="0" collapsed="false">
      <c r="A148" s="4" t="n">
        <v>13</v>
      </c>
      <c r="B148" s="4" t="n">
        <v>14</v>
      </c>
      <c r="C148" s="4" t="n">
        <v>25</v>
      </c>
      <c r="D148" s="4" t="n">
        <v>26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</row>
    <row r="149" customFormat="false" ht="15" hidden="false" customHeight="false" outlineLevel="0" collapsed="false">
      <c r="A149" s="4" t="n">
        <v>13</v>
      </c>
      <c r="B149" s="4" t="n">
        <v>14</v>
      </c>
      <c r="C149" s="4" t="n">
        <v>25</v>
      </c>
      <c r="D149" s="4" t="n">
        <v>28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</row>
    <row r="150" customFormat="false" ht="15" hidden="false" customHeight="false" outlineLevel="0" collapsed="false">
      <c r="A150" s="4" t="n">
        <v>13</v>
      </c>
      <c r="B150" s="4" t="n">
        <v>14</v>
      </c>
      <c r="C150" s="4" t="n">
        <v>26</v>
      </c>
      <c r="D150" s="4" t="n">
        <v>28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</row>
    <row r="151" customFormat="false" ht="15" hidden="false" customHeight="false" outlineLevel="0" collapsed="false">
      <c r="A151" s="4" t="n">
        <v>13</v>
      </c>
      <c r="B151" s="4" t="n">
        <v>16</v>
      </c>
      <c r="C151" s="4" t="n">
        <v>19</v>
      </c>
      <c r="D151" s="4" t="n">
        <v>22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130629859608</v>
      </c>
    </row>
    <row r="152" customFormat="false" ht="15" hidden="false" customHeight="false" outlineLevel="0" collapsed="false">
      <c r="A152" s="4" t="n">
        <v>13</v>
      </c>
      <c r="B152" s="4" t="n">
        <v>16</v>
      </c>
      <c r="C152" s="4" t="n">
        <v>19</v>
      </c>
      <c r="D152" s="4" t="n">
        <v>23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143168828940</v>
      </c>
    </row>
    <row r="153" customFormat="false" ht="15" hidden="false" customHeight="false" outlineLevel="0" collapsed="false">
      <c r="A153" s="4" t="n">
        <v>13</v>
      </c>
      <c r="B153" s="4" t="n">
        <v>16</v>
      </c>
      <c r="C153" s="4" t="n">
        <v>19</v>
      </c>
      <c r="D153" s="4" t="n">
        <v>24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v>154210607904</v>
      </c>
    </row>
    <row r="154" customFormat="false" ht="15" hidden="false" customHeight="false" outlineLevel="0" collapsed="false">
      <c r="A154" s="4" t="n">
        <v>13</v>
      </c>
      <c r="B154" s="4" t="n">
        <v>16</v>
      </c>
      <c r="C154" s="4" t="n">
        <v>19</v>
      </c>
      <c r="D154" s="4" t="n">
        <v>25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162445154928</v>
      </c>
    </row>
    <row r="155" customFormat="false" ht="15" hidden="false" customHeight="false" outlineLevel="0" collapsed="false">
      <c r="A155" s="4" t="n">
        <v>13</v>
      </c>
      <c r="B155" s="4" t="n">
        <v>16</v>
      </c>
      <c r="C155" s="4" t="n">
        <v>19</v>
      </c>
      <c r="D155" s="4" t="n">
        <v>26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183405820080</v>
      </c>
    </row>
    <row r="156" customFormat="false" ht="15" hidden="false" customHeight="false" outlineLevel="0" collapsed="false">
      <c r="A156" s="4" t="n">
        <v>13</v>
      </c>
      <c r="B156" s="4" t="n">
        <v>16</v>
      </c>
      <c r="C156" s="4" t="n">
        <v>19</v>
      </c>
      <c r="D156" s="4" t="n">
        <v>28</v>
      </c>
      <c r="E156" s="10" t="n">
        <v>0</v>
      </c>
      <c r="F156" s="10" t="n">
        <v>0</v>
      </c>
      <c r="G156" s="10" t="n">
        <v>0</v>
      </c>
      <c r="H156" s="10" t="n">
        <v>318527250792</v>
      </c>
      <c r="I156" s="10" t="n">
        <v>0</v>
      </c>
    </row>
    <row r="157" customFormat="false" ht="15" hidden="false" customHeight="false" outlineLevel="0" collapsed="false">
      <c r="A157" s="4" t="n">
        <v>13</v>
      </c>
      <c r="B157" s="4" t="n">
        <v>16</v>
      </c>
      <c r="C157" s="4" t="n">
        <v>22</v>
      </c>
      <c r="D157" s="4" t="n">
        <v>23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</row>
    <row r="158" customFormat="false" ht="15" hidden="false" customHeight="false" outlineLevel="0" collapsed="false">
      <c r="A158" s="4" t="n">
        <v>13</v>
      </c>
      <c r="B158" s="4" t="n">
        <v>16</v>
      </c>
      <c r="C158" s="4" t="n">
        <v>22</v>
      </c>
      <c r="D158" s="4" t="n">
        <v>24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</row>
    <row r="159" customFormat="false" ht="15" hidden="false" customHeight="false" outlineLevel="0" collapsed="false">
      <c r="A159" s="4" t="n">
        <v>13</v>
      </c>
      <c r="B159" s="4" t="n">
        <v>16</v>
      </c>
      <c r="C159" s="4" t="n">
        <v>22</v>
      </c>
      <c r="D159" s="4" t="n">
        <v>25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</row>
    <row r="160" customFormat="false" ht="15" hidden="false" customHeight="false" outlineLevel="0" collapsed="false">
      <c r="A160" s="4" t="n">
        <v>13</v>
      </c>
      <c r="B160" s="4" t="n">
        <v>16</v>
      </c>
      <c r="C160" s="4" t="n">
        <v>22</v>
      </c>
      <c r="D160" s="4" t="n">
        <v>26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</row>
    <row r="161" customFormat="false" ht="15" hidden="false" customHeight="false" outlineLevel="0" collapsed="false">
      <c r="A161" s="4" t="n">
        <v>13</v>
      </c>
      <c r="B161" s="4" t="n">
        <v>16</v>
      </c>
      <c r="C161" s="4" t="n">
        <v>22</v>
      </c>
      <c r="D161" s="4" t="n">
        <v>28</v>
      </c>
      <c r="E161" s="10" t="n">
        <v>0</v>
      </c>
      <c r="F161" s="10" t="n">
        <v>0</v>
      </c>
      <c r="G161" s="10" t="n">
        <v>368099372604</v>
      </c>
      <c r="H161" s="10" t="n">
        <v>0</v>
      </c>
      <c r="I161" s="10" t="n">
        <v>0</v>
      </c>
    </row>
    <row r="162" customFormat="false" ht="15" hidden="false" customHeight="false" outlineLevel="0" collapsed="false">
      <c r="A162" s="4" t="n">
        <v>13</v>
      </c>
      <c r="B162" s="4" t="n">
        <v>16</v>
      </c>
      <c r="C162" s="4" t="n">
        <v>23</v>
      </c>
      <c r="D162" s="4" t="n">
        <v>24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</row>
    <row r="163" customFormat="false" ht="15" hidden="false" customHeight="false" outlineLevel="0" collapsed="false">
      <c r="A163" s="4" t="n">
        <v>13</v>
      </c>
      <c r="B163" s="4" t="n">
        <v>16</v>
      </c>
      <c r="C163" s="4" t="n">
        <v>23</v>
      </c>
      <c r="D163" s="4" t="n">
        <v>25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</row>
    <row r="164" customFormat="false" ht="15" hidden="false" customHeight="false" outlineLevel="0" collapsed="false">
      <c r="A164" s="4" t="n">
        <v>13</v>
      </c>
      <c r="B164" s="4" t="n">
        <v>16</v>
      </c>
      <c r="C164" s="4" t="n">
        <v>23</v>
      </c>
      <c r="D164" s="4" t="n">
        <v>26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</row>
    <row r="165" customFormat="false" ht="15" hidden="false" customHeight="false" outlineLevel="0" collapsed="false">
      <c r="A165" s="4" t="n">
        <v>13</v>
      </c>
      <c r="B165" s="4" t="n">
        <v>16</v>
      </c>
      <c r="C165" s="4" t="n">
        <v>23</v>
      </c>
      <c r="D165" s="4" t="n">
        <v>28</v>
      </c>
      <c r="E165" s="10" t="n">
        <v>0</v>
      </c>
      <c r="F165" s="10" t="n">
        <v>0</v>
      </c>
      <c r="G165" s="10" t="n">
        <v>403432693470</v>
      </c>
      <c r="H165" s="10" t="n">
        <v>0</v>
      </c>
      <c r="I165" s="10" t="n">
        <v>0</v>
      </c>
    </row>
    <row r="166" customFormat="false" ht="15" hidden="false" customHeight="false" outlineLevel="0" collapsed="false">
      <c r="A166" s="4" t="n">
        <v>13</v>
      </c>
      <c r="B166" s="4" t="n">
        <v>16</v>
      </c>
      <c r="C166" s="4" t="n">
        <v>24</v>
      </c>
      <c r="D166" s="4" t="n">
        <v>25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</row>
    <row r="167" customFormat="false" ht="15" hidden="false" customHeight="false" outlineLevel="0" collapsed="false">
      <c r="A167" s="4" t="n">
        <v>13</v>
      </c>
      <c r="B167" s="4" t="n">
        <v>16</v>
      </c>
      <c r="C167" s="4" t="n">
        <v>24</v>
      </c>
      <c r="D167" s="4" t="n">
        <v>26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</row>
    <row r="168" customFormat="false" ht="15" hidden="false" customHeight="false" outlineLevel="0" collapsed="false">
      <c r="A168" s="4" t="n">
        <v>13</v>
      </c>
      <c r="B168" s="4" t="n">
        <v>16</v>
      </c>
      <c r="C168" s="4" t="n">
        <v>24</v>
      </c>
      <c r="D168" s="4" t="n">
        <v>28</v>
      </c>
      <c r="E168" s="10" t="n">
        <v>0</v>
      </c>
      <c r="F168" s="10" t="n">
        <v>0</v>
      </c>
      <c r="G168" s="10" t="n">
        <v>434547110352</v>
      </c>
      <c r="H168" s="10" t="n">
        <v>0</v>
      </c>
      <c r="I168" s="10" t="n">
        <v>0</v>
      </c>
    </row>
    <row r="169" customFormat="false" ht="15" hidden="false" customHeight="false" outlineLevel="0" collapsed="false">
      <c r="A169" s="4" t="n">
        <v>13</v>
      </c>
      <c r="B169" s="4" t="n">
        <v>16</v>
      </c>
      <c r="C169" s="4" t="n">
        <v>25</v>
      </c>
      <c r="D169" s="4" t="n">
        <v>26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0</v>
      </c>
    </row>
    <row r="170" customFormat="false" ht="15" hidden="false" customHeight="false" outlineLevel="0" collapsed="false">
      <c r="A170" s="4" t="n">
        <v>13</v>
      </c>
      <c r="B170" s="4" t="n">
        <v>16</v>
      </c>
      <c r="C170" s="4" t="n">
        <v>25</v>
      </c>
      <c r="D170" s="4" t="n">
        <v>28</v>
      </c>
      <c r="E170" s="10" t="n">
        <v>0</v>
      </c>
      <c r="F170" s="10" t="n">
        <v>0</v>
      </c>
      <c r="G170" s="10" t="n">
        <v>457751082264</v>
      </c>
      <c r="H170" s="10" t="n">
        <v>0</v>
      </c>
      <c r="I170" s="10" t="n">
        <v>0</v>
      </c>
    </row>
    <row r="171" customFormat="false" ht="15" hidden="false" customHeight="false" outlineLevel="0" collapsed="false">
      <c r="A171" s="4" t="n">
        <v>13</v>
      </c>
      <c r="B171" s="4" t="n">
        <v>16</v>
      </c>
      <c r="C171" s="4" t="n">
        <v>26</v>
      </c>
      <c r="D171" s="4" t="n">
        <v>28</v>
      </c>
      <c r="E171" s="10" t="n">
        <v>0</v>
      </c>
      <c r="F171" s="10" t="n">
        <v>0</v>
      </c>
      <c r="G171" s="10" t="n">
        <v>516815738040</v>
      </c>
      <c r="H171" s="10" t="n">
        <v>0</v>
      </c>
      <c r="I171" s="10" t="n">
        <v>0</v>
      </c>
    </row>
    <row r="172" customFormat="false" ht="15" hidden="false" customHeight="false" outlineLevel="0" collapsed="false">
      <c r="A172" s="4" t="n">
        <v>13</v>
      </c>
      <c r="B172" s="4" t="n">
        <v>19</v>
      </c>
      <c r="C172" s="4" t="n">
        <v>22</v>
      </c>
      <c r="D172" s="4" t="n">
        <v>23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</row>
    <row r="173" customFormat="false" ht="15" hidden="false" customHeight="false" outlineLevel="0" collapsed="false">
      <c r="A173" s="4" t="n">
        <v>13</v>
      </c>
      <c r="B173" s="4" t="n">
        <v>19</v>
      </c>
      <c r="C173" s="4" t="n">
        <v>22</v>
      </c>
      <c r="D173" s="4" t="n">
        <v>24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</row>
    <row r="174" customFormat="false" ht="15" hidden="false" customHeight="false" outlineLevel="0" collapsed="false">
      <c r="A174" s="4" t="n">
        <v>13</v>
      </c>
      <c r="B174" s="4" t="n">
        <v>19</v>
      </c>
      <c r="C174" s="4" t="n">
        <v>22</v>
      </c>
      <c r="D174" s="4" t="n">
        <v>25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</row>
    <row r="175" customFormat="false" ht="15" hidden="false" customHeight="false" outlineLevel="0" collapsed="false">
      <c r="A175" s="4" t="n">
        <v>13</v>
      </c>
      <c r="B175" s="4" t="n">
        <v>19</v>
      </c>
      <c r="C175" s="4" t="n">
        <v>22</v>
      </c>
      <c r="D175" s="4" t="n">
        <v>26</v>
      </c>
      <c r="E175" s="10" t="n">
        <v>0</v>
      </c>
      <c r="F175" s="10" t="n">
        <v>0</v>
      </c>
      <c r="G175" s="10" t="n">
        <v>0</v>
      </c>
      <c r="H175" s="10" t="n">
        <v>0</v>
      </c>
      <c r="I175" s="10" t="n">
        <v>0</v>
      </c>
    </row>
    <row r="176" customFormat="false" ht="15" hidden="false" customHeight="false" outlineLevel="0" collapsed="false">
      <c r="A176" s="4" t="n">
        <v>13</v>
      </c>
      <c r="B176" s="4" t="n">
        <v>19</v>
      </c>
      <c r="C176" s="4" t="n">
        <v>22</v>
      </c>
      <c r="D176" s="4" t="n">
        <v>28</v>
      </c>
      <c r="E176" s="10" t="n">
        <v>0</v>
      </c>
      <c r="F176" s="10" t="n">
        <v>385324126608</v>
      </c>
      <c r="G176" s="10" t="n">
        <v>0</v>
      </c>
      <c r="H176" s="10" t="n">
        <v>0</v>
      </c>
      <c r="I176" s="10" t="n">
        <v>0</v>
      </c>
    </row>
    <row r="177" customFormat="false" ht="15" hidden="false" customHeight="false" outlineLevel="0" collapsed="false">
      <c r="A177" s="4" t="n">
        <v>13</v>
      </c>
      <c r="B177" s="4" t="n">
        <v>19</v>
      </c>
      <c r="C177" s="4" t="n">
        <v>23</v>
      </c>
      <c r="D177" s="4" t="n">
        <v>24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</row>
    <row r="178" customFormat="false" ht="15" hidden="false" customHeight="false" outlineLevel="0" collapsed="false">
      <c r="A178" s="4" t="n">
        <v>13</v>
      </c>
      <c r="B178" s="4" t="n">
        <v>19</v>
      </c>
      <c r="C178" s="4" t="n">
        <v>23</v>
      </c>
      <c r="D178" s="4" t="n">
        <v>25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</row>
    <row r="179" customFormat="false" ht="15" hidden="false" customHeight="false" outlineLevel="0" collapsed="false">
      <c r="A179" s="4" t="n">
        <v>13</v>
      </c>
      <c r="B179" s="4" t="n">
        <v>19</v>
      </c>
      <c r="C179" s="4" t="n">
        <v>23</v>
      </c>
      <c r="D179" s="4" t="n">
        <v>26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0</v>
      </c>
    </row>
    <row r="180" customFormat="false" ht="15" hidden="false" customHeight="false" outlineLevel="0" collapsed="false">
      <c r="A180" s="4" t="n">
        <v>13</v>
      </c>
      <c r="B180" s="4" t="n">
        <v>19</v>
      </c>
      <c r="C180" s="4" t="n">
        <v>23</v>
      </c>
      <c r="D180" s="4" t="n">
        <v>28</v>
      </c>
      <c r="E180" s="10" t="n">
        <v>0</v>
      </c>
      <c r="F180" s="10" t="n">
        <v>422310826440</v>
      </c>
      <c r="G180" s="10" t="n">
        <v>0</v>
      </c>
      <c r="H180" s="10" t="n">
        <v>0</v>
      </c>
      <c r="I180" s="10" t="n">
        <v>0</v>
      </c>
    </row>
    <row r="181" customFormat="false" ht="15" hidden="false" customHeight="false" outlineLevel="0" collapsed="false">
      <c r="A181" s="4" t="n">
        <v>13</v>
      </c>
      <c r="B181" s="4" t="n">
        <v>19</v>
      </c>
      <c r="C181" s="4" t="n">
        <v>24</v>
      </c>
      <c r="D181" s="4" t="n">
        <v>25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</row>
    <row r="182" customFormat="false" ht="15" hidden="false" customHeight="false" outlineLevel="0" collapsed="false">
      <c r="A182" s="4" t="n">
        <v>13</v>
      </c>
      <c r="B182" s="4" t="n">
        <v>19</v>
      </c>
      <c r="C182" s="4" t="n">
        <v>24</v>
      </c>
      <c r="D182" s="4" t="n">
        <v>26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</row>
    <row r="183" customFormat="false" ht="15" hidden="false" customHeight="false" outlineLevel="0" collapsed="false">
      <c r="A183" s="4" t="n">
        <v>13</v>
      </c>
      <c r="B183" s="4" t="n">
        <v>19</v>
      </c>
      <c r="C183" s="4" t="n">
        <v>24</v>
      </c>
      <c r="D183" s="4" t="n">
        <v>28</v>
      </c>
      <c r="E183" s="10" t="n">
        <v>0</v>
      </c>
      <c r="F183" s="10" t="n">
        <v>454881203904</v>
      </c>
      <c r="G183" s="10" t="n">
        <v>0</v>
      </c>
      <c r="H183" s="10" t="n">
        <v>0</v>
      </c>
      <c r="I183" s="10" t="n">
        <v>0</v>
      </c>
    </row>
    <row r="184" customFormat="false" ht="15" hidden="false" customHeight="false" outlineLevel="0" collapsed="false">
      <c r="A184" s="4" t="n">
        <v>13</v>
      </c>
      <c r="B184" s="4" t="n">
        <v>19</v>
      </c>
      <c r="C184" s="4" t="n">
        <v>25</v>
      </c>
      <c r="D184" s="4" t="n">
        <v>26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</row>
    <row r="185" customFormat="false" ht="15" hidden="false" customHeight="false" outlineLevel="0" collapsed="false">
      <c r="A185" s="4" t="n">
        <v>13</v>
      </c>
      <c r="B185" s="4" t="n">
        <v>19</v>
      </c>
      <c r="C185" s="4" t="n">
        <v>25</v>
      </c>
      <c r="D185" s="4" t="n">
        <v>28</v>
      </c>
      <c r="E185" s="10" t="n">
        <v>0</v>
      </c>
      <c r="F185" s="10" t="n">
        <v>479170976928</v>
      </c>
      <c r="G185" s="10" t="n">
        <v>0</v>
      </c>
      <c r="H185" s="10" t="n">
        <v>0</v>
      </c>
      <c r="I185" s="10" t="n">
        <v>0</v>
      </c>
    </row>
    <row r="186" customFormat="false" ht="15" hidden="false" customHeight="false" outlineLevel="0" collapsed="false">
      <c r="A186" s="4" t="n">
        <v>13</v>
      </c>
      <c r="B186" s="4" t="n">
        <v>19</v>
      </c>
      <c r="C186" s="4" t="n">
        <v>26</v>
      </c>
      <c r="D186" s="4" t="n">
        <v>28</v>
      </c>
      <c r="E186" s="10" t="n">
        <v>0</v>
      </c>
      <c r="F186" s="10" t="n">
        <v>540999490080</v>
      </c>
      <c r="G186" s="10" t="n">
        <v>0</v>
      </c>
      <c r="H186" s="10" t="n">
        <v>0</v>
      </c>
      <c r="I186" s="10" t="n">
        <v>0</v>
      </c>
    </row>
    <row r="187" customFormat="false" ht="15" hidden="false" customHeight="false" outlineLevel="0" collapsed="false">
      <c r="A187" s="4" t="n">
        <v>13</v>
      </c>
      <c r="B187" s="4" t="n">
        <v>22</v>
      </c>
      <c r="C187" s="4" t="n">
        <v>23</v>
      </c>
      <c r="D187" s="4" t="n">
        <v>24</v>
      </c>
      <c r="E187" s="10" t="n">
        <v>0</v>
      </c>
      <c r="F187" s="10" t="n">
        <v>0</v>
      </c>
      <c r="G187" s="10" t="n">
        <v>0</v>
      </c>
      <c r="H187" s="10" t="n">
        <v>0</v>
      </c>
      <c r="I187" s="10" t="n">
        <v>0</v>
      </c>
    </row>
    <row r="188" customFormat="false" ht="15" hidden="false" customHeight="false" outlineLevel="0" collapsed="false">
      <c r="A188" s="4" t="n">
        <v>13</v>
      </c>
      <c r="B188" s="4" t="n">
        <v>22</v>
      </c>
      <c r="C188" s="4" t="n">
        <v>23</v>
      </c>
      <c r="D188" s="4" t="n">
        <v>25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</row>
    <row r="189" customFormat="false" ht="15" hidden="false" customHeight="false" outlineLevel="0" collapsed="false">
      <c r="A189" s="4" t="n">
        <v>13</v>
      </c>
      <c r="B189" s="4" t="n">
        <v>22</v>
      </c>
      <c r="C189" s="4" t="n">
        <v>23</v>
      </c>
      <c r="D189" s="4" t="n">
        <v>26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</row>
    <row r="190" customFormat="false" ht="15" hidden="false" customHeight="false" outlineLevel="0" collapsed="false">
      <c r="A190" s="4" t="n">
        <v>13</v>
      </c>
      <c r="B190" s="4" t="n">
        <v>22</v>
      </c>
      <c r="C190" s="4" t="n">
        <v>23</v>
      </c>
      <c r="D190" s="4" t="n">
        <v>28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</row>
    <row r="191" customFormat="false" ht="15" hidden="false" customHeight="false" outlineLevel="0" collapsed="false">
      <c r="A191" s="4" t="n">
        <v>13</v>
      </c>
      <c r="B191" s="4" t="n">
        <v>22</v>
      </c>
      <c r="C191" s="4" t="n">
        <v>24</v>
      </c>
      <c r="D191" s="4" t="n">
        <v>25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</row>
    <row r="192" customFormat="false" ht="15" hidden="false" customHeight="false" outlineLevel="0" collapsed="false">
      <c r="A192" s="4" t="n">
        <v>13</v>
      </c>
      <c r="B192" s="4" t="n">
        <v>22</v>
      </c>
      <c r="C192" s="4" t="n">
        <v>24</v>
      </c>
      <c r="D192" s="4" t="n">
        <v>26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</row>
    <row r="193" customFormat="false" ht="15" hidden="false" customHeight="false" outlineLevel="0" collapsed="false">
      <c r="A193" s="4" t="n">
        <v>13</v>
      </c>
      <c r="B193" s="4" t="n">
        <v>22</v>
      </c>
      <c r="C193" s="4" t="n">
        <v>24</v>
      </c>
      <c r="D193" s="4" t="n">
        <v>28</v>
      </c>
      <c r="E193" s="10" t="n">
        <v>0</v>
      </c>
      <c r="F193" s="10" t="n">
        <v>0</v>
      </c>
      <c r="G193" s="10" t="n">
        <v>0</v>
      </c>
      <c r="H193" s="10" t="n">
        <v>0</v>
      </c>
      <c r="I193" s="10" t="n">
        <v>0</v>
      </c>
    </row>
    <row r="194" customFormat="false" ht="15" hidden="false" customHeight="false" outlineLevel="0" collapsed="false">
      <c r="A194" s="4" t="n">
        <v>13</v>
      </c>
      <c r="B194" s="4" t="n">
        <v>22</v>
      </c>
      <c r="C194" s="4" t="n">
        <v>25</v>
      </c>
      <c r="D194" s="4" t="n">
        <v>26</v>
      </c>
      <c r="E194" s="10" t="n">
        <v>0</v>
      </c>
      <c r="F194" s="10" t="n">
        <v>0</v>
      </c>
      <c r="G194" s="10" t="n">
        <v>0</v>
      </c>
      <c r="H194" s="10" t="n">
        <v>0</v>
      </c>
      <c r="I194" s="10" t="n">
        <v>0</v>
      </c>
    </row>
    <row r="195" customFormat="false" ht="15" hidden="false" customHeight="false" outlineLevel="0" collapsed="false">
      <c r="A195" s="4" t="n">
        <v>13</v>
      </c>
      <c r="B195" s="4" t="n">
        <v>22</v>
      </c>
      <c r="C195" s="4" t="n">
        <v>25</v>
      </c>
      <c r="D195" s="4" t="n">
        <v>28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</row>
    <row r="196" customFormat="false" ht="15" hidden="false" customHeight="false" outlineLevel="0" collapsed="false">
      <c r="A196" s="4" t="n">
        <v>13</v>
      </c>
      <c r="B196" s="4" t="n">
        <v>22</v>
      </c>
      <c r="C196" s="4" t="n">
        <v>26</v>
      </c>
      <c r="D196" s="4" t="n">
        <v>28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</row>
    <row r="197" customFormat="false" ht="15" hidden="false" customHeight="false" outlineLevel="0" collapsed="false">
      <c r="A197" s="4" t="n">
        <v>13</v>
      </c>
      <c r="B197" s="4" t="n">
        <v>23</v>
      </c>
      <c r="C197" s="4" t="n">
        <v>24</v>
      </c>
      <c r="D197" s="4" t="n">
        <v>25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</row>
    <row r="198" customFormat="false" ht="15" hidden="false" customHeight="false" outlineLevel="0" collapsed="false">
      <c r="A198" s="4" t="n">
        <v>13</v>
      </c>
      <c r="B198" s="4" t="n">
        <v>23</v>
      </c>
      <c r="C198" s="4" t="n">
        <v>24</v>
      </c>
      <c r="D198" s="4" t="n">
        <v>26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</row>
    <row r="199" customFormat="false" ht="15" hidden="false" customHeight="false" outlineLevel="0" collapsed="false">
      <c r="A199" s="4" t="n">
        <v>13</v>
      </c>
      <c r="B199" s="4" t="n">
        <v>23</v>
      </c>
      <c r="C199" s="4" t="n">
        <v>24</v>
      </c>
      <c r="D199" s="4" t="n">
        <v>28</v>
      </c>
      <c r="E199" s="10" t="n">
        <v>0</v>
      </c>
      <c r="F199" s="10" t="n">
        <v>0</v>
      </c>
      <c r="G199" s="10" t="n">
        <v>0</v>
      </c>
      <c r="H199" s="10" t="n">
        <v>0</v>
      </c>
      <c r="I199" s="10" t="n">
        <v>0</v>
      </c>
    </row>
    <row r="200" customFormat="false" ht="15" hidden="false" customHeight="false" outlineLevel="0" collapsed="false">
      <c r="A200" s="4" t="n">
        <v>13</v>
      </c>
      <c r="B200" s="4" t="n">
        <v>23</v>
      </c>
      <c r="C200" s="4" t="n">
        <v>25</v>
      </c>
      <c r="D200" s="4" t="n">
        <v>26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</row>
    <row r="201" customFormat="false" ht="15" hidden="false" customHeight="false" outlineLevel="0" collapsed="false">
      <c r="A201" s="4" t="n">
        <v>13</v>
      </c>
      <c r="B201" s="4" t="n">
        <v>23</v>
      </c>
      <c r="C201" s="4" t="n">
        <v>25</v>
      </c>
      <c r="D201" s="4" t="n">
        <v>28</v>
      </c>
      <c r="E201" s="10" t="n">
        <v>0</v>
      </c>
      <c r="F201" s="10" t="n">
        <v>0</v>
      </c>
      <c r="G201" s="10" t="n">
        <v>0</v>
      </c>
      <c r="H201" s="10" t="n">
        <v>0</v>
      </c>
      <c r="I201" s="10" t="n">
        <v>0</v>
      </c>
    </row>
    <row r="202" customFormat="false" ht="15" hidden="false" customHeight="false" outlineLevel="0" collapsed="false">
      <c r="A202" s="4" t="n">
        <v>13</v>
      </c>
      <c r="B202" s="4" t="n">
        <v>23</v>
      </c>
      <c r="C202" s="4" t="n">
        <v>26</v>
      </c>
      <c r="D202" s="4" t="n">
        <v>28</v>
      </c>
      <c r="E202" s="10" t="n">
        <v>0</v>
      </c>
      <c r="F202" s="10" t="n">
        <v>0</v>
      </c>
      <c r="G202" s="10" t="n">
        <v>0</v>
      </c>
      <c r="H202" s="10" t="n">
        <v>0</v>
      </c>
      <c r="I202" s="10" t="n">
        <v>0</v>
      </c>
    </row>
    <row r="203" customFormat="false" ht="15" hidden="false" customHeight="false" outlineLevel="0" collapsed="false">
      <c r="A203" s="4" t="n">
        <v>13</v>
      </c>
      <c r="B203" s="4" t="n">
        <v>24</v>
      </c>
      <c r="C203" s="4" t="n">
        <v>25</v>
      </c>
      <c r="D203" s="4" t="n">
        <v>26</v>
      </c>
      <c r="E203" s="10" t="n">
        <v>0</v>
      </c>
      <c r="F203" s="10" t="n">
        <v>0</v>
      </c>
      <c r="G203" s="10" t="n">
        <v>0</v>
      </c>
      <c r="H203" s="10" t="n">
        <v>0</v>
      </c>
      <c r="I203" s="10" t="n">
        <v>0</v>
      </c>
    </row>
    <row r="204" customFormat="false" ht="15" hidden="false" customHeight="false" outlineLevel="0" collapsed="false">
      <c r="A204" s="4" t="n">
        <v>13</v>
      </c>
      <c r="B204" s="4" t="n">
        <v>24</v>
      </c>
      <c r="C204" s="4" t="n">
        <v>25</v>
      </c>
      <c r="D204" s="4" t="n">
        <v>28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</row>
    <row r="205" customFormat="false" ht="15" hidden="false" customHeight="false" outlineLevel="0" collapsed="false">
      <c r="A205" s="4" t="n">
        <v>13</v>
      </c>
      <c r="B205" s="4" t="n">
        <v>24</v>
      </c>
      <c r="C205" s="4" t="n">
        <v>26</v>
      </c>
      <c r="D205" s="4" t="n">
        <v>28</v>
      </c>
      <c r="E205" s="10" t="n">
        <v>0</v>
      </c>
      <c r="F205" s="10" t="n">
        <v>0</v>
      </c>
      <c r="G205" s="10" t="n">
        <v>0</v>
      </c>
      <c r="H205" s="10" t="n">
        <v>0</v>
      </c>
      <c r="I205" s="10" t="n">
        <v>0</v>
      </c>
    </row>
    <row r="206" customFormat="false" ht="15" hidden="false" customHeight="false" outlineLevel="0" collapsed="false">
      <c r="A206" s="4" t="n">
        <v>13</v>
      </c>
      <c r="B206" s="4" t="n">
        <v>25</v>
      </c>
      <c r="C206" s="4" t="n">
        <v>26</v>
      </c>
      <c r="D206" s="4" t="n">
        <v>28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</row>
    <row r="207" customFormat="false" ht="15" hidden="false" customHeight="false" outlineLevel="0" collapsed="false">
      <c r="A207" s="4" t="n">
        <v>14</v>
      </c>
      <c r="B207" s="4" t="n">
        <v>16</v>
      </c>
      <c r="C207" s="4" t="n">
        <v>19</v>
      </c>
      <c r="D207" s="4" t="n">
        <v>22</v>
      </c>
      <c r="E207" s="10" t="n">
        <v>0</v>
      </c>
      <c r="F207" s="10" t="n">
        <v>0</v>
      </c>
      <c r="G207" s="10" t="n">
        <v>0</v>
      </c>
      <c r="H207" s="10" t="n">
        <v>0</v>
      </c>
      <c r="I207" s="10" t="n">
        <v>134765255536</v>
      </c>
    </row>
    <row r="208" customFormat="false" ht="15" hidden="false" customHeight="false" outlineLevel="0" collapsed="false">
      <c r="A208" s="4" t="n">
        <v>14</v>
      </c>
      <c r="B208" s="4" t="n">
        <v>16</v>
      </c>
      <c r="C208" s="4" t="n">
        <v>19</v>
      </c>
      <c r="D208" s="4" t="n">
        <v>23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147701175480</v>
      </c>
    </row>
    <row r="209" customFormat="false" ht="15" hidden="false" customHeight="false" outlineLevel="0" collapsed="false">
      <c r="A209" s="4" t="n">
        <v>14</v>
      </c>
      <c r="B209" s="4" t="n">
        <v>16</v>
      </c>
      <c r="C209" s="4" t="n">
        <v>19</v>
      </c>
      <c r="D209" s="4" t="n">
        <v>24</v>
      </c>
      <c r="E209" s="10" t="n">
        <v>0</v>
      </c>
      <c r="F209" s="10" t="n">
        <v>0</v>
      </c>
      <c r="G209" s="10" t="n">
        <v>0</v>
      </c>
      <c r="H209" s="10" t="n">
        <v>0</v>
      </c>
      <c r="I209" s="10" t="n">
        <v>159092507968</v>
      </c>
    </row>
    <row r="210" customFormat="false" ht="15" hidden="false" customHeight="false" outlineLevel="0" collapsed="false">
      <c r="A210" s="4" t="n">
        <v>14</v>
      </c>
      <c r="B210" s="4" t="n">
        <v>16</v>
      </c>
      <c r="C210" s="4" t="n">
        <v>19</v>
      </c>
      <c r="D210" s="4" t="n">
        <v>25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167587738976</v>
      </c>
    </row>
    <row r="211" customFormat="false" ht="15" hidden="false" customHeight="false" outlineLevel="0" collapsed="false">
      <c r="A211" s="4" t="n">
        <v>14</v>
      </c>
      <c r="B211" s="4" t="n">
        <v>16</v>
      </c>
      <c r="C211" s="4" t="n">
        <v>19</v>
      </c>
      <c r="D211" s="4" t="n">
        <v>26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189211963360</v>
      </c>
    </row>
    <row r="212" customFormat="false" ht="15" hidden="false" customHeight="false" outlineLevel="0" collapsed="false">
      <c r="A212" s="4" t="n">
        <v>14</v>
      </c>
      <c r="B212" s="4" t="n">
        <v>16</v>
      </c>
      <c r="C212" s="4" t="n">
        <v>19</v>
      </c>
      <c r="D212" s="4" t="n">
        <v>28</v>
      </c>
      <c r="E212" s="10" t="n">
        <v>0</v>
      </c>
      <c r="F212" s="10" t="n">
        <v>0</v>
      </c>
      <c r="G212" s="10" t="n">
        <v>0</v>
      </c>
      <c r="H212" s="10" t="n">
        <v>328610981264</v>
      </c>
      <c r="I212" s="10" t="n">
        <v>0</v>
      </c>
    </row>
    <row r="213" customFormat="false" ht="15" hidden="false" customHeight="false" outlineLevel="0" collapsed="false">
      <c r="A213" s="4" t="n">
        <v>14</v>
      </c>
      <c r="B213" s="4" t="n">
        <v>16</v>
      </c>
      <c r="C213" s="4" t="n">
        <v>22</v>
      </c>
      <c r="D213" s="4" t="n">
        <v>23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</row>
    <row r="214" customFormat="false" ht="15" hidden="false" customHeight="false" outlineLevel="0" collapsed="false">
      <c r="A214" s="4" t="n">
        <v>14</v>
      </c>
      <c r="B214" s="4" t="n">
        <v>16</v>
      </c>
      <c r="C214" s="4" t="n">
        <v>22</v>
      </c>
      <c r="D214" s="4" t="n">
        <v>24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</row>
    <row r="215" customFormat="false" ht="15" hidden="false" customHeight="false" outlineLevel="0" collapsed="false">
      <c r="A215" s="4" t="n">
        <v>14</v>
      </c>
      <c r="B215" s="4" t="n">
        <v>16</v>
      </c>
      <c r="C215" s="4" t="n">
        <v>22</v>
      </c>
      <c r="D215" s="4" t="n">
        <v>25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</row>
    <row r="216" customFormat="false" ht="15" hidden="false" customHeight="false" outlineLevel="0" collapsed="false">
      <c r="A216" s="4" t="n">
        <v>14</v>
      </c>
      <c r="B216" s="4" t="n">
        <v>16</v>
      </c>
      <c r="C216" s="4" t="n">
        <v>22</v>
      </c>
      <c r="D216" s="4" t="n">
        <v>26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</row>
    <row r="217" customFormat="false" ht="15" hidden="false" customHeight="false" outlineLevel="0" collapsed="false">
      <c r="A217" s="4" t="n">
        <v>14</v>
      </c>
      <c r="B217" s="4" t="n">
        <v>16</v>
      </c>
      <c r="C217" s="4" t="n">
        <v>22</v>
      </c>
      <c r="D217" s="4" t="n">
        <v>28</v>
      </c>
      <c r="E217" s="10" t="n">
        <v>0</v>
      </c>
      <c r="F217" s="10" t="n">
        <v>0</v>
      </c>
      <c r="G217" s="10" t="n">
        <v>379752425368</v>
      </c>
      <c r="H217" s="10" t="n">
        <v>0</v>
      </c>
      <c r="I217" s="10" t="n">
        <v>0</v>
      </c>
    </row>
    <row r="218" customFormat="false" ht="15" hidden="false" customHeight="false" outlineLevel="0" collapsed="false">
      <c r="A218" s="4" t="n">
        <v>14</v>
      </c>
      <c r="B218" s="4" t="n">
        <v>16</v>
      </c>
      <c r="C218" s="4" t="n">
        <v>23</v>
      </c>
      <c r="D218" s="4" t="n">
        <v>24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</row>
    <row r="219" customFormat="false" ht="15" hidden="false" customHeight="false" outlineLevel="0" collapsed="false">
      <c r="A219" s="4" t="n">
        <v>14</v>
      </c>
      <c r="B219" s="4" t="n">
        <v>16</v>
      </c>
      <c r="C219" s="4" t="n">
        <v>23</v>
      </c>
      <c r="D219" s="4" t="n">
        <v>25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</row>
    <row r="220" customFormat="false" ht="15" hidden="false" customHeight="false" outlineLevel="0" collapsed="false">
      <c r="A220" s="4" t="n">
        <v>14</v>
      </c>
      <c r="B220" s="4" t="n">
        <v>16</v>
      </c>
      <c r="C220" s="4" t="n">
        <v>23</v>
      </c>
      <c r="D220" s="4" t="n">
        <v>26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</row>
    <row r="221" customFormat="false" ht="15" hidden="false" customHeight="false" outlineLevel="0" collapsed="false">
      <c r="A221" s="4" t="n">
        <v>14</v>
      </c>
      <c r="B221" s="4" t="n">
        <v>16</v>
      </c>
      <c r="C221" s="4" t="n">
        <v>23</v>
      </c>
      <c r="D221" s="4" t="n">
        <v>28</v>
      </c>
      <c r="E221" s="10" t="n">
        <v>0</v>
      </c>
      <c r="F221" s="10" t="n">
        <v>0</v>
      </c>
      <c r="G221" s="10" t="n">
        <v>416204305740</v>
      </c>
      <c r="H221" s="10" t="n">
        <v>0</v>
      </c>
      <c r="I221" s="10" t="n">
        <v>0</v>
      </c>
    </row>
    <row r="222" customFormat="false" ht="15" hidden="false" customHeight="false" outlineLevel="0" collapsed="false">
      <c r="A222" s="4" t="n">
        <v>14</v>
      </c>
      <c r="B222" s="4" t="n">
        <v>16</v>
      </c>
      <c r="C222" s="4" t="n">
        <v>24</v>
      </c>
      <c r="D222" s="4" t="n">
        <v>25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</row>
    <row r="223" customFormat="false" ht="15" hidden="false" customHeight="false" outlineLevel="0" collapsed="false">
      <c r="A223" s="4" t="n">
        <v>14</v>
      </c>
      <c r="B223" s="4" t="n">
        <v>16</v>
      </c>
      <c r="C223" s="4" t="n">
        <v>24</v>
      </c>
      <c r="D223" s="4" t="n">
        <v>26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</row>
    <row r="224" customFormat="false" ht="15" hidden="false" customHeight="false" outlineLevel="0" collapsed="false">
      <c r="A224" s="4" t="n">
        <v>14</v>
      </c>
      <c r="B224" s="4" t="n">
        <v>16</v>
      </c>
      <c r="C224" s="4" t="n">
        <v>24</v>
      </c>
      <c r="D224" s="4" t="n">
        <v>28</v>
      </c>
      <c r="E224" s="10" t="n">
        <v>0</v>
      </c>
      <c r="F224" s="10" t="n">
        <v>0</v>
      </c>
      <c r="G224" s="10" t="n">
        <v>448303722784</v>
      </c>
      <c r="H224" s="10" t="n">
        <v>0</v>
      </c>
      <c r="I224" s="10" t="n">
        <v>0</v>
      </c>
    </row>
    <row r="225" customFormat="false" ht="15" hidden="false" customHeight="false" outlineLevel="0" collapsed="false">
      <c r="A225" s="4" t="n">
        <v>14</v>
      </c>
      <c r="B225" s="4" t="n">
        <v>16</v>
      </c>
      <c r="C225" s="4" t="n">
        <v>25</v>
      </c>
      <c r="D225" s="4" t="n">
        <v>26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</row>
    <row r="226" customFormat="false" ht="15" hidden="false" customHeight="false" outlineLevel="0" collapsed="false">
      <c r="A226" s="4" t="n">
        <v>14</v>
      </c>
      <c r="B226" s="4" t="n">
        <v>16</v>
      </c>
      <c r="C226" s="4" t="n">
        <v>25</v>
      </c>
      <c r="D226" s="4" t="n">
        <v>28</v>
      </c>
      <c r="E226" s="10" t="n">
        <v>0</v>
      </c>
      <c r="F226" s="10" t="n">
        <v>0</v>
      </c>
      <c r="G226" s="10" t="n">
        <v>472242271088</v>
      </c>
      <c r="H226" s="10" t="n">
        <v>0</v>
      </c>
      <c r="I226" s="10" t="n">
        <v>0</v>
      </c>
    </row>
    <row r="227" customFormat="false" ht="15" hidden="false" customHeight="false" outlineLevel="0" collapsed="false">
      <c r="A227" s="4" t="n">
        <v>14</v>
      </c>
      <c r="B227" s="4" t="n">
        <v>16</v>
      </c>
      <c r="C227" s="4" t="n">
        <v>26</v>
      </c>
      <c r="D227" s="4" t="n">
        <v>28</v>
      </c>
      <c r="E227" s="10" t="n">
        <v>0</v>
      </c>
      <c r="F227" s="10" t="n">
        <v>0</v>
      </c>
      <c r="G227" s="10" t="n">
        <v>533176757680</v>
      </c>
      <c r="H227" s="10" t="n">
        <v>0</v>
      </c>
      <c r="I227" s="10" t="n">
        <v>0</v>
      </c>
    </row>
    <row r="228" customFormat="false" ht="15" hidden="false" customHeight="false" outlineLevel="0" collapsed="false">
      <c r="A228" s="4" t="n">
        <v>14</v>
      </c>
      <c r="B228" s="4" t="n">
        <v>19</v>
      </c>
      <c r="C228" s="4" t="n">
        <v>22</v>
      </c>
      <c r="D228" s="4" t="n">
        <v>23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</row>
    <row r="229" customFormat="false" ht="15" hidden="false" customHeight="false" outlineLevel="0" collapsed="false">
      <c r="A229" s="4" t="n">
        <v>14</v>
      </c>
      <c r="B229" s="4" t="n">
        <v>19</v>
      </c>
      <c r="C229" s="4" t="n">
        <v>22</v>
      </c>
      <c r="D229" s="4" t="n">
        <v>24</v>
      </c>
      <c r="E229" s="10" t="n">
        <v>0</v>
      </c>
      <c r="F229" s="10" t="n">
        <v>0</v>
      </c>
      <c r="G229" s="10" t="n">
        <v>0</v>
      </c>
      <c r="H229" s="10" t="n">
        <v>0</v>
      </c>
      <c r="I229" s="10" t="n">
        <v>0</v>
      </c>
    </row>
    <row r="230" customFormat="false" ht="15" hidden="false" customHeight="false" outlineLevel="0" collapsed="false">
      <c r="A230" s="4" t="n">
        <v>14</v>
      </c>
      <c r="B230" s="4" t="n">
        <v>19</v>
      </c>
      <c r="C230" s="4" t="n">
        <v>22</v>
      </c>
      <c r="D230" s="4" t="n">
        <v>25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</row>
    <row r="231" customFormat="false" ht="15" hidden="false" customHeight="false" outlineLevel="0" collapsed="false">
      <c r="A231" s="4" t="n">
        <v>14</v>
      </c>
      <c r="B231" s="4" t="n">
        <v>19</v>
      </c>
      <c r="C231" s="4" t="n">
        <v>22</v>
      </c>
      <c r="D231" s="4" t="n">
        <v>26</v>
      </c>
      <c r="E231" s="10" t="n">
        <v>0</v>
      </c>
      <c r="F231" s="10" t="n">
        <v>0</v>
      </c>
      <c r="G231" s="10" t="n">
        <v>0</v>
      </c>
      <c r="H231" s="10" t="n">
        <v>0</v>
      </c>
      <c r="I231" s="10" t="n">
        <v>0</v>
      </c>
    </row>
    <row r="232" customFormat="false" ht="15" hidden="false" customHeight="false" outlineLevel="0" collapsed="false">
      <c r="A232" s="4" t="n">
        <v>14</v>
      </c>
      <c r="B232" s="4" t="n">
        <v>19</v>
      </c>
      <c r="C232" s="4" t="n">
        <v>22</v>
      </c>
      <c r="D232" s="4" t="n">
        <v>28</v>
      </c>
      <c r="E232" s="10" t="n">
        <v>0</v>
      </c>
      <c r="F232" s="10" t="n">
        <v>397522469536</v>
      </c>
      <c r="G232" s="10" t="n">
        <v>0</v>
      </c>
      <c r="H232" s="10" t="n">
        <v>0</v>
      </c>
      <c r="I232" s="10" t="n">
        <v>0</v>
      </c>
    </row>
    <row r="233" customFormat="false" ht="15" hidden="false" customHeight="false" outlineLevel="0" collapsed="false">
      <c r="A233" s="4" t="n">
        <v>14</v>
      </c>
      <c r="B233" s="4" t="n">
        <v>19</v>
      </c>
      <c r="C233" s="4" t="n">
        <v>23</v>
      </c>
      <c r="D233" s="4" t="n">
        <v>24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</row>
    <row r="234" customFormat="false" ht="15" hidden="false" customHeight="false" outlineLevel="0" collapsed="false">
      <c r="A234" s="4" t="n">
        <v>14</v>
      </c>
      <c r="B234" s="4" t="n">
        <v>19</v>
      </c>
      <c r="C234" s="4" t="n">
        <v>23</v>
      </c>
      <c r="D234" s="4" t="n">
        <v>25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</row>
    <row r="235" customFormat="false" ht="15" hidden="false" customHeight="false" outlineLevel="0" collapsed="false">
      <c r="A235" s="4" t="n">
        <v>14</v>
      </c>
      <c r="B235" s="4" t="n">
        <v>19</v>
      </c>
      <c r="C235" s="4" t="n">
        <v>23</v>
      </c>
      <c r="D235" s="4" t="n">
        <v>26</v>
      </c>
      <c r="E235" s="10" t="n">
        <v>0</v>
      </c>
      <c r="F235" s="10" t="n">
        <v>0</v>
      </c>
      <c r="G235" s="10" t="n">
        <v>0</v>
      </c>
      <c r="H235" s="10" t="n">
        <v>0</v>
      </c>
      <c r="I235" s="10" t="n">
        <v>0</v>
      </c>
    </row>
    <row r="236" customFormat="false" ht="15" hidden="false" customHeight="false" outlineLevel="0" collapsed="false">
      <c r="A236" s="4" t="n">
        <v>14</v>
      </c>
      <c r="B236" s="4" t="n">
        <v>19</v>
      </c>
      <c r="C236" s="4" t="n">
        <v>23</v>
      </c>
      <c r="D236" s="4" t="n">
        <v>28</v>
      </c>
      <c r="E236" s="10" t="n">
        <v>0</v>
      </c>
      <c r="F236" s="10" t="n">
        <v>435680070480</v>
      </c>
      <c r="G236" s="10" t="n">
        <v>0</v>
      </c>
      <c r="H236" s="10" t="n">
        <v>0</v>
      </c>
      <c r="I236" s="10" t="n">
        <v>0</v>
      </c>
    </row>
    <row r="237" customFormat="false" ht="15" hidden="false" customHeight="false" outlineLevel="0" collapsed="false">
      <c r="A237" s="4" t="n">
        <v>14</v>
      </c>
      <c r="B237" s="4" t="n">
        <v>19</v>
      </c>
      <c r="C237" s="4" t="n">
        <v>24</v>
      </c>
      <c r="D237" s="4" t="n">
        <v>25</v>
      </c>
      <c r="E237" s="10" t="n">
        <v>0</v>
      </c>
      <c r="F237" s="10" t="n">
        <v>0</v>
      </c>
      <c r="G237" s="10" t="n">
        <v>0</v>
      </c>
      <c r="H237" s="10" t="n">
        <v>0</v>
      </c>
      <c r="I237" s="10" t="n">
        <v>0</v>
      </c>
    </row>
    <row r="238" customFormat="false" ht="15" hidden="false" customHeight="false" outlineLevel="0" collapsed="false">
      <c r="A238" s="4" t="n">
        <v>14</v>
      </c>
      <c r="B238" s="4" t="n">
        <v>19</v>
      </c>
      <c r="C238" s="4" t="n">
        <v>24</v>
      </c>
      <c r="D238" s="4" t="n">
        <v>26</v>
      </c>
      <c r="E238" s="10" t="n">
        <v>0</v>
      </c>
      <c r="F238" s="10" t="n">
        <v>0</v>
      </c>
      <c r="G238" s="10" t="n">
        <v>0</v>
      </c>
      <c r="H238" s="10" t="n">
        <v>0</v>
      </c>
      <c r="I238" s="10" t="n">
        <v>0</v>
      </c>
    </row>
    <row r="239" customFormat="false" ht="15" hidden="false" customHeight="false" outlineLevel="0" collapsed="false">
      <c r="A239" s="4" t="n">
        <v>14</v>
      </c>
      <c r="B239" s="4" t="n">
        <v>19</v>
      </c>
      <c r="C239" s="4" t="n">
        <v>24</v>
      </c>
      <c r="D239" s="4" t="n">
        <v>28</v>
      </c>
      <c r="E239" s="10" t="n">
        <v>0</v>
      </c>
      <c r="F239" s="10" t="n">
        <v>469281539968</v>
      </c>
      <c r="G239" s="10" t="n">
        <v>0</v>
      </c>
      <c r="H239" s="10" t="n">
        <v>0</v>
      </c>
      <c r="I239" s="10" t="n">
        <v>0</v>
      </c>
    </row>
    <row r="240" customFormat="false" ht="15" hidden="false" customHeight="false" outlineLevel="0" collapsed="false">
      <c r="A240" s="4" t="n">
        <v>14</v>
      </c>
      <c r="B240" s="4" t="n">
        <v>19</v>
      </c>
      <c r="C240" s="4" t="n">
        <v>25</v>
      </c>
      <c r="D240" s="4" t="n">
        <v>26</v>
      </c>
      <c r="E240" s="10" t="n">
        <v>0</v>
      </c>
      <c r="F240" s="10" t="n">
        <v>0</v>
      </c>
      <c r="G240" s="10" t="n">
        <v>0</v>
      </c>
      <c r="H240" s="10" t="n">
        <v>0</v>
      </c>
      <c r="I240" s="10" t="n">
        <v>0</v>
      </c>
    </row>
    <row r="241" customFormat="false" ht="15" hidden="false" customHeight="false" outlineLevel="0" collapsed="false">
      <c r="A241" s="4" t="n">
        <v>14</v>
      </c>
      <c r="B241" s="4" t="n">
        <v>19</v>
      </c>
      <c r="C241" s="4" t="n">
        <v>25</v>
      </c>
      <c r="D241" s="4" t="n">
        <v>28</v>
      </c>
      <c r="E241" s="10" t="n">
        <v>0</v>
      </c>
      <c r="F241" s="10" t="n">
        <v>494340262976</v>
      </c>
      <c r="G241" s="10" t="n">
        <v>0</v>
      </c>
      <c r="H241" s="10" t="n">
        <v>0</v>
      </c>
      <c r="I241" s="10" t="n">
        <v>0</v>
      </c>
    </row>
    <row r="242" customFormat="false" ht="15" hidden="false" customHeight="false" outlineLevel="0" collapsed="false">
      <c r="A242" s="4" t="n">
        <v>14</v>
      </c>
      <c r="B242" s="4" t="n">
        <v>19</v>
      </c>
      <c r="C242" s="4" t="n">
        <v>26</v>
      </c>
      <c r="D242" s="4" t="n">
        <v>28</v>
      </c>
      <c r="E242" s="10" t="n">
        <v>0</v>
      </c>
      <c r="F242" s="10" t="n">
        <v>558126103360</v>
      </c>
      <c r="G242" s="10" t="n">
        <v>0</v>
      </c>
      <c r="H242" s="10" t="n">
        <v>0</v>
      </c>
      <c r="I242" s="10" t="n">
        <v>0</v>
      </c>
    </row>
    <row r="243" customFormat="false" ht="15" hidden="false" customHeight="false" outlineLevel="0" collapsed="false">
      <c r="A243" s="4" t="n">
        <v>14</v>
      </c>
      <c r="B243" s="4" t="n">
        <v>22</v>
      </c>
      <c r="C243" s="4" t="n">
        <v>23</v>
      </c>
      <c r="D243" s="4" t="n">
        <v>24</v>
      </c>
      <c r="E243" s="10" t="n">
        <v>0</v>
      </c>
      <c r="F243" s="10" t="n">
        <v>0</v>
      </c>
      <c r="G243" s="10" t="n">
        <v>0</v>
      </c>
      <c r="H243" s="10" t="n">
        <v>0</v>
      </c>
      <c r="I243" s="10" t="n">
        <v>0</v>
      </c>
    </row>
    <row r="244" customFormat="false" ht="15" hidden="false" customHeight="false" outlineLevel="0" collapsed="false">
      <c r="A244" s="4" t="n">
        <v>14</v>
      </c>
      <c r="B244" s="4" t="n">
        <v>22</v>
      </c>
      <c r="C244" s="4" t="n">
        <v>23</v>
      </c>
      <c r="D244" s="4" t="n">
        <v>25</v>
      </c>
      <c r="E244" s="10" t="n">
        <v>0</v>
      </c>
      <c r="F244" s="10" t="n">
        <v>0</v>
      </c>
      <c r="G244" s="10" t="n">
        <v>0</v>
      </c>
      <c r="H244" s="10" t="n">
        <v>0</v>
      </c>
      <c r="I244" s="10" t="n">
        <v>0</v>
      </c>
    </row>
    <row r="245" customFormat="false" ht="15" hidden="false" customHeight="false" outlineLevel="0" collapsed="false">
      <c r="A245" s="4" t="n">
        <v>14</v>
      </c>
      <c r="B245" s="4" t="n">
        <v>22</v>
      </c>
      <c r="C245" s="4" t="n">
        <v>23</v>
      </c>
      <c r="D245" s="4" t="n">
        <v>26</v>
      </c>
      <c r="E245" s="10" t="n">
        <v>0</v>
      </c>
      <c r="F245" s="10" t="n">
        <v>0</v>
      </c>
      <c r="G245" s="10" t="n">
        <v>0</v>
      </c>
      <c r="H245" s="10" t="n">
        <v>0</v>
      </c>
      <c r="I245" s="10" t="n">
        <v>0</v>
      </c>
    </row>
    <row r="246" customFormat="false" ht="15" hidden="false" customHeight="false" outlineLevel="0" collapsed="false">
      <c r="A246" s="4" t="n">
        <v>14</v>
      </c>
      <c r="B246" s="4" t="n">
        <v>22</v>
      </c>
      <c r="C246" s="4" t="n">
        <v>23</v>
      </c>
      <c r="D246" s="4" t="n">
        <v>28</v>
      </c>
      <c r="E246" s="10" t="n">
        <v>0</v>
      </c>
      <c r="F246" s="10" t="n">
        <v>0</v>
      </c>
      <c r="G246" s="10" t="n">
        <v>0</v>
      </c>
      <c r="H246" s="10" t="n">
        <v>0</v>
      </c>
      <c r="I246" s="10" t="n">
        <v>0</v>
      </c>
    </row>
    <row r="247" customFormat="false" ht="15" hidden="false" customHeight="false" outlineLevel="0" collapsed="false">
      <c r="A247" s="4" t="n">
        <v>14</v>
      </c>
      <c r="B247" s="4" t="n">
        <v>22</v>
      </c>
      <c r="C247" s="4" t="n">
        <v>24</v>
      </c>
      <c r="D247" s="4" t="n">
        <v>25</v>
      </c>
      <c r="E247" s="10" t="n">
        <v>0</v>
      </c>
      <c r="F247" s="10" t="n">
        <v>0</v>
      </c>
      <c r="G247" s="10" t="n">
        <v>0</v>
      </c>
      <c r="H247" s="10" t="n">
        <v>0</v>
      </c>
      <c r="I247" s="10" t="n">
        <v>0</v>
      </c>
    </row>
    <row r="248" customFormat="false" ht="15" hidden="false" customHeight="false" outlineLevel="0" collapsed="false">
      <c r="A248" s="4" t="n">
        <v>14</v>
      </c>
      <c r="B248" s="4" t="n">
        <v>22</v>
      </c>
      <c r="C248" s="4" t="n">
        <v>24</v>
      </c>
      <c r="D248" s="4" t="n">
        <v>26</v>
      </c>
      <c r="E248" s="10" t="n">
        <v>0</v>
      </c>
      <c r="F248" s="10" t="n">
        <v>0</v>
      </c>
      <c r="G248" s="10" t="n">
        <v>0</v>
      </c>
      <c r="H248" s="10" t="n">
        <v>0</v>
      </c>
      <c r="I248" s="10" t="n">
        <v>0</v>
      </c>
    </row>
    <row r="249" customFormat="false" ht="15" hidden="false" customHeight="false" outlineLevel="0" collapsed="false">
      <c r="A249" s="4" t="n">
        <v>14</v>
      </c>
      <c r="B249" s="4" t="n">
        <v>22</v>
      </c>
      <c r="C249" s="4" t="n">
        <v>24</v>
      </c>
      <c r="D249" s="4" t="n">
        <v>28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0</v>
      </c>
    </row>
    <row r="250" customFormat="false" ht="15" hidden="false" customHeight="false" outlineLevel="0" collapsed="false">
      <c r="A250" s="4" t="n">
        <v>14</v>
      </c>
      <c r="B250" s="4" t="n">
        <v>22</v>
      </c>
      <c r="C250" s="4" t="n">
        <v>25</v>
      </c>
      <c r="D250" s="4" t="n">
        <v>26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</row>
    <row r="251" customFormat="false" ht="15" hidden="false" customHeight="false" outlineLevel="0" collapsed="false">
      <c r="A251" s="4" t="n">
        <v>14</v>
      </c>
      <c r="B251" s="4" t="n">
        <v>22</v>
      </c>
      <c r="C251" s="4" t="n">
        <v>25</v>
      </c>
      <c r="D251" s="4" t="n">
        <v>28</v>
      </c>
      <c r="E251" s="10" t="n">
        <v>0</v>
      </c>
      <c r="F251" s="10" t="n">
        <v>0</v>
      </c>
      <c r="G251" s="10" t="n">
        <v>0</v>
      </c>
      <c r="H251" s="10" t="n">
        <v>0</v>
      </c>
      <c r="I251" s="10" t="n">
        <v>0</v>
      </c>
    </row>
    <row r="252" customFormat="false" ht="15" hidden="false" customHeight="false" outlineLevel="0" collapsed="false">
      <c r="A252" s="4" t="n">
        <v>14</v>
      </c>
      <c r="B252" s="4" t="n">
        <v>22</v>
      </c>
      <c r="C252" s="4" t="n">
        <v>26</v>
      </c>
      <c r="D252" s="4" t="n">
        <v>28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</row>
    <row r="253" customFormat="false" ht="15" hidden="false" customHeight="false" outlineLevel="0" collapsed="false">
      <c r="A253" s="4" t="n">
        <v>14</v>
      </c>
      <c r="B253" s="4" t="n">
        <v>23</v>
      </c>
      <c r="C253" s="4" t="n">
        <v>24</v>
      </c>
      <c r="D253" s="4" t="n">
        <v>25</v>
      </c>
      <c r="E253" s="10" t="n">
        <v>0</v>
      </c>
      <c r="F253" s="10" t="n">
        <v>0</v>
      </c>
      <c r="G253" s="10" t="n">
        <v>0</v>
      </c>
      <c r="H253" s="10" t="n">
        <v>0</v>
      </c>
      <c r="I253" s="10" t="n">
        <v>0</v>
      </c>
    </row>
    <row r="254" customFormat="false" ht="15" hidden="false" customHeight="false" outlineLevel="0" collapsed="false">
      <c r="A254" s="4" t="n">
        <v>14</v>
      </c>
      <c r="B254" s="4" t="n">
        <v>23</v>
      </c>
      <c r="C254" s="4" t="n">
        <v>24</v>
      </c>
      <c r="D254" s="4" t="n">
        <v>26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</row>
    <row r="255" customFormat="false" ht="15" hidden="false" customHeight="false" outlineLevel="0" collapsed="false">
      <c r="A255" s="4" t="n">
        <v>14</v>
      </c>
      <c r="B255" s="4" t="n">
        <v>23</v>
      </c>
      <c r="C255" s="4" t="n">
        <v>24</v>
      </c>
      <c r="D255" s="4" t="n">
        <v>28</v>
      </c>
      <c r="E255" s="10" t="n">
        <v>0</v>
      </c>
      <c r="F255" s="10" t="n">
        <v>0</v>
      </c>
      <c r="G255" s="10" t="n">
        <v>0</v>
      </c>
      <c r="H255" s="10" t="n">
        <v>0</v>
      </c>
      <c r="I255" s="10" t="n">
        <v>0</v>
      </c>
    </row>
    <row r="256" customFormat="false" ht="15" hidden="false" customHeight="false" outlineLevel="0" collapsed="false">
      <c r="A256" s="4" t="n">
        <v>14</v>
      </c>
      <c r="B256" s="4" t="n">
        <v>23</v>
      </c>
      <c r="C256" s="4" t="n">
        <v>25</v>
      </c>
      <c r="D256" s="4" t="n">
        <v>26</v>
      </c>
      <c r="E256" s="10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</row>
    <row r="257" customFormat="false" ht="15" hidden="false" customHeight="false" outlineLevel="0" collapsed="false">
      <c r="A257" s="4" t="n">
        <v>14</v>
      </c>
      <c r="B257" s="4" t="n">
        <v>23</v>
      </c>
      <c r="C257" s="4" t="n">
        <v>25</v>
      </c>
      <c r="D257" s="4" t="n">
        <v>28</v>
      </c>
      <c r="E257" s="10" t="n">
        <v>0</v>
      </c>
      <c r="F257" s="10" t="n">
        <v>0</v>
      </c>
      <c r="G257" s="10" t="n">
        <v>0</v>
      </c>
      <c r="H257" s="10" t="n">
        <v>0</v>
      </c>
      <c r="I257" s="10" t="n">
        <v>0</v>
      </c>
    </row>
    <row r="258" customFormat="false" ht="15" hidden="false" customHeight="false" outlineLevel="0" collapsed="false">
      <c r="A258" s="4" t="n">
        <v>14</v>
      </c>
      <c r="B258" s="4" t="n">
        <v>23</v>
      </c>
      <c r="C258" s="4" t="n">
        <v>26</v>
      </c>
      <c r="D258" s="4" t="n">
        <v>28</v>
      </c>
      <c r="E258" s="10" t="n">
        <v>0</v>
      </c>
      <c r="F258" s="10" t="n">
        <v>0</v>
      </c>
      <c r="G258" s="10" t="n">
        <v>0</v>
      </c>
      <c r="H258" s="10" t="n">
        <v>0</v>
      </c>
      <c r="I258" s="10" t="n">
        <v>0</v>
      </c>
    </row>
    <row r="259" customFormat="false" ht="15" hidden="false" customHeight="false" outlineLevel="0" collapsed="false">
      <c r="A259" s="4" t="n">
        <v>14</v>
      </c>
      <c r="B259" s="4" t="n">
        <v>24</v>
      </c>
      <c r="C259" s="4" t="n">
        <v>25</v>
      </c>
      <c r="D259" s="4" t="n">
        <v>26</v>
      </c>
      <c r="E259" s="10" t="n">
        <v>0</v>
      </c>
      <c r="F259" s="10" t="n">
        <v>0</v>
      </c>
      <c r="G259" s="10" t="n">
        <v>0</v>
      </c>
      <c r="H259" s="10" t="n">
        <v>0</v>
      </c>
      <c r="I259" s="10" t="n">
        <v>0</v>
      </c>
    </row>
    <row r="260" customFormat="false" ht="15" hidden="false" customHeight="false" outlineLevel="0" collapsed="false">
      <c r="A260" s="4" t="n">
        <v>14</v>
      </c>
      <c r="B260" s="4" t="n">
        <v>24</v>
      </c>
      <c r="C260" s="4" t="n">
        <v>25</v>
      </c>
      <c r="D260" s="4" t="n">
        <v>28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0</v>
      </c>
    </row>
    <row r="261" customFormat="false" ht="15" hidden="false" customHeight="false" outlineLevel="0" collapsed="false">
      <c r="A261" s="4" t="n">
        <v>14</v>
      </c>
      <c r="B261" s="4" t="n">
        <v>24</v>
      </c>
      <c r="C261" s="4" t="n">
        <v>26</v>
      </c>
      <c r="D261" s="4" t="n">
        <v>28</v>
      </c>
      <c r="E261" s="10" t="n">
        <v>0</v>
      </c>
      <c r="F261" s="10" t="n">
        <v>0</v>
      </c>
      <c r="G261" s="10" t="n">
        <v>0</v>
      </c>
      <c r="H261" s="10" t="n">
        <v>0</v>
      </c>
      <c r="I261" s="10" t="n">
        <v>0</v>
      </c>
    </row>
    <row r="262" customFormat="false" ht="15" hidden="false" customHeight="false" outlineLevel="0" collapsed="false">
      <c r="A262" s="4" t="n">
        <v>14</v>
      </c>
      <c r="B262" s="4" t="n">
        <v>25</v>
      </c>
      <c r="C262" s="4" t="n">
        <v>26</v>
      </c>
      <c r="D262" s="4" t="n">
        <v>28</v>
      </c>
      <c r="E262" s="10" t="n">
        <v>0</v>
      </c>
      <c r="F262" s="10" t="n">
        <v>0</v>
      </c>
      <c r="G262" s="10" t="n">
        <v>0</v>
      </c>
      <c r="H262" s="10" t="n">
        <v>0</v>
      </c>
      <c r="I262" s="10" t="n">
        <v>0</v>
      </c>
    </row>
    <row r="263" customFormat="false" ht="15" hidden="false" customHeight="false" outlineLevel="0" collapsed="false">
      <c r="A263" s="4" t="n">
        <v>16</v>
      </c>
      <c r="B263" s="4" t="n">
        <v>19</v>
      </c>
      <c r="C263" s="4" t="n">
        <v>22</v>
      </c>
      <c r="D263" s="4" t="n">
        <v>23</v>
      </c>
      <c r="E263" s="10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</row>
    <row r="264" customFormat="false" ht="15" hidden="false" customHeight="false" outlineLevel="0" collapsed="false">
      <c r="A264" s="4" t="n">
        <v>16</v>
      </c>
      <c r="B264" s="4" t="n">
        <v>19</v>
      </c>
      <c r="C264" s="4" t="n">
        <v>22</v>
      </c>
      <c r="D264" s="4" t="n">
        <v>24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</row>
    <row r="265" customFormat="false" ht="15" hidden="false" customHeight="false" outlineLevel="0" collapsed="false">
      <c r="A265" s="4" t="n">
        <v>16</v>
      </c>
      <c r="B265" s="4" t="n">
        <v>19</v>
      </c>
      <c r="C265" s="4" t="n">
        <v>22</v>
      </c>
      <c r="D265" s="4" t="n">
        <v>25</v>
      </c>
      <c r="E265" s="10" t="n">
        <v>0</v>
      </c>
      <c r="F265" s="10" t="n">
        <v>0</v>
      </c>
      <c r="G265" s="10" t="n">
        <v>0</v>
      </c>
      <c r="H265" s="10" t="n">
        <v>0</v>
      </c>
      <c r="I265" s="10" t="n">
        <v>0</v>
      </c>
    </row>
    <row r="266" customFormat="false" ht="15" hidden="false" customHeight="false" outlineLevel="0" collapsed="false">
      <c r="A266" s="4" t="n">
        <v>16</v>
      </c>
      <c r="B266" s="4" t="n">
        <v>19</v>
      </c>
      <c r="C266" s="4" t="n">
        <v>22</v>
      </c>
      <c r="D266" s="4" t="n">
        <v>26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</row>
    <row r="267" customFormat="false" ht="15" hidden="false" customHeight="false" outlineLevel="0" collapsed="false">
      <c r="A267" s="4" t="n">
        <v>16</v>
      </c>
      <c r="B267" s="4" t="n">
        <v>19</v>
      </c>
      <c r="C267" s="4" t="n">
        <v>22</v>
      </c>
      <c r="D267" s="4" t="n">
        <v>28</v>
      </c>
      <c r="E267" s="10" t="n">
        <v>414026109968</v>
      </c>
      <c r="F267" s="10" t="n">
        <v>0</v>
      </c>
      <c r="G267" s="10" t="n">
        <v>0</v>
      </c>
      <c r="H267" s="10" t="n">
        <v>0</v>
      </c>
      <c r="I267" s="10" t="n">
        <v>0</v>
      </c>
    </row>
    <row r="268" customFormat="false" ht="15" hidden="false" customHeight="false" outlineLevel="0" collapsed="false">
      <c r="A268" s="4" t="n">
        <v>16</v>
      </c>
      <c r="B268" s="4" t="n">
        <v>19</v>
      </c>
      <c r="C268" s="4" t="n">
        <v>23</v>
      </c>
      <c r="D268" s="4" t="n">
        <v>24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</row>
    <row r="269" customFormat="false" ht="15" hidden="false" customHeight="false" outlineLevel="0" collapsed="false">
      <c r="A269" s="4" t="n">
        <v>16</v>
      </c>
      <c r="B269" s="4" t="n">
        <v>19</v>
      </c>
      <c r="C269" s="4" t="n">
        <v>23</v>
      </c>
      <c r="D269" s="4" t="n">
        <v>25</v>
      </c>
      <c r="E269" s="10" t="n">
        <v>0</v>
      </c>
      <c r="F269" s="10" t="n">
        <v>0</v>
      </c>
      <c r="G269" s="10" t="n">
        <v>0</v>
      </c>
      <c r="H269" s="10" t="n">
        <v>0</v>
      </c>
      <c r="I269" s="10" t="n">
        <v>0</v>
      </c>
    </row>
    <row r="270" customFormat="false" ht="15" hidden="false" customHeight="false" outlineLevel="0" collapsed="false">
      <c r="A270" s="4" t="n">
        <v>16</v>
      </c>
      <c r="B270" s="4" t="n">
        <v>19</v>
      </c>
      <c r="C270" s="4" t="n">
        <v>23</v>
      </c>
      <c r="D270" s="4" t="n">
        <v>26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</row>
    <row r="271" customFormat="false" ht="15" hidden="false" customHeight="false" outlineLevel="0" collapsed="false">
      <c r="A271" s="4" t="n">
        <v>16</v>
      </c>
      <c r="B271" s="4" t="n">
        <v>19</v>
      </c>
      <c r="C271" s="4" t="n">
        <v>23</v>
      </c>
      <c r="D271" s="4" t="n">
        <v>28</v>
      </c>
      <c r="E271" s="10" t="n">
        <v>453767871240</v>
      </c>
      <c r="F271" s="10" t="n">
        <v>0</v>
      </c>
      <c r="G271" s="10" t="n">
        <v>0</v>
      </c>
      <c r="H271" s="10" t="n">
        <v>0</v>
      </c>
      <c r="I271" s="10" t="n">
        <v>0</v>
      </c>
    </row>
    <row r="272" customFormat="false" ht="15" hidden="false" customHeight="false" outlineLevel="0" collapsed="false">
      <c r="A272" s="4" t="n">
        <v>16</v>
      </c>
      <c r="B272" s="4" t="n">
        <v>19</v>
      </c>
      <c r="C272" s="4" t="n">
        <v>24</v>
      </c>
      <c r="D272" s="4" t="n">
        <v>25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0</v>
      </c>
    </row>
    <row r="273" customFormat="false" ht="15" hidden="false" customHeight="false" outlineLevel="0" collapsed="false">
      <c r="A273" s="4" t="n">
        <v>16</v>
      </c>
      <c r="B273" s="4" t="n">
        <v>19</v>
      </c>
      <c r="C273" s="4" t="n">
        <v>24</v>
      </c>
      <c r="D273" s="4" t="n">
        <v>26</v>
      </c>
      <c r="E273" s="10" t="n">
        <v>0</v>
      </c>
      <c r="F273" s="10" t="n">
        <v>0</v>
      </c>
      <c r="G273" s="10" t="n">
        <v>0</v>
      </c>
      <c r="H273" s="10" t="n">
        <v>0</v>
      </c>
      <c r="I273" s="10" t="n">
        <v>0</v>
      </c>
    </row>
    <row r="274" customFormat="false" ht="15" hidden="false" customHeight="false" outlineLevel="0" collapsed="false">
      <c r="A274" s="4" t="n">
        <v>16</v>
      </c>
      <c r="B274" s="4" t="n">
        <v>19</v>
      </c>
      <c r="C274" s="4" t="n">
        <v>24</v>
      </c>
      <c r="D274" s="4" t="n">
        <v>28</v>
      </c>
      <c r="E274" s="10" t="n">
        <v>488764347584</v>
      </c>
      <c r="F274" s="10" t="n">
        <v>0</v>
      </c>
      <c r="G274" s="10" t="n">
        <v>0</v>
      </c>
      <c r="H274" s="10" t="n">
        <v>0</v>
      </c>
      <c r="I274" s="10" t="n">
        <v>0</v>
      </c>
    </row>
    <row r="275" customFormat="false" ht="15" hidden="false" customHeight="false" outlineLevel="0" collapsed="false">
      <c r="A275" s="4" t="n">
        <v>16</v>
      </c>
      <c r="B275" s="4" t="n">
        <v>19</v>
      </c>
      <c r="C275" s="4" t="n">
        <v>25</v>
      </c>
      <c r="D275" s="4" t="n">
        <v>26</v>
      </c>
      <c r="E275" s="10" t="n">
        <v>0</v>
      </c>
      <c r="F275" s="10" t="n">
        <v>0</v>
      </c>
      <c r="G275" s="10" t="n">
        <v>0</v>
      </c>
      <c r="H275" s="10" t="n">
        <v>0</v>
      </c>
      <c r="I275" s="10" t="n">
        <v>0</v>
      </c>
    </row>
    <row r="276" customFormat="false" ht="15" hidden="false" customHeight="false" outlineLevel="0" collapsed="false">
      <c r="A276" s="4" t="n">
        <v>16</v>
      </c>
      <c r="B276" s="4" t="n">
        <v>19</v>
      </c>
      <c r="C276" s="4" t="n">
        <v>25</v>
      </c>
      <c r="D276" s="4" t="n">
        <v>28</v>
      </c>
      <c r="E276" s="10" t="n">
        <v>514863414688</v>
      </c>
      <c r="F276" s="10" t="n">
        <v>0</v>
      </c>
      <c r="G276" s="10" t="n">
        <v>0</v>
      </c>
      <c r="H276" s="10" t="n">
        <v>0</v>
      </c>
      <c r="I276" s="10" t="n">
        <v>0</v>
      </c>
    </row>
    <row r="277" customFormat="false" ht="15" hidden="false" customHeight="false" outlineLevel="0" collapsed="false">
      <c r="A277" s="4" t="n">
        <v>16</v>
      </c>
      <c r="B277" s="4" t="n">
        <v>19</v>
      </c>
      <c r="C277" s="4" t="n">
        <v>26</v>
      </c>
      <c r="D277" s="4" t="n">
        <v>28</v>
      </c>
      <c r="E277" s="10" t="n">
        <v>581297403680</v>
      </c>
      <c r="F277" s="10" t="n">
        <v>0</v>
      </c>
      <c r="G277" s="10" t="n">
        <v>0</v>
      </c>
      <c r="H277" s="10" t="n">
        <v>0</v>
      </c>
      <c r="I277" s="10" t="n">
        <v>0</v>
      </c>
    </row>
    <row r="278" customFormat="false" ht="15" hidden="false" customHeight="false" outlineLevel="0" collapsed="false">
      <c r="A278" s="4" t="n">
        <v>16</v>
      </c>
      <c r="B278" s="4" t="n">
        <v>22</v>
      </c>
      <c r="C278" s="4" t="n">
        <v>23</v>
      </c>
      <c r="D278" s="4" t="n">
        <v>24</v>
      </c>
      <c r="E278" s="10" t="n">
        <v>0</v>
      </c>
      <c r="F278" s="10" t="n">
        <v>0</v>
      </c>
      <c r="G278" s="10" t="n">
        <v>0</v>
      </c>
      <c r="H278" s="10" t="n">
        <v>0</v>
      </c>
      <c r="I278" s="10" t="n">
        <v>0</v>
      </c>
    </row>
    <row r="279" customFormat="false" ht="15" hidden="false" customHeight="false" outlineLevel="0" collapsed="false">
      <c r="A279" s="4" t="n">
        <v>16</v>
      </c>
      <c r="B279" s="4" t="n">
        <v>22</v>
      </c>
      <c r="C279" s="4" t="n">
        <v>23</v>
      </c>
      <c r="D279" s="4" t="n">
        <v>25</v>
      </c>
      <c r="E279" s="10" t="n">
        <v>0</v>
      </c>
      <c r="F279" s="10" t="n">
        <v>0</v>
      </c>
      <c r="G279" s="10" t="n">
        <v>0</v>
      </c>
      <c r="H279" s="10" t="n">
        <v>0</v>
      </c>
      <c r="I279" s="10" t="n">
        <v>0</v>
      </c>
    </row>
    <row r="280" customFormat="false" ht="15" hidden="false" customHeight="false" outlineLevel="0" collapsed="false">
      <c r="A280" s="4" t="n">
        <v>16</v>
      </c>
      <c r="B280" s="4" t="n">
        <v>22</v>
      </c>
      <c r="C280" s="4" t="n">
        <v>23</v>
      </c>
      <c r="D280" s="4" t="n">
        <v>26</v>
      </c>
      <c r="E280" s="10" t="n">
        <v>0</v>
      </c>
      <c r="F280" s="10" t="n">
        <v>0</v>
      </c>
      <c r="G280" s="10" t="n">
        <v>0</v>
      </c>
      <c r="H280" s="10" t="n">
        <v>0</v>
      </c>
      <c r="I280" s="10" t="n">
        <v>0</v>
      </c>
    </row>
    <row r="281" customFormat="false" ht="15" hidden="false" customHeight="false" outlineLevel="0" collapsed="false">
      <c r="A281" s="4" t="n">
        <v>16</v>
      </c>
      <c r="B281" s="4" t="n">
        <v>22</v>
      </c>
      <c r="C281" s="4" t="n">
        <v>23</v>
      </c>
      <c r="D281" s="4" t="n">
        <v>28</v>
      </c>
      <c r="E281" s="10" t="n">
        <v>0</v>
      </c>
      <c r="F281" s="10" t="n">
        <v>0</v>
      </c>
      <c r="G281" s="10" t="n">
        <v>0</v>
      </c>
      <c r="H281" s="10" t="n">
        <v>0</v>
      </c>
      <c r="I281" s="10" t="n">
        <v>0</v>
      </c>
    </row>
    <row r="282" customFormat="false" ht="15" hidden="false" customHeight="false" outlineLevel="0" collapsed="false">
      <c r="A282" s="4" t="n">
        <v>16</v>
      </c>
      <c r="B282" s="4" t="n">
        <v>22</v>
      </c>
      <c r="C282" s="4" t="n">
        <v>24</v>
      </c>
      <c r="D282" s="4" t="n">
        <v>25</v>
      </c>
      <c r="E282" s="10" t="n">
        <v>0</v>
      </c>
      <c r="F282" s="10" t="n">
        <v>0</v>
      </c>
      <c r="G282" s="10" t="n">
        <v>0</v>
      </c>
      <c r="H282" s="10" t="n">
        <v>0</v>
      </c>
      <c r="I282" s="10" t="n">
        <v>0</v>
      </c>
    </row>
    <row r="283" customFormat="false" ht="15" hidden="false" customHeight="false" outlineLevel="0" collapsed="false">
      <c r="A283" s="4" t="n">
        <v>16</v>
      </c>
      <c r="B283" s="4" t="n">
        <v>22</v>
      </c>
      <c r="C283" s="4" t="n">
        <v>24</v>
      </c>
      <c r="D283" s="4" t="n">
        <v>26</v>
      </c>
      <c r="E283" s="10" t="n">
        <v>0</v>
      </c>
      <c r="F283" s="10" t="n">
        <v>0</v>
      </c>
      <c r="G283" s="10" t="n">
        <v>0</v>
      </c>
      <c r="H283" s="10" t="n">
        <v>0</v>
      </c>
      <c r="I283" s="10" t="n">
        <v>0</v>
      </c>
    </row>
    <row r="284" customFormat="false" ht="15" hidden="false" customHeight="false" outlineLevel="0" collapsed="false">
      <c r="A284" s="4" t="n">
        <v>16</v>
      </c>
      <c r="B284" s="4" t="n">
        <v>22</v>
      </c>
      <c r="C284" s="4" t="n">
        <v>24</v>
      </c>
      <c r="D284" s="4" t="n">
        <v>28</v>
      </c>
      <c r="E284" s="10" t="n">
        <v>0</v>
      </c>
      <c r="F284" s="10" t="n">
        <v>0</v>
      </c>
      <c r="G284" s="10" t="n">
        <v>0</v>
      </c>
      <c r="H284" s="10" t="n">
        <v>0</v>
      </c>
      <c r="I284" s="10" t="n">
        <v>0</v>
      </c>
    </row>
    <row r="285" customFormat="false" ht="15" hidden="false" customHeight="false" outlineLevel="0" collapsed="false">
      <c r="A285" s="4" t="n">
        <v>16</v>
      </c>
      <c r="B285" s="4" t="n">
        <v>22</v>
      </c>
      <c r="C285" s="4" t="n">
        <v>25</v>
      </c>
      <c r="D285" s="4" t="n">
        <v>26</v>
      </c>
      <c r="E285" s="10" t="n">
        <v>0</v>
      </c>
      <c r="F285" s="10" t="n">
        <v>0</v>
      </c>
      <c r="G285" s="10" t="n">
        <v>0</v>
      </c>
      <c r="H285" s="10" t="n">
        <v>0</v>
      </c>
      <c r="I285" s="10" t="n">
        <v>0</v>
      </c>
    </row>
    <row r="286" customFormat="false" ht="15" hidden="false" customHeight="false" outlineLevel="0" collapsed="false">
      <c r="A286" s="4" t="n">
        <v>16</v>
      </c>
      <c r="B286" s="4" t="n">
        <v>22</v>
      </c>
      <c r="C286" s="4" t="n">
        <v>25</v>
      </c>
      <c r="D286" s="4" t="n">
        <v>28</v>
      </c>
      <c r="E286" s="10" t="n">
        <v>0</v>
      </c>
      <c r="F286" s="10" t="n">
        <v>0</v>
      </c>
      <c r="G286" s="10" t="n">
        <v>0</v>
      </c>
      <c r="H286" s="10" t="n">
        <v>0</v>
      </c>
      <c r="I286" s="10" t="n">
        <v>0</v>
      </c>
    </row>
    <row r="287" customFormat="false" ht="15" hidden="false" customHeight="false" outlineLevel="0" collapsed="false">
      <c r="A287" s="4" t="n">
        <v>16</v>
      </c>
      <c r="B287" s="4" t="n">
        <v>22</v>
      </c>
      <c r="C287" s="4" t="n">
        <v>26</v>
      </c>
      <c r="D287" s="4" t="n">
        <v>28</v>
      </c>
      <c r="E287" s="10" t="n">
        <v>0</v>
      </c>
      <c r="F287" s="10" t="n">
        <v>0</v>
      </c>
      <c r="G287" s="10" t="n">
        <v>0</v>
      </c>
      <c r="H287" s="10" t="n">
        <v>0</v>
      </c>
      <c r="I287" s="10" t="n">
        <v>0</v>
      </c>
    </row>
    <row r="288" customFormat="false" ht="15" hidden="false" customHeight="false" outlineLevel="0" collapsed="false">
      <c r="A288" s="4" t="n">
        <v>16</v>
      </c>
      <c r="B288" s="4" t="n">
        <v>23</v>
      </c>
      <c r="C288" s="4" t="n">
        <v>24</v>
      </c>
      <c r="D288" s="4" t="n">
        <v>25</v>
      </c>
      <c r="E288" s="10" t="n">
        <v>0</v>
      </c>
      <c r="F288" s="10" t="n">
        <v>0</v>
      </c>
      <c r="G288" s="10" t="n">
        <v>0</v>
      </c>
      <c r="H288" s="10" t="n">
        <v>0</v>
      </c>
      <c r="I288" s="10" t="n">
        <v>0</v>
      </c>
    </row>
    <row r="289" customFormat="false" ht="15" hidden="false" customHeight="false" outlineLevel="0" collapsed="false">
      <c r="A289" s="4" t="n">
        <v>16</v>
      </c>
      <c r="B289" s="4" t="n">
        <v>23</v>
      </c>
      <c r="C289" s="4" t="n">
        <v>24</v>
      </c>
      <c r="D289" s="4" t="n">
        <v>26</v>
      </c>
      <c r="E289" s="10" t="n">
        <v>0</v>
      </c>
      <c r="F289" s="10" t="n">
        <v>0</v>
      </c>
      <c r="G289" s="10" t="n">
        <v>0</v>
      </c>
      <c r="H289" s="10" t="n">
        <v>0</v>
      </c>
      <c r="I289" s="10" t="n">
        <v>0</v>
      </c>
    </row>
    <row r="290" customFormat="false" ht="15" hidden="false" customHeight="false" outlineLevel="0" collapsed="false">
      <c r="A290" s="4" t="n">
        <v>16</v>
      </c>
      <c r="B290" s="4" t="n">
        <v>23</v>
      </c>
      <c r="C290" s="4" t="n">
        <v>24</v>
      </c>
      <c r="D290" s="4" t="n">
        <v>28</v>
      </c>
      <c r="E290" s="10" t="n">
        <v>0</v>
      </c>
      <c r="F290" s="10" t="n">
        <v>0</v>
      </c>
      <c r="G290" s="10" t="n">
        <v>0</v>
      </c>
      <c r="H290" s="10" t="n">
        <v>0</v>
      </c>
      <c r="I290" s="10" t="n">
        <v>0</v>
      </c>
    </row>
    <row r="291" customFormat="false" ht="15" hidden="false" customHeight="false" outlineLevel="0" collapsed="false">
      <c r="A291" s="4" t="n">
        <v>16</v>
      </c>
      <c r="B291" s="4" t="n">
        <v>23</v>
      </c>
      <c r="C291" s="4" t="n">
        <v>25</v>
      </c>
      <c r="D291" s="4" t="n">
        <v>26</v>
      </c>
      <c r="E291" s="10" t="n">
        <v>0</v>
      </c>
      <c r="F291" s="10" t="n">
        <v>0</v>
      </c>
      <c r="G291" s="10" t="n">
        <v>0</v>
      </c>
      <c r="H291" s="10" t="n">
        <v>0</v>
      </c>
      <c r="I291" s="10" t="n">
        <v>0</v>
      </c>
    </row>
    <row r="292" customFormat="false" ht="15" hidden="false" customHeight="false" outlineLevel="0" collapsed="false">
      <c r="A292" s="4" t="n">
        <v>16</v>
      </c>
      <c r="B292" s="4" t="n">
        <v>23</v>
      </c>
      <c r="C292" s="4" t="n">
        <v>25</v>
      </c>
      <c r="D292" s="4" t="n">
        <v>28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</row>
    <row r="293" customFormat="false" ht="15" hidden="false" customHeight="false" outlineLevel="0" collapsed="false">
      <c r="A293" s="4" t="n">
        <v>16</v>
      </c>
      <c r="B293" s="4" t="n">
        <v>23</v>
      </c>
      <c r="C293" s="4" t="n">
        <v>26</v>
      </c>
      <c r="D293" s="4" t="n">
        <v>28</v>
      </c>
      <c r="E293" s="10" t="n">
        <v>0</v>
      </c>
      <c r="F293" s="10" t="n">
        <v>0</v>
      </c>
      <c r="G293" s="10" t="n">
        <v>0</v>
      </c>
      <c r="H293" s="10" t="n">
        <v>0</v>
      </c>
      <c r="I293" s="10" t="n">
        <v>0</v>
      </c>
    </row>
    <row r="294" customFormat="false" ht="15" hidden="false" customHeight="false" outlineLevel="0" collapsed="false">
      <c r="A294" s="4" t="n">
        <v>16</v>
      </c>
      <c r="B294" s="4" t="n">
        <v>24</v>
      </c>
      <c r="C294" s="4" t="n">
        <v>25</v>
      </c>
      <c r="D294" s="4" t="n">
        <v>26</v>
      </c>
      <c r="E294" s="10" t="n">
        <v>0</v>
      </c>
      <c r="F294" s="10" t="n">
        <v>0</v>
      </c>
      <c r="G294" s="10" t="n">
        <v>0</v>
      </c>
      <c r="H294" s="10" t="n">
        <v>0</v>
      </c>
      <c r="I294" s="10" t="n">
        <v>0</v>
      </c>
    </row>
    <row r="295" customFormat="false" ht="15" hidden="false" customHeight="false" outlineLevel="0" collapsed="false">
      <c r="A295" s="4" t="n">
        <v>16</v>
      </c>
      <c r="B295" s="4" t="n">
        <v>24</v>
      </c>
      <c r="C295" s="4" t="n">
        <v>25</v>
      </c>
      <c r="D295" s="4" t="n">
        <v>28</v>
      </c>
      <c r="E295" s="10" t="n">
        <v>0</v>
      </c>
      <c r="F295" s="10" t="n">
        <v>0</v>
      </c>
      <c r="G295" s="10" t="n">
        <v>0</v>
      </c>
      <c r="H295" s="10" t="n">
        <v>0</v>
      </c>
      <c r="I295" s="10" t="n">
        <v>0</v>
      </c>
    </row>
    <row r="296" customFormat="false" ht="15" hidden="false" customHeight="false" outlineLevel="0" collapsed="false">
      <c r="A296" s="4" t="n">
        <v>16</v>
      </c>
      <c r="B296" s="4" t="n">
        <v>24</v>
      </c>
      <c r="C296" s="4" t="n">
        <v>26</v>
      </c>
      <c r="D296" s="4" t="n">
        <v>28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0</v>
      </c>
    </row>
    <row r="297" customFormat="false" ht="15" hidden="false" customHeight="false" outlineLevel="0" collapsed="false">
      <c r="A297" s="4" t="n">
        <v>16</v>
      </c>
      <c r="B297" s="4" t="n">
        <v>25</v>
      </c>
      <c r="C297" s="4" t="n">
        <v>26</v>
      </c>
      <c r="D297" s="4" t="n">
        <v>28</v>
      </c>
      <c r="E297" s="10" t="n">
        <v>0</v>
      </c>
      <c r="F297" s="10" t="n">
        <v>0</v>
      </c>
      <c r="G297" s="10" t="n">
        <v>0</v>
      </c>
      <c r="H297" s="10" t="n">
        <v>0</v>
      </c>
      <c r="I297" s="10" t="n">
        <v>0</v>
      </c>
    </row>
    <row r="298" customFormat="false" ht="15" hidden="false" customHeight="false" outlineLevel="0" collapsed="false">
      <c r="A298" s="4" t="n">
        <v>19</v>
      </c>
      <c r="B298" s="4" t="n">
        <v>22</v>
      </c>
      <c r="C298" s="4" t="n">
        <v>23</v>
      </c>
      <c r="D298" s="4" t="n">
        <v>24</v>
      </c>
      <c r="E298" s="10" t="n">
        <v>0</v>
      </c>
      <c r="F298" s="10" t="n">
        <v>0</v>
      </c>
      <c r="G298" s="10" t="n">
        <v>0</v>
      </c>
      <c r="H298" s="10" t="n">
        <v>0</v>
      </c>
      <c r="I298" s="10" t="n">
        <v>0</v>
      </c>
    </row>
    <row r="299" customFormat="false" ht="15" hidden="false" customHeight="false" outlineLevel="0" collapsed="false">
      <c r="A299" s="4" t="n">
        <v>19</v>
      </c>
      <c r="B299" s="4" t="n">
        <v>22</v>
      </c>
      <c r="C299" s="4" t="n">
        <v>23</v>
      </c>
      <c r="D299" s="4" t="n">
        <v>25</v>
      </c>
      <c r="E299" s="10" t="n">
        <v>0</v>
      </c>
      <c r="F299" s="10" t="n">
        <v>0</v>
      </c>
      <c r="G299" s="10" t="n">
        <v>0</v>
      </c>
      <c r="H299" s="10" t="n">
        <v>0</v>
      </c>
      <c r="I299" s="10" t="n">
        <v>0</v>
      </c>
    </row>
    <row r="300" customFormat="false" ht="15" hidden="false" customHeight="false" outlineLevel="0" collapsed="false">
      <c r="A300" s="4" t="n">
        <v>19</v>
      </c>
      <c r="B300" s="4" t="n">
        <v>22</v>
      </c>
      <c r="C300" s="4" t="n">
        <v>23</v>
      </c>
      <c r="D300" s="4" t="n">
        <v>26</v>
      </c>
      <c r="E300" s="10" t="n">
        <v>0</v>
      </c>
      <c r="F300" s="10" t="n">
        <v>0</v>
      </c>
      <c r="G300" s="10" t="n">
        <v>0</v>
      </c>
      <c r="H300" s="10" t="n">
        <v>0</v>
      </c>
      <c r="I300" s="10" t="n">
        <v>0</v>
      </c>
    </row>
    <row r="301" customFormat="false" ht="15" hidden="false" customHeight="false" outlineLevel="0" collapsed="false">
      <c r="A301" s="4" t="n">
        <v>19</v>
      </c>
      <c r="B301" s="4" t="n">
        <v>22</v>
      </c>
      <c r="C301" s="4" t="n">
        <v>23</v>
      </c>
      <c r="D301" s="4" t="n">
        <v>28</v>
      </c>
      <c r="E301" s="10" t="n">
        <v>0</v>
      </c>
      <c r="F301" s="10" t="n">
        <v>0</v>
      </c>
      <c r="G301" s="10" t="n">
        <v>0</v>
      </c>
      <c r="H301" s="10" t="n">
        <v>0</v>
      </c>
      <c r="I301" s="10" t="n">
        <v>0</v>
      </c>
    </row>
    <row r="302" customFormat="false" ht="15" hidden="false" customHeight="false" outlineLevel="0" collapsed="false">
      <c r="A302" s="4" t="n">
        <v>19</v>
      </c>
      <c r="B302" s="4" t="n">
        <v>22</v>
      </c>
      <c r="C302" s="4" t="n">
        <v>24</v>
      </c>
      <c r="D302" s="4" t="n">
        <v>25</v>
      </c>
      <c r="E302" s="10" t="n">
        <v>0</v>
      </c>
      <c r="F302" s="10" t="n">
        <v>0</v>
      </c>
      <c r="G302" s="10" t="n">
        <v>0</v>
      </c>
      <c r="H302" s="10" t="n">
        <v>0</v>
      </c>
      <c r="I302" s="10" t="n">
        <v>0</v>
      </c>
    </row>
    <row r="303" customFormat="false" ht="15" hidden="false" customHeight="false" outlineLevel="0" collapsed="false">
      <c r="A303" s="4" t="n">
        <v>19</v>
      </c>
      <c r="B303" s="4" t="n">
        <v>22</v>
      </c>
      <c r="C303" s="4" t="n">
        <v>24</v>
      </c>
      <c r="D303" s="4" t="n">
        <v>26</v>
      </c>
      <c r="E303" s="10" t="n">
        <v>0</v>
      </c>
      <c r="F303" s="10" t="n">
        <v>0</v>
      </c>
      <c r="G303" s="10" t="n">
        <v>0</v>
      </c>
      <c r="H303" s="10" t="n">
        <v>0</v>
      </c>
      <c r="I303" s="10" t="n">
        <v>0</v>
      </c>
    </row>
    <row r="304" customFormat="false" ht="15" hidden="false" customHeight="false" outlineLevel="0" collapsed="false">
      <c r="A304" s="4" t="n">
        <v>19</v>
      </c>
      <c r="B304" s="4" t="n">
        <v>22</v>
      </c>
      <c r="C304" s="4" t="n">
        <v>24</v>
      </c>
      <c r="D304" s="4" t="n">
        <v>28</v>
      </c>
      <c r="E304" s="10" t="n">
        <v>0</v>
      </c>
      <c r="F304" s="10" t="n">
        <v>0</v>
      </c>
      <c r="G304" s="10" t="n">
        <v>0</v>
      </c>
      <c r="H304" s="10" t="n">
        <v>0</v>
      </c>
      <c r="I304" s="10" t="n">
        <v>0</v>
      </c>
    </row>
    <row r="305" customFormat="false" ht="15" hidden="false" customHeight="false" outlineLevel="0" collapsed="false">
      <c r="A305" s="4" t="n">
        <v>19</v>
      </c>
      <c r="B305" s="4" t="n">
        <v>22</v>
      </c>
      <c r="C305" s="4" t="n">
        <v>25</v>
      </c>
      <c r="D305" s="4" t="n">
        <v>26</v>
      </c>
      <c r="E305" s="10" t="n">
        <v>0</v>
      </c>
      <c r="F305" s="10" t="n">
        <v>0</v>
      </c>
      <c r="G305" s="10" t="n">
        <v>0</v>
      </c>
      <c r="H305" s="10" t="n">
        <v>0</v>
      </c>
      <c r="I305" s="10" t="n">
        <v>0</v>
      </c>
    </row>
    <row r="306" customFormat="false" ht="15" hidden="false" customHeight="false" outlineLevel="0" collapsed="false">
      <c r="A306" s="4" t="n">
        <v>19</v>
      </c>
      <c r="B306" s="4" t="n">
        <v>22</v>
      </c>
      <c r="C306" s="4" t="n">
        <v>25</v>
      </c>
      <c r="D306" s="4" t="n">
        <v>28</v>
      </c>
      <c r="E306" s="10" t="n">
        <v>0</v>
      </c>
      <c r="F306" s="10" t="n">
        <v>0</v>
      </c>
      <c r="G306" s="10" t="n">
        <v>0</v>
      </c>
      <c r="H306" s="10" t="n">
        <v>0</v>
      </c>
      <c r="I306" s="10" t="n">
        <v>0</v>
      </c>
    </row>
    <row r="307" customFormat="false" ht="15" hidden="false" customHeight="false" outlineLevel="0" collapsed="false">
      <c r="A307" s="4" t="n">
        <v>19</v>
      </c>
      <c r="B307" s="4" t="n">
        <v>22</v>
      </c>
      <c r="C307" s="4" t="n">
        <v>26</v>
      </c>
      <c r="D307" s="4" t="n">
        <v>28</v>
      </c>
      <c r="E307" s="10" t="n">
        <v>0</v>
      </c>
      <c r="F307" s="10" t="n">
        <v>0</v>
      </c>
      <c r="G307" s="10" t="n">
        <v>0</v>
      </c>
      <c r="H307" s="10" t="n">
        <v>0</v>
      </c>
      <c r="I307" s="10" t="n">
        <v>0</v>
      </c>
    </row>
    <row r="308" customFormat="false" ht="15" hidden="false" customHeight="false" outlineLevel="0" collapsed="false">
      <c r="A308" s="4" t="n">
        <v>19</v>
      </c>
      <c r="B308" s="4" t="n">
        <v>23</v>
      </c>
      <c r="C308" s="4" t="n">
        <v>24</v>
      </c>
      <c r="D308" s="4" t="n">
        <v>25</v>
      </c>
      <c r="E308" s="10" t="n">
        <v>0</v>
      </c>
      <c r="F308" s="10" t="n">
        <v>0</v>
      </c>
      <c r="G308" s="10" t="n">
        <v>0</v>
      </c>
      <c r="H308" s="10" t="n">
        <v>0</v>
      </c>
      <c r="I308" s="10" t="n">
        <v>0</v>
      </c>
    </row>
    <row r="309" customFormat="false" ht="15" hidden="false" customHeight="false" outlineLevel="0" collapsed="false">
      <c r="A309" s="4" t="n">
        <v>19</v>
      </c>
      <c r="B309" s="4" t="n">
        <v>23</v>
      </c>
      <c r="C309" s="4" t="n">
        <v>24</v>
      </c>
      <c r="D309" s="4" t="n">
        <v>26</v>
      </c>
      <c r="E309" s="10" t="n">
        <v>0</v>
      </c>
      <c r="F309" s="10" t="n">
        <v>0</v>
      </c>
      <c r="G309" s="10" t="n">
        <v>0</v>
      </c>
      <c r="H309" s="10" t="n">
        <v>0</v>
      </c>
      <c r="I309" s="10" t="n">
        <v>0</v>
      </c>
    </row>
    <row r="310" customFormat="false" ht="15" hidden="false" customHeight="false" outlineLevel="0" collapsed="false">
      <c r="A310" s="4" t="n">
        <v>19</v>
      </c>
      <c r="B310" s="4" t="n">
        <v>23</v>
      </c>
      <c r="C310" s="4" t="n">
        <v>24</v>
      </c>
      <c r="D310" s="4" t="n">
        <v>28</v>
      </c>
      <c r="E310" s="10" t="n">
        <v>0</v>
      </c>
      <c r="F310" s="10" t="n">
        <v>0</v>
      </c>
      <c r="G310" s="10" t="n">
        <v>0</v>
      </c>
      <c r="H310" s="10" t="n">
        <v>0</v>
      </c>
      <c r="I310" s="10" t="n">
        <v>0</v>
      </c>
    </row>
    <row r="311" customFormat="false" ht="15" hidden="false" customHeight="false" outlineLevel="0" collapsed="false">
      <c r="A311" s="4" t="n">
        <v>19</v>
      </c>
      <c r="B311" s="4" t="n">
        <v>23</v>
      </c>
      <c r="C311" s="4" t="n">
        <v>25</v>
      </c>
      <c r="D311" s="4" t="n">
        <v>26</v>
      </c>
      <c r="E311" s="10" t="n">
        <v>0</v>
      </c>
      <c r="F311" s="10" t="n">
        <v>0</v>
      </c>
      <c r="G311" s="10" t="n">
        <v>0</v>
      </c>
      <c r="H311" s="10" t="n">
        <v>0</v>
      </c>
      <c r="I311" s="10" t="n">
        <v>0</v>
      </c>
    </row>
    <row r="312" customFormat="false" ht="15" hidden="false" customHeight="false" outlineLevel="0" collapsed="false">
      <c r="A312" s="4" t="n">
        <v>19</v>
      </c>
      <c r="B312" s="4" t="n">
        <v>23</v>
      </c>
      <c r="C312" s="4" t="n">
        <v>25</v>
      </c>
      <c r="D312" s="4" t="n">
        <v>28</v>
      </c>
      <c r="E312" s="10" t="n">
        <v>0</v>
      </c>
      <c r="F312" s="10" t="n">
        <v>0</v>
      </c>
      <c r="G312" s="10" t="n">
        <v>0</v>
      </c>
      <c r="H312" s="10" t="n">
        <v>0</v>
      </c>
      <c r="I312" s="10" t="n">
        <v>0</v>
      </c>
    </row>
    <row r="313" customFormat="false" ht="15" hidden="false" customHeight="false" outlineLevel="0" collapsed="false">
      <c r="A313" s="4" t="n">
        <v>19</v>
      </c>
      <c r="B313" s="4" t="n">
        <v>23</v>
      </c>
      <c r="C313" s="4" t="n">
        <v>26</v>
      </c>
      <c r="D313" s="4" t="n">
        <v>28</v>
      </c>
      <c r="E313" s="10" t="n">
        <v>0</v>
      </c>
      <c r="F313" s="10" t="n">
        <v>0</v>
      </c>
      <c r="G313" s="10" t="n">
        <v>0</v>
      </c>
      <c r="H313" s="10" t="n">
        <v>0</v>
      </c>
      <c r="I313" s="10" t="n">
        <v>0</v>
      </c>
    </row>
    <row r="314" customFormat="false" ht="15" hidden="false" customHeight="false" outlineLevel="0" collapsed="false">
      <c r="A314" s="4" t="n">
        <v>19</v>
      </c>
      <c r="B314" s="4" t="n">
        <v>24</v>
      </c>
      <c r="C314" s="4" t="n">
        <v>25</v>
      </c>
      <c r="D314" s="4" t="n">
        <v>26</v>
      </c>
      <c r="E314" s="10" t="n">
        <v>0</v>
      </c>
      <c r="F314" s="10" t="n">
        <v>0</v>
      </c>
      <c r="G314" s="10" t="n">
        <v>0</v>
      </c>
      <c r="H314" s="10" t="n">
        <v>0</v>
      </c>
      <c r="I314" s="10" t="n">
        <v>0</v>
      </c>
    </row>
    <row r="315" customFormat="false" ht="15" hidden="false" customHeight="false" outlineLevel="0" collapsed="false">
      <c r="A315" s="4" t="n">
        <v>19</v>
      </c>
      <c r="B315" s="4" t="n">
        <v>24</v>
      </c>
      <c r="C315" s="4" t="n">
        <v>25</v>
      </c>
      <c r="D315" s="4" t="n">
        <v>28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</row>
    <row r="316" customFormat="false" ht="15" hidden="false" customHeight="false" outlineLevel="0" collapsed="false">
      <c r="A316" s="4" t="n">
        <v>19</v>
      </c>
      <c r="B316" s="4" t="n">
        <v>24</v>
      </c>
      <c r="C316" s="4" t="n">
        <v>26</v>
      </c>
      <c r="D316" s="4" t="n">
        <v>28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</row>
    <row r="317" customFormat="false" ht="15" hidden="false" customHeight="false" outlineLevel="0" collapsed="false">
      <c r="A317" s="4" t="n">
        <v>19</v>
      </c>
      <c r="B317" s="4" t="n">
        <v>25</v>
      </c>
      <c r="C317" s="4" t="n">
        <v>26</v>
      </c>
      <c r="D317" s="4" t="n">
        <v>28</v>
      </c>
      <c r="E317" s="10" t="n">
        <v>0</v>
      </c>
      <c r="F317" s="10" t="n">
        <v>0</v>
      </c>
      <c r="G317" s="10" t="n">
        <v>0</v>
      </c>
      <c r="H317" s="10" t="n">
        <v>0</v>
      </c>
      <c r="I317" s="10" t="n">
        <v>0</v>
      </c>
    </row>
    <row r="318" customFormat="false" ht="15" hidden="false" customHeight="false" outlineLevel="0" collapsed="false">
      <c r="A318" s="4" t="n">
        <v>22</v>
      </c>
      <c r="B318" s="4" t="n">
        <v>23</v>
      </c>
      <c r="C318" s="4" t="n">
        <v>24</v>
      </c>
      <c r="D318" s="4" t="n">
        <v>25</v>
      </c>
      <c r="E318" s="10" t="n">
        <v>0</v>
      </c>
      <c r="F318" s="10" t="n">
        <v>0</v>
      </c>
      <c r="G318" s="10" t="n">
        <v>0</v>
      </c>
      <c r="H318" s="10" t="n">
        <v>0</v>
      </c>
      <c r="I318" s="10" t="n">
        <v>0</v>
      </c>
    </row>
    <row r="319" customFormat="false" ht="15" hidden="false" customHeight="false" outlineLevel="0" collapsed="false">
      <c r="A319" s="4" t="n">
        <v>22</v>
      </c>
      <c r="B319" s="4" t="n">
        <v>23</v>
      </c>
      <c r="C319" s="4" t="n">
        <v>24</v>
      </c>
      <c r="D319" s="4" t="n">
        <v>26</v>
      </c>
      <c r="E319" s="10" t="n">
        <v>0</v>
      </c>
      <c r="F319" s="10" t="n">
        <v>0</v>
      </c>
      <c r="G319" s="10" t="n">
        <v>0</v>
      </c>
      <c r="H319" s="10" t="n">
        <v>0</v>
      </c>
      <c r="I319" s="10" t="n">
        <v>0</v>
      </c>
    </row>
    <row r="320" customFormat="false" ht="15" hidden="false" customHeight="false" outlineLevel="0" collapsed="false">
      <c r="A320" s="4" t="n">
        <v>22</v>
      </c>
      <c r="B320" s="4" t="n">
        <v>23</v>
      </c>
      <c r="C320" s="4" t="n">
        <v>24</v>
      </c>
      <c r="D320" s="4" t="n">
        <v>28</v>
      </c>
      <c r="E320" s="10" t="n">
        <v>0</v>
      </c>
      <c r="F320" s="10" t="n">
        <v>0</v>
      </c>
      <c r="G320" s="10" t="n">
        <v>0</v>
      </c>
      <c r="H320" s="10" t="n">
        <v>0</v>
      </c>
      <c r="I320" s="10" t="n">
        <v>0</v>
      </c>
    </row>
    <row r="321" customFormat="false" ht="15" hidden="false" customHeight="false" outlineLevel="0" collapsed="false">
      <c r="A321" s="4" t="n">
        <v>22</v>
      </c>
      <c r="B321" s="4" t="n">
        <v>23</v>
      </c>
      <c r="C321" s="4" t="n">
        <v>25</v>
      </c>
      <c r="D321" s="4" t="n">
        <v>26</v>
      </c>
      <c r="E321" s="10" t="n">
        <v>0</v>
      </c>
      <c r="F321" s="10" t="n">
        <v>0</v>
      </c>
      <c r="G321" s="10" t="n">
        <v>0</v>
      </c>
      <c r="H321" s="10" t="n">
        <v>0</v>
      </c>
      <c r="I321" s="10" t="n">
        <v>0</v>
      </c>
    </row>
    <row r="322" customFormat="false" ht="15" hidden="false" customHeight="false" outlineLevel="0" collapsed="false">
      <c r="A322" s="4" t="n">
        <v>22</v>
      </c>
      <c r="B322" s="4" t="n">
        <v>23</v>
      </c>
      <c r="C322" s="4" t="n">
        <v>25</v>
      </c>
      <c r="D322" s="4" t="n">
        <v>28</v>
      </c>
      <c r="E322" s="10" t="n">
        <v>0</v>
      </c>
      <c r="F322" s="10" t="n">
        <v>0</v>
      </c>
      <c r="G322" s="10" t="n">
        <v>0</v>
      </c>
      <c r="H322" s="10" t="n">
        <v>0</v>
      </c>
      <c r="I322" s="10" t="n">
        <v>0</v>
      </c>
    </row>
    <row r="323" customFormat="false" ht="15" hidden="false" customHeight="false" outlineLevel="0" collapsed="false">
      <c r="A323" s="4" t="n">
        <v>22</v>
      </c>
      <c r="B323" s="4" t="n">
        <v>23</v>
      </c>
      <c r="C323" s="4" t="n">
        <v>26</v>
      </c>
      <c r="D323" s="4" t="n">
        <v>28</v>
      </c>
      <c r="E323" s="10" t="n">
        <v>0</v>
      </c>
      <c r="F323" s="10" t="n">
        <v>0</v>
      </c>
      <c r="G323" s="10" t="n">
        <v>0</v>
      </c>
      <c r="H323" s="10" t="n">
        <v>0</v>
      </c>
      <c r="I323" s="10" t="n">
        <v>0</v>
      </c>
    </row>
    <row r="324" customFormat="false" ht="15" hidden="false" customHeight="false" outlineLevel="0" collapsed="false">
      <c r="A324" s="4" t="n">
        <v>22</v>
      </c>
      <c r="B324" s="4" t="n">
        <v>24</v>
      </c>
      <c r="C324" s="4" t="n">
        <v>25</v>
      </c>
      <c r="D324" s="4" t="n">
        <v>26</v>
      </c>
      <c r="E324" s="10" t="n">
        <v>0</v>
      </c>
      <c r="F324" s="10" t="n">
        <v>0</v>
      </c>
      <c r="G324" s="10" t="n">
        <v>0</v>
      </c>
      <c r="H324" s="10" t="n">
        <v>0</v>
      </c>
      <c r="I324" s="10" t="n">
        <v>0</v>
      </c>
    </row>
    <row r="325" customFormat="false" ht="15" hidden="false" customHeight="false" outlineLevel="0" collapsed="false">
      <c r="A325" s="4" t="n">
        <v>22</v>
      </c>
      <c r="B325" s="4" t="n">
        <v>24</v>
      </c>
      <c r="C325" s="4" t="n">
        <v>25</v>
      </c>
      <c r="D325" s="4" t="n">
        <v>28</v>
      </c>
      <c r="E325" s="10" t="n">
        <v>0</v>
      </c>
      <c r="F325" s="10" t="n">
        <v>0</v>
      </c>
      <c r="G325" s="10" t="n">
        <v>0</v>
      </c>
      <c r="H325" s="10" t="n">
        <v>0</v>
      </c>
      <c r="I325" s="10" t="n">
        <v>0</v>
      </c>
    </row>
    <row r="326" customFormat="false" ht="15" hidden="false" customHeight="false" outlineLevel="0" collapsed="false">
      <c r="A326" s="4" t="n">
        <v>22</v>
      </c>
      <c r="B326" s="4" t="n">
        <v>24</v>
      </c>
      <c r="C326" s="4" t="n">
        <v>26</v>
      </c>
      <c r="D326" s="4" t="n">
        <v>28</v>
      </c>
      <c r="E326" s="10" t="n">
        <v>0</v>
      </c>
      <c r="F326" s="10" t="n">
        <v>0</v>
      </c>
      <c r="G326" s="10" t="n">
        <v>0</v>
      </c>
      <c r="H326" s="10" t="n">
        <v>0</v>
      </c>
      <c r="I326" s="10" t="n">
        <v>0</v>
      </c>
    </row>
    <row r="327" customFormat="false" ht="15" hidden="false" customHeight="false" outlineLevel="0" collapsed="false">
      <c r="A327" s="4" t="n">
        <v>22</v>
      </c>
      <c r="B327" s="4" t="n">
        <v>25</v>
      </c>
      <c r="C327" s="4" t="n">
        <v>26</v>
      </c>
      <c r="D327" s="4" t="n">
        <v>28</v>
      </c>
      <c r="E327" s="10" t="n">
        <v>0</v>
      </c>
      <c r="F327" s="10" t="n">
        <v>0</v>
      </c>
      <c r="G327" s="10" t="n">
        <v>0</v>
      </c>
      <c r="H327" s="10" t="n">
        <v>0</v>
      </c>
      <c r="I327" s="10" t="n">
        <v>0</v>
      </c>
    </row>
    <row r="328" customFormat="false" ht="15" hidden="false" customHeight="false" outlineLevel="0" collapsed="false">
      <c r="A328" s="4" t="n">
        <v>23</v>
      </c>
      <c r="B328" s="4" t="n">
        <v>24</v>
      </c>
      <c r="C328" s="4" t="n">
        <v>25</v>
      </c>
      <c r="D328" s="4" t="n">
        <v>26</v>
      </c>
      <c r="E328" s="10" t="n">
        <v>0</v>
      </c>
      <c r="F328" s="10" t="n">
        <v>0</v>
      </c>
      <c r="G328" s="10" t="n">
        <v>0</v>
      </c>
      <c r="H328" s="10" t="n">
        <v>0</v>
      </c>
      <c r="I328" s="10" t="n">
        <v>0</v>
      </c>
    </row>
    <row r="329" customFormat="false" ht="15" hidden="false" customHeight="false" outlineLevel="0" collapsed="false">
      <c r="A329" s="4" t="n">
        <v>23</v>
      </c>
      <c r="B329" s="4" t="n">
        <v>24</v>
      </c>
      <c r="C329" s="4" t="n">
        <v>25</v>
      </c>
      <c r="D329" s="4" t="n">
        <v>28</v>
      </c>
      <c r="E329" s="10" t="n">
        <v>0</v>
      </c>
      <c r="F329" s="10" t="n">
        <v>0</v>
      </c>
      <c r="G329" s="10" t="n">
        <v>0</v>
      </c>
      <c r="H329" s="10" t="n">
        <v>0</v>
      </c>
      <c r="I329" s="10" t="n">
        <v>0</v>
      </c>
    </row>
    <row r="330" customFormat="false" ht="15" hidden="false" customHeight="false" outlineLevel="0" collapsed="false">
      <c r="A330" s="4" t="n">
        <v>23</v>
      </c>
      <c r="B330" s="4" t="n">
        <v>24</v>
      </c>
      <c r="C330" s="4" t="n">
        <v>26</v>
      </c>
      <c r="D330" s="4" t="n">
        <v>28</v>
      </c>
      <c r="E330" s="10" t="n">
        <v>0</v>
      </c>
      <c r="F330" s="10" t="n">
        <v>0</v>
      </c>
      <c r="G330" s="10" t="n">
        <v>0</v>
      </c>
      <c r="H330" s="10" t="n">
        <v>0</v>
      </c>
      <c r="I330" s="10" t="n">
        <v>0</v>
      </c>
    </row>
    <row r="331" customFormat="false" ht="15" hidden="false" customHeight="false" outlineLevel="0" collapsed="false">
      <c r="A331" s="4" t="n">
        <v>23</v>
      </c>
      <c r="B331" s="4" t="n">
        <v>25</v>
      </c>
      <c r="C331" s="4" t="n">
        <v>26</v>
      </c>
      <c r="D331" s="4" t="n">
        <v>28</v>
      </c>
      <c r="E331" s="10" t="n">
        <v>0</v>
      </c>
      <c r="F331" s="10" t="n">
        <v>0</v>
      </c>
      <c r="G331" s="10" t="n">
        <v>0</v>
      </c>
      <c r="H331" s="10" t="n">
        <v>0</v>
      </c>
      <c r="I331" s="10" t="n">
        <v>0</v>
      </c>
    </row>
    <row r="332" customFormat="false" ht="15" hidden="false" customHeight="false" outlineLevel="0" collapsed="false">
      <c r="A332" s="4" t="n">
        <v>24</v>
      </c>
      <c r="B332" s="4" t="n">
        <v>25</v>
      </c>
      <c r="C332" s="4" t="n">
        <v>26</v>
      </c>
      <c r="D332" s="4" t="n">
        <v>28</v>
      </c>
      <c r="E332" s="10" t="n">
        <v>0</v>
      </c>
      <c r="F332" s="10" t="n">
        <v>0</v>
      </c>
      <c r="G332" s="10" t="n">
        <v>0</v>
      </c>
      <c r="H332" s="10" t="n">
        <v>0</v>
      </c>
      <c r="I332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156</v>
      </c>
    </row>
    <row r="3" customFormat="false" ht="57.75" hidden="false" customHeight="true" outlineLevel="0" collapsed="false">
      <c r="A3" s="8" t="s">
        <v>157</v>
      </c>
      <c r="B3" s="8" t="s">
        <v>41</v>
      </c>
      <c r="C3" s="8" t="s">
        <v>158</v>
      </c>
      <c r="D3" s="8" t="s">
        <v>159</v>
      </c>
      <c r="E3" s="8" t="s">
        <v>160</v>
      </c>
    </row>
    <row r="4" customFormat="false" ht="15" hidden="false" customHeight="false" outlineLevel="0" collapsed="false">
      <c r="A4" s="4" t="n">
        <f aca="false">'Even matrix'!B3</f>
        <v>12</v>
      </c>
      <c r="B4" s="4" t="n">
        <f aca="false">'Even matrix'!B4</f>
        <v>2</v>
      </c>
      <c r="C4" s="5" t="n">
        <f aca="false">'Even matrix'!B7</f>
        <v>451</v>
      </c>
      <c r="D4" s="4" t="n">
        <f aca="false">COMBIN(17,2)</f>
        <v>136</v>
      </c>
      <c r="E4" s="4" t="s">
        <v>161</v>
      </c>
    </row>
    <row r="5" customFormat="false" ht="15" hidden="false" customHeight="false" outlineLevel="0" collapsed="false">
      <c r="A5" s="4" t="n">
        <f aca="false">'Even matrix'!C3</f>
        <v>13</v>
      </c>
      <c r="B5" s="4" t="n">
        <f aca="false">'Even matrix'!C4</f>
        <v>2</v>
      </c>
      <c r="C5" s="5" t="n">
        <f aca="false">'Even matrix'!C7</f>
        <v>537</v>
      </c>
      <c r="D5" s="4" t="n">
        <f aca="false">COMBIN(17,2)</f>
        <v>136</v>
      </c>
      <c r="E5" s="4" t="s">
        <v>161</v>
      </c>
    </row>
    <row r="6" customFormat="false" ht="15" hidden="false" customHeight="false" outlineLevel="0" collapsed="false">
      <c r="A6" s="4" t="n">
        <f aca="false">'Even matrix'!D3</f>
        <v>14</v>
      </c>
      <c r="B6" s="4" t="n">
        <f aca="false">'Even matrix'!D4</f>
        <v>2</v>
      </c>
      <c r="C6" s="5" t="n">
        <f aca="false">'Even matrix'!D7</f>
        <v>554</v>
      </c>
      <c r="D6" s="4" t="n">
        <f aca="false">COMBIN(17,2)</f>
        <v>136</v>
      </c>
      <c r="E6" s="4" t="s">
        <v>161</v>
      </c>
    </row>
    <row r="7" customFormat="false" ht="15" hidden="false" customHeight="false" outlineLevel="0" collapsed="false">
      <c r="A7" s="4" t="n">
        <f aca="false">'Even matrix'!E3</f>
        <v>16</v>
      </c>
      <c r="B7" s="4" t="n">
        <f aca="false">'Even matrix'!E4</f>
        <v>4</v>
      </c>
      <c r="C7" s="5" t="n">
        <f aca="false">'Even matrix'!E7</f>
        <v>577</v>
      </c>
      <c r="D7" s="4" t="n">
        <f aca="false">COMBIN(17,2)</f>
        <v>136</v>
      </c>
      <c r="E7" s="4" t="s">
        <v>161</v>
      </c>
    </row>
    <row r="8" customFormat="false" ht="15" hidden="false" customHeight="false" outlineLevel="0" collapsed="false">
      <c r="A8" s="4" t="n">
        <f aca="false">'Even matrix'!F3</f>
        <v>19</v>
      </c>
      <c r="B8" s="4" t="n">
        <f aca="false">'Even matrix'!F4</f>
        <v>6</v>
      </c>
      <c r="C8" s="5" t="n">
        <f aca="false">'Even matrix'!F7</f>
        <v>604</v>
      </c>
      <c r="D8" s="4" t="n">
        <f aca="false">COMBIN(17,2)</f>
        <v>136</v>
      </c>
      <c r="E8" s="4" t="s">
        <v>161</v>
      </c>
    </row>
    <row r="9" customFormat="false" ht="15" hidden="false" customHeight="false" outlineLevel="0" collapsed="false">
      <c r="A9" s="4" t="n">
        <f aca="false">'Even matrix'!G3</f>
        <v>22</v>
      </c>
      <c r="B9" s="4" t="n">
        <f aca="false">'Even matrix'!G4</f>
        <v>8</v>
      </c>
      <c r="C9" s="5" t="n">
        <f aca="false">'Even matrix'!G7</f>
        <v>698</v>
      </c>
      <c r="D9" s="4" t="n">
        <f aca="false">COMBIN(17,2)</f>
        <v>136</v>
      </c>
      <c r="E9" s="4" t="s">
        <v>161</v>
      </c>
    </row>
    <row r="10" customFormat="false" ht="15" hidden="false" customHeight="false" outlineLevel="0" collapsed="false">
      <c r="A10" s="4" t="n">
        <f aca="false">'Even matrix'!H3</f>
        <v>23</v>
      </c>
      <c r="B10" s="4" t="n">
        <f aca="false">'Even matrix'!H4</f>
        <v>8</v>
      </c>
      <c r="C10" s="5" t="n">
        <f aca="false">'Even matrix'!H7</f>
        <v>765</v>
      </c>
      <c r="D10" s="4" t="n">
        <f aca="false">COMBIN(17,2)</f>
        <v>136</v>
      </c>
      <c r="E10" s="4" t="s">
        <v>161</v>
      </c>
    </row>
    <row r="11" customFormat="false" ht="15" hidden="false" customHeight="false" outlineLevel="0" collapsed="false">
      <c r="A11" s="4" t="n">
        <f aca="false">'Even matrix'!I3</f>
        <v>24</v>
      </c>
      <c r="B11" s="4" t="n">
        <f aca="false">'Even matrix'!I4</f>
        <v>8</v>
      </c>
      <c r="C11" s="5" t="n">
        <f aca="false">'Even matrix'!I7</f>
        <v>824</v>
      </c>
      <c r="D11" s="4" t="n">
        <f aca="false">COMBIN(17,2)</f>
        <v>136</v>
      </c>
      <c r="E11" s="4" t="s">
        <v>161</v>
      </c>
    </row>
    <row r="12" customFormat="false" ht="15" hidden="false" customHeight="false" outlineLevel="0" collapsed="false">
      <c r="A12" s="4" t="n">
        <f aca="false">'Even matrix'!J3</f>
        <v>25</v>
      </c>
      <c r="B12" s="4" t="n">
        <f aca="false">'Even matrix'!J4</f>
        <v>8</v>
      </c>
      <c r="C12" s="5" t="n">
        <f aca="false">'Even matrix'!J7</f>
        <v>868</v>
      </c>
      <c r="D12" s="4" t="n">
        <f aca="false">COMBIN(17,2)</f>
        <v>136</v>
      </c>
      <c r="E12" s="4" t="s">
        <v>161</v>
      </c>
    </row>
    <row r="13" customFormat="false" ht="15" hidden="false" customHeight="false" outlineLevel="0" collapsed="false">
      <c r="A13" s="4" t="n">
        <f aca="false">'Even matrix'!K3</f>
        <v>26</v>
      </c>
      <c r="B13" s="4" t="n">
        <f aca="false">'Even matrix'!K4</f>
        <v>8</v>
      </c>
      <c r="C13" s="5" t="n">
        <f aca="false">'Even matrix'!K7</f>
        <v>980</v>
      </c>
      <c r="D13" s="4" t="n">
        <f aca="false">COMBIN(17,2)</f>
        <v>136</v>
      </c>
      <c r="E13" s="4" t="s">
        <v>161</v>
      </c>
    </row>
    <row r="14" customFormat="false" ht="15" hidden="false" customHeight="false" outlineLevel="0" collapsed="false">
      <c r="A14" s="4" t="n">
        <f aca="false">'Even matrix'!L3</f>
        <v>28</v>
      </c>
      <c r="B14" s="4" t="n">
        <f aca="false">'Even matrix'!L4</f>
        <v>10</v>
      </c>
      <c r="C14" s="5" t="n">
        <f aca="false">'Even matrix'!L7</f>
        <v>1702</v>
      </c>
      <c r="D14" s="4" t="n">
        <f aca="false">COMBIN(17,2)</f>
        <v>136</v>
      </c>
      <c r="E14" s="4" t="s">
        <v>161</v>
      </c>
    </row>
    <row r="15" customFormat="false" ht="15" hidden="false" customHeight="false" outlineLevel="0" collapsed="false">
      <c r="C15" s="1" t="s">
        <v>162</v>
      </c>
      <c r="D15" s="1" t="n">
        <f aca="false">SUM(D4:D14)</f>
        <v>1496</v>
      </c>
    </row>
    <row r="17" customFormat="false" ht="15" hidden="false" customHeight="true" outlineLevel="0" collapsed="false">
      <c r="A17" s="9" t="s">
        <v>163</v>
      </c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  <row r="20" customFormat="false" ht="15" hidden="false" customHeight="false" outlineLevel="0" collapsed="false">
      <c r="A20" s="9"/>
      <c r="B20" s="9"/>
      <c r="C20" s="9"/>
      <c r="D20" s="9"/>
      <c r="E20" s="9"/>
    </row>
    <row r="21" customFormat="false" ht="15" hidden="false" customHeight="false" outlineLevel="0" collapsed="false">
      <c r="A21" s="9"/>
      <c r="B21" s="9"/>
      <c r="C21" s="9"/>
      <c r="D21" s="9"/>
      <c r="E21" s="9"/>
    </row>
  </sheetData>
  <mergeCells count="1">
    <mergeCell ref="A17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2026-10-01T08:09:23Z</dcterms:created>
  <dc:creator>openpyxl</dc:creator>
  <dc:description/>
  <dc:language>en-US</dc:language>
  <cp:lastModifiedBy/>
  <dcterms:modified xsi:type="dcterms:W3CDTF">2026-10-01T08:09:23Z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