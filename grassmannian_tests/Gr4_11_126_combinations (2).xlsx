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s_reference" sheetId="2" state="visible" r:id="rId4"/>
    <sheet name="Combos_126" sheetId="3" state="visible" r:id="rId5"/>
    <sheet name="Z_Grey" sheetId="4" state="visible" r:id="rId6"/>
    <sheet name="Z_White" sheetId="5" state="visible" r:id="rId7"/>
    <sheet name="Z_S3" sheetId="6" state="visible" r:id="rId8"/>
    <sheet name="Z_Blue" sheetId="7" state="visible" r:id="rId9"/>
    <sheet name="Total" sheetId="8" state="visible" r:id="rId10"/>
    <sheet name="Minors" sheetId="9" state="visible" r:id="rId11"/>
    <sheet name="Quad_summary" sheetId="10" state="visible" r:id="rId12"/>
    <sheet name="Column_roles" sheetId="11" state="visible" r:id="rId13"/>
    <sheet name="Number_hunt" sheetId="12" state="visible" r:id="rId14"/>
    <sheet name="Layouts_126" sheetId="13" state="visible" r:id="rId15"/>
    <sheet name="Names_99" sheetId="14" state="visible" r:id="rId16"/>
    <sheet name="Number_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<sst xmlns="http://schemas.openxmlformats.org/spreadsheetml/2006/main" count="1457" uniqueCount="762">
  <si>
    <t xml:space="preserve">Gr(4,11) test: 9 grid columns as rows x 11 D-groups as columns</t>
  </si>
  <si>
    <t xml:space="preserve">Rows = grid columns 1..9 of the 9x29 grid (cells 37-297). Columns = D1..D11 (D1 lines 1-11, D2 12-14, D3 15, D4 16, D5 17-18, D6 19, D7 20-21, D8 22-26, D9 27, D10 28, D11 29).</t>
  </si>
  <si>
    <t xml:space="preserve">Entry (row c, column D) = sum of all values in grid column c inside D-group D. Zones: grey (each of 114 names counted at the cell numbered by its value), white (99 static names), S3 (216 at line 20 col 9), blue (99 dynamic values).</t>
  </si>
  <si>
    <t xml:space="preserve">Sheets: Zones_* (blue font = values computed from your lists in Python), Total (formulas = sum of the four zone sheets), Combos_126 (one row per choice of 4 rows; counts by formula from Minors), Minors (all 126 x 330 exact 4x4 minors, Python-computed integers, colour = sign), Quad_summary, Column_roles, Number_hunt.</t>
  </si>
  <si>
    <t xml:space="preserve">Gr&gt;=0 test: a 4-plane is in Gr&gt;=0(4,11) if all 330 minors have the same sign (zeros allowed). Flipping the sign of one row flips all minors, so 'all negative' counts too. Column order used: D1..D11.</t>
  </si>
  <si>
    <t xml:space="preserve">Source of values: your pasted lists (L47, N31, Y21, 15 rising pairs) and grid. Grey-cell rule (name sits in the cell numbered by its value) is my reading, confirmed by the column sums 1327,1512,414,1213,1132,1425,874,881,1017 = 9795.</t>
  </si>
  <si>
    <t xml:space="preserve">ID</t>
  </si>
  <si>
    <t xml:space="preserve">Test</t>
  </si>
  <si>
    <t xml:space="preserve">Setup</t>
  </si>
  <si>
    <t xml:space="preserve">Result (exact)</t>
  </si>
  <si>
    <t xml:space="preserve">Status</t>
  </si>
  <si>
    <t xml:space="preserve">T0</t>
  </si>
  <si>
    <t xml:space="preserve">Grid reconstruction check</t>
  </si>
  <si>
    <t xml:space="preserve">Grey = cell numbered by name value; whites placed from cell 296 backward; blue = even D-groups from cell 136</t>
  </si>
  <si>
    <t xml:space="preserve">62 distinct grey cells, all in odd D; 99 free odd cells = 99 whites; all pasted white labels and all 11 blue rows match; grey column sums 1327,1512,414,1213,1132,1425,874,881,1017 = 9795</t>
  </si>
  <si>
    <t xml:space="preserve">verified</t>
  </si>
  <si>
    <t xml:space="preserve">T1</t>
  </si>
  <si>
    <t xml:space="preserve">Per-name test</t>
  </si>
  <si>
    <t xml:space="preserve">Grey, white, D7 (216), blue cells in four different D-groups</t>
  </si>
  <si>
    <t xml:space="preserve">40 pass, 59 fail: 44 grey=white D, 14 white in D7, 1 (L14) both. D7: 15 white + 216 + 2 grey (211, 217). Same result if the dynamic grey cell is used for rising names</t>
  </si>
  <si>
    <t xml:space="preserve">verified; criterion is descriptive, not derived</t>
  </si>
  <si>
    <t xml:space="preserve">T2</t>
  </si>
  <si>
    <t xml:space="preserve">4 x 9 columns (rows S1..S4, grid columns as columns)</t>
  </si>
  <si>
    <t xml:space="preserve">126 minors; S3 has only column 9</t>
  </si>
  <si>
    <t xml:space="preserve">70 zero (forced, columns without 9), 56 nonzero (26 +, 30 -); 56 = 216 x 3x3 minors of grey/white/blue</t>
  </si>
  <si>
    <t xml:space="preserve">T3</t>
  </si>
  <si>
    <t xml:space="preserve">Flat 4 x 11 (rows S1..S4, columns D1..D11)</t>
  </si>
  <si>
    <t xml:space="preserve">Zero pattern only</t>
  </si>
  <si>
    <t xml:space="preserve">50 nonzero of 330 (28 +, 22 -); 9,120 of 11! column orders give one sign; random matrices with same zero pattern give same counts</t>
  </si>
  <si>
    <t xml:space="preserve">from earlier chat; 4x11 recomputed here</t>
  </si>
  <si>
    <t xml:space="preserve">T4</t>
  </si>
  <si>
    <t xml:space="preserve">9 x 11 full (rows = grid columns, columns = D)</t>
  </si>
  <si>
    <t xml:space="preserve">126 choices of 4 rows, 330 minors each, natural order</t>
  </si>
  <si>
    <t xml:space="preserve">125 choices with all 330 nonzero, 1 with 329 (rows 2-3-6-7, D2-D4-D6-D8 = 0); totals 20,720 +, 20,859 -, 1 zero; no choice in Gr&gt;=0; local search over column orders: best 49 minority-sign minors</t>
  </si>
  <si>
    <t xml:space="preserve">verified (search heuristic)</t>
  </si>
  <si>
    <t xml:space="preserve">T5</t>
  </si>
  <si>
    <t xml:space="preserve">62 layout (grey only, 114 names)</t>
  </si>
  <si>
    <t xml:space="preserve">Same 126 choices</t>
  </si>
  <si>
    <t xml:space="preserve">42 rank 4, 84 rank&lt;4; 39 in Gr&gt;=0 (21 +, 18 -), 3 mixed (1-2-4-9, 1-4-6-9, 1-4-8-9); grey entries only in D1, D3, D5, D7, D9, D11</t>
  </si>
  <si>
    <t xml:space="preserve">verified; boundary points (1, 2, 4 nonzero minors)</t>
  </si>
  <si>
    <t xml:space="preserve">T6</t>
  </si>
  <si>
    <t xml:space="preserve">62 + 216 (216 at row 9, D7)</t>
  </si>
  <si>
    <t xml:space="preserve">27 in Gr&gt;=0 (13 +, 14 -), 15 mixed, 84 rank&lt;4; 12 choices (containing 1 and 9) each gain one opposite-sign minor; 27 survivors = 12 without row 9 + 15 with row 9 untouched</t>
  </si>
  <si>
    <t xml:space="preserve">T7</t>
  </si>
  <si>
    <t xml:space="preserve">Adding the last zone</t>
  </si>
  <si>
    <t xml:space="preserve">62+216+blue, 62+216+white, full</t>
  </si>
  <si>
    <t xml:space="preserve">All 126 choices mixed, rank 4, in each case: 0 survivors. White adds only odd-D minors (max 15 per choice), blue up to 294</t>
  </si>
  <si>
    <t xml:space="preserve">T8</t>
  </si>
  <si>
    <t xml:space="preserve">Grey variants</t>
  </si>
  <si>
    <t xml:space="preserve">static 99 only / dynamic 99 only / both 114</t>
  </si>
  <si>
    <t xml:space="preserve">static: 15 rank-4 choices, all Gr&gt;=0, 216 changes nothing; dynamic: 31 Gr&gt;=0, 22 with 216; both: 39, 27 with 216</t>
  </si>
  <si>
    <t xml:space="preserve">T9</t>
  </si>
  <si>
    <t xml:space="preserve">Row 5</t>
  </si>
  <si>
    <t xml:space="preserve">Features</t>
  </si>
  <si>
    <t xml:space="preserve">62 layout: rows 3,5,7 hold D1 only; rows 2,6,8 hold D1 and D5 only; full layout: no special feature (avg minority 154.5 vs 154-157); centre cell 167 (line 15, D3, col 5) holds Y8 = 79; dynamic median = 79</t>
  </si>
  <si>
    <t xml:space="preserve">Open</t>
  </si>
  <si>
    <t xml:space="preserve">Frequency test, first-11-lines candidate, 2D curl attachment for B and C, static 99 against its own 11 D</t>
  </si>
  <si>
    <t xml:space="preserve">not done</t>
  </si>
  <si>
    <t xml:space="preserve">#</t>
  </si>
  <si>
    <t xml:space="preserve">Rows chosen</t>
  </si>
  <si>
    <t xml:space="preserve">Positive minors</t>
  </si>
  <si>
    <t xml:space="preserve">Negative minors</t>
  </si>
  <si>
    <t xml:space="preserve">Zero minors</t>
  </si>
  <si>
    <t xml:space="preserve">Nonzero</t>
  </si>
  <si>
    <t xml:space="preserve">Minority sign count</t>
  </si>
  <si>
    <t xml:space="preserve">In Gr&gt;=0? (all same sign)</t>
  </si>
  <si>
    <t xml:space="preserve">Min |minor| nonzero</t>
  </si>
  <si>
    <t xml:space="preserve">Max |minor|</t>
  </si>
  <si>
    <t xml:space="preserve">1-2-3-4</t>
  </si>
  <si>
    <t xml:space="preserve">1-2-3-5</t>
  </si>
  <si>
    <t xml:space="preserve">1-2-3-6</t>
  </si>
  <si>
    <t xml:space="preserve">1-2-3-7</t>
  </si>
  <si>
    <t xml:space="preserve">1-2-3-8</t>
  </si>
  <si>
    <t xml:space="preserve">1-2-3-9</t>
  </si>
  <si>
    <t xml:space="preserve">1-2-4-5</t>
  </si>
  <si>
    <t xml:space="preserve">1-2-4-6</t>
  </si>
  <si>
    <t xml:space="preserve">1-2-4-7</t>
  </si>
  <si>
    <t xml:space="preserve">1-2-4-8</t>
  </si>
  <si>
    <t xml:space="preserve">1-2-4-9</t>
  </si>
  <si>
    <t xml:space="preserve">1-2-5-6</t>
  </si>
  <si>
    <t xml:space="preserve">1-2-5-7</t>
  </si>
  <si>
    <t xml:space="preserve">1-2-5-8</t>
  </si>
  <si>
    <t xml:space="preserve">1-2-5-9</t>
  </si>
  <si>
    <t xml:space="preserve">1-2-6-7</t>
  </si>
  <si>
    <t xml:space="preserve">1-2-6-8</t>
  </si>
  <si>
    <t xml:space="preserve">1-2-6-9</t>
  </si>
  <si>
    <t xml:space="preserve">1-2-7-8</t>
  </si>
  <si>
    <t xml:space="preserve">1-2-7-9</t>
  </si>
  <si>
    <t xml:space="preserve">1-2-8-9</t>
  </si>
  <si>
    <t xml:space="preserve">1-3-4-5</t>
  </si>
  <si>
    <t xml:space="preserve">1-3-4-6</t>
  </si>
  <si>
    <t xml:space="preserve">1-3-4-7</t>
  </si>
  <si>
    <t xml:space="preserve">1-3-4-8</t>
  </si>
  <si>
    <t xml:space="preserve">1-3-4-9</t>
  </si>
  <si>
    <t xml:space="preserve">1-3-5-6</t>
  </si>
  <si>
    <t xml:space="preserve">1-3-5-7</t>
  </si>
  <si>
    <t xml:space="preserve">1-3-5-8</t>
  </si>
  <si>
    <t xml:space="preserve">1-3-5-9</t>
  </si>
  <si>
    <t xml:space="preserve">1-3-6-7</t>
  </si>
  <si>
    <t xml:space="preserve">1-3-6-8</t>
  </si>
  <si>
    <t xml:space="preserve">1-3-6-9</t>
  </si>
  <si>
    <t xml:space="preserve">1-3-7-8</t>
  </si>
  <si>
    <t xml:space="preserve">1-3-7-9</t>
  </si>
  <si>
    <t xml:space="preserve">1-3-8-9</t>
  </si>
  <si>
    <t xml:space="preserve">1-4-5-6</t>
  </si>
  <si>
    <t xml:space="preserve">1-4-5-7</t>
  </si>
  <si>
    <t xml:space="preserve">1-4-5-8</t>
  </si>
  <si>
    <t xml:space="preserve">1-4-5-9</t>
  </si>
  <si>
    <t xml:space="preserve">1-4-6-7</t>
  </si>
  <si>
    <t xml:space="preserve">1-4-6-8</t>
  </si>
  <si>
    <t xml:space="preserve">1-4-6-9</t>
  </si>
  <si>
    <t xml:space="preserve">1-4-7-8</t>
  </si>
  <si>
    <t xml:space="preserve">1-4-7-9</t>
  </si>
  <si>
    <t xml:space="preserve">1-4-8-9</t>
  </si>
  <si>
    <t xml:space="preserve">1-5-6-7</t>
  </si>
  <si>
    <t xml:space="preserve">1-5-6-8</t>
  </si>
  <si>
    <t xml:space="preserve">1-5-6-9</t>
  </si>
  <si>
    <t xml:space="preserve">1-5-7-8</t>
  </si>
  <si>
    <t xml:space="preserve">1-5-7-9</t>
  </si>
  <si>
    <t xml:space="preserve">1-5-8-9</t>
  </si>
  <si>
    <t xml:space="preserve">1-6-7-8</t>
  </si>
  <si>
    <t xml:space="preserve">1-6-7-9</t>
  </si>
  <si>
    <t xml:space="preserve">1-6-8-9</t>
  </si>
  <si>
    <t xml:space="preserve">1-7-8-9</t>
  </si>
  <si>
    <t xml:space="preserve">2-3-4-5</t>
  </si>
  <si>
    <t xml:space="preserve">2-3-4-6</t>
  </si>
  <si>
    <t xml:space="preserve">2-3-4-7</t>
  </si>
  <si>
    <t xml:space="preserve">2-3-4-8</t>
  </si>
  <si>
    <t xml:space="preserve">2-3-4-9</t>
  </si>
  <si>
    <t xml:space="preserve">2-3-5-6</t>
  </si>
  <si>
    <t xml:space="preserve">2-3-5-7</t>
  </si>
  <si>
    <t xml:space="preserve">2-3-5-8</t>
  </si>
  <si>
    <t xml:space="preserve">2-3-5-9</t>
  </si>
  <si>
    <t xml:space="preserve">2-3-6-7</t>
  </si>
  <si>
    <t xml:space="preserve">2-3-6-8</t>
  </si>
  <si>
    <t xml:space="preserve">2-3-6-9</t>
  </si>
  <si>
    <t xml:space="preserve">2-3-7-8</t>
  </si>
  <si>
    <t xml:space="preserve">2-3-7-9</t>
  </si>
  <si>
    <t xml:space="preserve">2-3-8-9</t>
  </si>
  <si>
    <t xml:space="preserve">2-4-5-6</t>
  </si>
  <si>
    <t xml:space="preserve">2-4-5-7</t>
  </si>
  <si>
    <t xml:space="preserve">2-4-5-8</t>
  </si>
  <si>
    <t xml:space="preserve">2-4-5-9</t>
  </si>
  <si>
    <t xml:space="preserve">2-4-6-7</t>
  </si>
  <si>
    <t xml:space="preserve">2-4-6-8</t>
  </si>
  <si>
    <t xml:space="preserve">2-4-6-9</t>
  </si>
  <si>
    <t xml:space="preserve">2-4-7-8</t>
  </si>
  <si>
    <t xml:space="preserve">2-4-7-9</t>
  </si>
  <si>
    <t xml:space="preserve">2-4-8-9</t>
  </si>
  <si>
    <t xml:space="preserve">2-5-6-7</t>
  </si>
  <si>
    <t xml:space="preserve">2-5-6-8</t>
  </si>
  <si>
    <t xml:space="preserve">2-5-6-9</t>
  </si>
  <si>
    <t xml:space="preserve">2-5-7-8</t>
  </si>
  <si>
    <t xml:space="preserve">2-5-7-9</t>
  </si>
  <si>
    <t xml:space="preserve">2-5-8-9</t>
  </si>
  <si>
    <t xml:space="preserve">2-6-7-8</t>
  </si>
  <si>
    <t xml:space="preserve">2-6-7-9</t>
  </si>
  <si>
    <t xml:space="preserve">2-6-8-9</t>
  </si>
  <si>
    <t xml:space="preserve">2-7-8-9</t>
  </si>
  <si>
    <t xml:space="preserve">3-4-5-6</t>
  </si>
  <si>
    <t xml:space="preserve">3-4-5-7</t>
  </si>
  <si>
    <t xml:space="preserve">3-4-5-8</t>
  </si>
  <si>
    <t xml:space="preserve">3-4-5-9</t>
  </si>
  <si>
    <t xml:space="preserve">3-4-6-7</t>
  </si>
  <si>
    <t xml:space="preserve">3-4-6-8</t>
  </si>
  <si>
    <t xml:space="preserve">3-4-6-9</t>
  </si>
  <si>
    <t xml:space="preserve">3-4-7-8</t>
  </si>
  <si>
    <t xml:space="preserve">3-4-7-9</t>
  </si>
  <si>
    <t xml:space="preserve">3-4-8-9</t>
  </si>
  <si>
    <t xml:space="preserve">3-5-6-7</t>
  </si>
  <si>
    <t xml:space="preserve">3-5-6-8</t>
  </si>
  <si>
    <t xml:space="preserve">3-5-6-9</t>
  </si>
  <si>
    <t xml:space="preserve">3-5-7-8</t>
  </si>
  <si>
    <t xml:space="preserve">3-5-7-9</t>
  </si>
  <si>
    <t xml:space="preserve">3-5-8-9</t>
  </si>
  <si>
    <t xml:space="preserve">3-6-7-8</t>
  </si>
  <si>
    <t xml:space="preserve">3-6-7-9</t>
  </si>
  <si>
    <t xml:space="preserve">3-6-8-9</t>
  </si>
  <si>
    <t xml:space="preserve">3-7-8-9</t>
  </si>
  <si>
    <t xml:space="preserve">4-5-6-7</t>
  </si>
  <si>
    <t xml:space="preserve">4-5-6-8</t>
  </si>
  <si>
    <t xml:space="preserve">4-5-6-9</t>
  </si>
  <si>
    <t xml:space="preserve">4-5-7-8</t>
  </si>
  <si>
    <t xml:space="preserve">4-5-7-9</t>
  </si>
  <si>
    <t xml:space="preserve">4-5-8-9</t>
  </si>
  <si>
    <t xml:space="preserve">4-6-7-8</t>
  </si>
  <si>
    <t xml:space="preserve">4-6-7-9</t>
  </si>
  <si>
    <t xml:space="preserve">4-6-8-9</t>
  </si>
  <si>
    <t xml:space="preserve">4-7-8-9</t>
  </si>
  <si>
    <t xml:space="preserve">5-6-7-8</t>
  </si>
  <si>
    <t xml:space="preserve">5-6-7-9</t>
  </si>
  <si>
    <t xml:space="preserve">5-6-8-9</t>
  </si>
  <si>
    <t xml:space="preserve">5-7-8-9</t>
  </si>
  <si>
    <t xml:space="preserve">6-7-8-9</t>
  </si>
  <si>
    <t xml:space="preserve">Totals</t>
  </si>
  <si>
    <t xml:space="preserve">Choices in Gr&gt;=0</t>
  </si>
  <si>
    <t xml:space="preserve">Grey (62 cells, 114 names)</t>
  </si>
  <si>
    <t xml:space="preserve">Row \ D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</si>
  <si>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</si>
  <si>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</si>
  <si>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</si>
  <si>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</si>
  <si>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</si>
  <si>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</si>
  <si>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</si>
  <si>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</si>
  <si>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</si>
  <si>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</si>
  <si>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</si>
  <si>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Row total</t>
  </si>
  <si>
    <t xml:space="preserve">Row 1 (grid col 1)</t>
  </si>
  <si>
    <t xml:space="preserve">Row 2 (grid col 2)</t>
  </si>
  <si>
    <t xml:space="preserve">Row 3 (grid col 3)</t>
  </si>
  <si>
    <t xml:space="preserve">Row 4 (grid col 4)</t>
  </si>
  <si>
    <t xml:space="preserve">Row 5 (grid col 5)</t>
  </si>
  <si>
    <t xml:space="preserve">Row 6 (grid col 6)</t>
  </si>
  <si>
    <t xml:space="preserve">Row 7 (grid col 7)</t>
  </si>
  <si>
    <t xml:space="preserve">Row 8 (grid col 8)</t>
  </si>
  <si>
    <t xml:space="preserve">Row 9 (grid col 9)</t>
  </si>
  <si>
    <t xml:space="preserve">Column total</t>
  </si>
  <si>
    <t xml:space="preserve">White (99 static)</t>
  </si>
  <si>
    <t xml:space="preserve">S3 (216 point)</t>
  </si>
  <si>
    <t xml:space="preserve">Blue (99 dynamic)</t>
  </si>
  <si>
    <t xml:space="preserve">Total 9x11 matrix = Grey + White + S3 + Blue (formulas)</t>
  </si>
  <si>
    <t xml:space="preserve">Choice of 4 rows \ columns D</t>
  </si>
  <si>
    <t xml:space="preserve">D1-D2-D3-D4</t>
  </si>
  <si>
    <t xml:space="preserve">D1-D2-D3-D5</t>
  </si>
  <si>
    <t xml:space="preserve">D1-D2-D3-D6</t>
  </si>
  <si>
    <t xml:space="preserve">D1-D2-D3-D7</t>
  </si>
  <si>
    <t xml:space="preserve">D1-D2-D3-D8</t>
  </si>
  <si>
    <t xml:space="preserve">D1-D2-D3-D9</t>
  </si>
  <si>
    <t xml:space="preserve">D1-D2-D3-D10</t>
  </si>
  <si>
    <t xml:space="preserve">D1-D2-D3-D11</t>
  </si>
  <si>
    <t xml:space="preserve">D1-D2-D4-D5</t>
  </si>
  <si>
    <t xml:space="preserve">D1-D2-D4-D6</t>
  </si>
  <si>
    <t xml:space="preserve">D1-D2-D4-D7</t>
  </si>
  <si>
    <t xml:space="preserve">D1-D2-D4-D8</t>
  </si>
  <si>
    <t xml:space="preserve">D1-D2-D4-D9</t>
  </si>
  <si>
    <t xml:space="preserve">D1-D2-D4-D10</t>
  </si>
  <si>
    <t xml:space="preserve">D1-D2-D4-D11</t>
  </si>
  <si>
    <t xml:space="preserve">D1-D2-D5-D6</t>
  </si>
  <si>
    <t xml:space="preserve">D1-D2-D5-D7</t>
  </si>
  <si>
    <t xml:space="preserve">D1-D2-D5-D8</t>
  </si>
  <si>
    <t xml:space="preserve">D1-D2-D5-D9</t>
  </si>
  <si>
    <t xml:space="preserve">D1-D2-D5-D10</t>
  </si>
  <si>
    <t xml:space="preserve">D1-D2-D5-D11</t>
  </si>
  <si>
    <t xml:space="preserve">D1-D2-D6-D7</t>
  </si>
  <si>
    <t xml:space="preserve">D1-D2-D6-D8</t>
  </si>
  <si>
    <t xml:space="preserve">D1-D2-D6-D9</t>
  </si>
  <si>
    <t xml:space="preserve">D1-D2-D6-D10</t>
  </si>
  <si>
    <t xml:space="preserve">D1-D2-D6-D11</t>
  </si>
  <si>
    <t xml:space="preserve">D1-D2-D7-D8</t>
  </si>
  <si>
    <t xml:space="preserve">D1-D2-D7-D9</t>
  </si>
  <si>
    <t xml:space="preserve">D1-D2-D7-D10</t>
  </si>
  <si>
    <t xml:space="preserve">D1-D2-D7-D11</t>
  </si>
  <si>
    <t xml:space="preserve">D1-D2-D8-D9</t>
  </si>
  <si>
    <t xml:space="preserve">D1-D2-D8-D10</t>
  </si>
  <si>
    <t xml:space="preserve">D1-D2-D8-D11</t>
  </si>
  <si>
    <t xml:space="preserve">D1-D2-D9-D10</t>
  </si>
  <si>
    <t xml:space="preserve">D1-D2-D9-D11</t>
  </si>
  <si>
    <t xml:space="preserve">D1-D2-D10-D11</t>
  </si>
  <si>
    <t xml:space="preserve">D1-D3-D4-D5</t>
  </si>
  <si>
    <t xml:space="preserve">D1-D3-D4-D6</t>
  </si>
  <si>
    <t xml:space="preserve">D1-D3-D4-D7</t>
  </si>
  <si>
    <t xml:space="preserve">D1-D3-D4-D8</t>
  </si>
  <si>
    <t xml:space="preserve">D1-D3-D4-D9</t>
  </si>
  <si>
    <t xml:space="preserve">D1-D3-D4-D10</t>
  </si>
  <si>
    <t xml:space="preserve">D1-D3-D4-D11</t>
  </si>
  <si>
    <t xml:space="preserve">D1-D3-D5-D6</t>
  </si>
  <si>
    <t xml:space="preserve">D1-D3-D5-D7</t>
  </si>
  <si>
    <t xml:space="preserve">D1-D3-D5-D8</t>
  </si>
  <si>
    <t xml:space="preserve">D1-D3-D5-D9</t>
  </si>
  <si>
    <t xml:space="preserve">D1-D3-D5-D10</t>
  </si>
  <si>
    <t xml:space="preserve">D1-D3-D5-D11</t>
  </si>
  <si>
    <t xml:space="preserve">D1-D3-D6-D7</t>
  </si>
  <si>
    <t xml:space="preserve">D1-D3-D6-D8</t>
  </si>
  <si>
    <t xml:space="preserve">D1-D3-D6-D9</t>
  </si>
  <si>
    <t xml:space="preserve">D1-D3-D6-D10</t>
  </si>
  <si>
    <t xml:space="preserve">D1-D3-D6-D11</t>
  </si>
  <si>
    <t xml:space="preserve">D1-D3-D7-D8</t>
  </si>
  <si>
    <t xml:space="preserve">D1-D3-D7-D9</t>
  </si>
  <si>
    <t xml:space="preserve">D1-D3-D7-D10</t>
  </si>
  <si>
    <t xml:space="preserve">D1-D3-D7-D11</t>
  </si>
  <si>
    <t xml:space="preserve">D1-D3-D8-D9</t>
  </si>
  <si>
    <t xml:space="preserve">D1-D3-D8-D10</t>
  </si>
  <si>
    <t xml:space="preserve">D1-D3-D8-D11</t>
  </si>
  <si>
    <t xml:space="preserve">D1-D3-D9-D10</t>
  </si>
  <si>
    <t xml:space="preserve">D1-D3-D9-D11</t>
  </si>
  <si>
    <t xml:space="preserve">D1-D3-D10-D11</t>
  </si>
  <si>
    <t xml:space="preserve">D1-D4-D5-D6</t>
  </si>
  <si>
    <t xml:space="preserve">D1-D4-D5-D7</t>
  </si>
  <si>
    <t xml:space="preserve">D1-D4-D5-D8</t>
  </si>
  <si>
    <t xml:space="preserve">D1-D4-D5-D9</t>
  </si>
  <si>
    <t xml:space="preserve">D1-D4-D5-D10</t>
  </si>
  <si>
    <t xml:space="preserve">D1-D4-D5-D11</t>
  </si>
  <si>
    <t xml:space="preserve">D1-D4-D6-D7</t>
  </si>
  <si>
    <t xml:space="preserve">D1-D4-D6-D8</t>
  </si>
  <si>
    <t xml:space="preserve">D1-D4-D6-D9</t>
  </si>
  <si>
    <t xml:space="preserve">D1-D4-D6-D10</t>
  </si>
  <si>
    <t xml:space="preserve">D1-D4-D6-D11</t>
  </si>
  <si>
    <t xml:space="preserve">D1-D4-D7-D8</t>
  </si>
  <si>
    <t xml:space="preserve">D1-D4-D7-D9</t>
  </si>
  <si>
    <t xml:space="preserve">D1-D4-D7-D10</t>
  </si>
  <si>
    <t xml:space="preserve">D1-D4-D7-D11</t>
  </si>
  <si>
    <t xml:space="preserve">D1-D4-D8-D9</t>
  </si>
  <si>
    <t xml:space="preserve">D1-D4-D8-D10</t>
  </si>
  <si>
    <t xml:space="preserve">D1-D4-D8-D11</t>
  </si>
  <si>
    <t xml:space="preserve">D1-D4-D9-D10</t>
  </si>
  <si>
    <t xml:space="preserve">D1-D4-D9-D11</t>
  </si>
  <si>
    <t xml:space="preserve">D1-D4-D10-D11</t>
  </si>
  <si>
    <t xml:space="preserve">D1-D5-D6-D7</t>
  </si>
  <si>
    <t xml:space="preserve">D1-D5-D6-D8</t>
  </si>
  <si>
    <t xml:space="preserve">D1-D5-D6-D9</t>
  </si>
  <si>
    <t xml:space="preserve">D1-D5-D6-D10</t>
  </si>
  <si>
    <t xml:space="preserve">D1-D5-D6-D11</t>
  </si>
  <si>
    <t xml:space="preserve">D1-D5-D7-D8</t>
  </si>
  <si>
    <t xml:space="preserve">D1-D5-D7-D9</t>
  </si>
  <si>
    <t xml:space="preserve">D1-D5-D7-D10</t>
  </si>
  <si>
    <t xml:space="preserve">D1-D5-D7-D11</t>
  </si>
  <si>
    <t xml:space="preserve">D1-D5-D8-D9</t>
  </si>
  <si>
    <t xml:space="preserve">D1-D5-D8-D10</t>
  </si>
  <si>
    <t xml:space="preserve">D1-D5-D8-D11</t>
  </si>
  <si>
    <t xml:space="preserve">D1-D5-D9-D10</t>
  </si>
  <si>
    <t xml:space="preserve">D1-D5-D9-D11</t>
  </si>
  <si>
    <t xml:space="preserve">D1-D5-D10-D11</t>
  </si>
  <si>
    <t xml:space="preserve">D1-D6-D7-D8</t>
  </si>
  <si>
    <t xml:space="preserve">D1-D6-D7-D9</t>
  </si>
  <si>
    <t xml:space="preserve">D1-D6-D7-D10</t>
  </si>
  <si>
    <t xml:space="preserve">D1-D6-D7-D11</t>
  </si>
  <si>
    <t xml:space="preserve">D1-D6-D8-D9</t>
  </si>
  <si>
    <t xml:space="preserve">D1-D6-D8-D10</t>
  </si>
  <si>
    <t xml:space="preserve">D1-D6-D8-D11</t>
  </si>
  <si>
    <t xml:space="preserve">D1-D6-D9-D10</t>
  </si>
  <si>
    <t xml:space="preserve">D1-D6-D9-D11</t>
  </si>
  <si>
    <t xml:space="preserve">D1-D6-D10-D11</t>
  </si>
  <si>
    <t xml:space="preserve">D1-D7-D8-D9</t>
  </si>
  <si>
    <t xml:space="preserve">D1-D7-D8-D10</t>
  </si>
  <si>
    <t xml:space="preserve">D1-D7-D8-D11</t>
  </si>
  <si>
    <t xml:space="preserve">D1-D7-D9-D10</t>
  </si>
  <si>
    <t xml:space="preserve">D1-D7-D9-D11</t>
  </si>
  <si>
    <t xml:space="preserve">D1-D7-D10-D11</t>
  </si>
  <si>
    <t xml:space="preserve">D1-D8-D9-D10</t>
  </si>
  <si>
    <t xml:space="preserve">D1-D8-D9-D11</t>
  </si>
  <si>
    <t xml:space="preserve">D1-D8-D10-D11</t>
  </si>
  <si>
    <t xml:space="preserve">D1-D9-D10-D11</t>
  </si>
  <si>
    <t xml:space="preserve">D2-D3-D4-D5</t>
  </si>
  <si>
    <t xml:space="preserve">D2-D3-D4-D6</t>
  </si>
  <si>
    <t xml:space="preserve">D2-D3-D4-D7</t>
  </si>
  <si>
    <t xml:space="preserve">D2-D3-D4-D8</t>
  </si>
  <si>
    <t xml:space="preserve">D2-D3-D4-D9</t>
  </si>
  <si>
    <t xml:space="preserve">D2-D3-D4-D10</t>
  </si>
  <si>
    <t xml:space="preserve">D2-D3-D4-D11</t>
  </si>
  <si>
    <t xml:space="preserve">D2-D3-D5-D6</t>
  </si>
  <si>
    <t xml:space="preserve">D2-D3-D5-D7</t>
  </si>
  <si>
    <t xml:space="preserve">D2-D3-D5-D8</t>
  </si>
  <si>
    <t xml:space="preserve">D2-D3-D5-D9</t>
  </si>
  <si>
    <t xml:space="preserve">D2-D3-D5-D10</t>
  </si>
  <si>
    <t xml:space="preserve">D2-D3-D5-D11</t>
  </si>
  <si>
    <t xml:space="preserve">D2-D3-D6-D7</t>
  </si>
  <si>
    <t xml:space="preserve">D2-D3-D6-D8</t>
  </si>
  <si>
    <t xml:space="preserve">D2-D3-D6-D9</t>
  </si>
  <si>
    <t xml:space="preserve">D2-D3-D6-D10</t>
  </si>
  <si>
    <t xml:space="preserve">D2-D3-D6-D11</t>
  </si>
  <si>
    <t xml:space="preserve">D2-D3-D7-D8</t>
  </si>
  <si>
    <t xml:space="preserve">D2-D3-D7-D9</t>
  </si>
  <si>
    <t xml:space="preserve">D2-D3-D7-D10</t>
  </si>
  <si>
    <t xml:space="preserve">D2-D3-D7-D11</t>
  </si>
  <si>
    <t xml:space="preserve">D2-D3-D8-D9</t>
  </si>
  <si>
    <t xml:space="preserve">D2-D3-D8-D10</t>
  </si>
  <si>
    <t xml:space="preserve">D2-D3-D8-D11</t>
  </si>
  <si>
    <t xml:space="preserve">D2-D3-D9-D10</t>
  </si>
  <si>
    <t xml:space="preserve">D2-D3-D9-D11</t>
  </si>
  <si>
    <t xml:space="preserve">D2-D3-D10-D11</t>
  </si>
  <si>
    <t xml:space="preserve">D2-D4-D5-D6</t>
  </si>
  <si>
    <t xml:space="preserve">D2-D4-D5-D7</t>
  </si>
  <si>
    <t xml:space="preserve">D2-D4-D5-D8</t>
  </si>
  <si>
    <t xml:space="preserve">D2-D4-D5-D9</t>
  </si>
  <si>
    <t xml:space="preserve">D2-D4-D5-D10</t>
  </si>
  <si>
    <t xml:space="preserve">D2-D4-D5-D11</t>
  </si>
  <si>
    <t xml:space="preserve">D2-D4-D6-D7</t>
  </si>
  <si>
    <t xml:space="preserve">D2-D4-D6-D8</t>
  </si>
  <si>
    <t xml:space="preserve">D2-D4-D6-D9</t>
  </si>
  <si>
    <t xml:space="preserve">D2-D4-D6-D10</t>
  </si>
  <si>
    <t xml:space="preserve">D2-D4-D6-D11</t>
  </si>
  <si>
    <t xml:space="preserve">D2-D4-D7-D8</t>
  </si>
  <si>
    <t xml:space="preserve">D2-D4-D7-D9</t>
  </si>
  <si>
    <t xml:space="preserve">D2-D4-D7-D10</t>
  </si>
  <si>
    <t xml:space="preserve">D2-D4-D7-D11</t>
  </si>
  <si>
    <t xml:space="preserve">D2-D4-D8-D9</t>
  </si>
  <si>
    <t xml:space="preserve">D2-D4-D8-D10</t>
  </si>
  <si>
    <t xml:space="preserve">D2-D4-D8-D11</t>
  </si>
  <si>
    <t xml:space="preserve">D2-D4-D9-D10</t>
  </si>
  <si>
    <t xml:space="preserve">D2-D4-D9-D11</t>
  </si>
  <si>
    <t xml:space="preserve">D2-D4-D10-D11</t>
  </si>
  <si>
    <t xml:space="preserve">D2-D5-D6-D7</t>
  </si>
  <si>
    <t xml:space="preserve">D2-D5-D6-D8</t>
  </si>
  <si>
    <t xml:space="preserve">D2-D5-D6-D9</t>
  </si>
  <si>
    <t xml:space="preserve">D2-D5-D6-D10</t>
  </si>
  <si>
    <t xml:space="preserve">D2-D5-D6-D11</t>
  </si>
  <si>
    <t xml:space="preserve">D2-D5-D7-D8</t>
  </si>
  <si>
    <t xml:space="preserve">D2-D5-D7-D9</t>
  </si>
  <si>
    <t xml:space="preserve">D2-D5-D7-D10</t>
  </si>
  <si>
    <t xml:space="preserve">D2-D5-D7-D11</t>
  </si>
  <si>
    <t xml:space="preserve">D2-D5-D8-D9</t>
  </si>
  <si>
    <t xml:space="preserve">D2-D5-D8-D10</t>
  </si>
  <si>
    <t xml:space="preserve">D2-D5-D8-D11</t>
  </si>
  <si>
    <t xml:space="preserve">D2-D5-D9-D10</t>
  </si>
  <si>
    <t xml:space="preserve">D2-D5-D9-D11</t>
  </si>
  <si>
    <t xml:space="preserve">D2-D5-D10-D11</t>
  </si>
  <si>
    <t xml:space="preserve">D2-D6-D7-D8</t>
  </si>
  <si>
    <t xml:space="preserve">D2-D6-D7-D9</t>
  </si>
  <si>
    <t xml:space="preserve">D2-D6-D7-D10</t>
  </si>
  <si>
    <t xml:space="preserve">D2-D6-D7-D11</t>
  </si>
  <si>
    <t xml:space="preserve">D2-D6-D8-D9</t>
  </si>
  <si>
    <t xml:space="preserve">D2-D6-D8-D10</t>
  </si>
  <si>
    <t xml:space="preserve">D2-D6-D8-D11</t>
  </si>
  <si>
    <t xml:space="preserve">D2-D6-D9-D10</t>
  </si>
  <si>
    <t xml:space="preserve">D2-D6-D9-D11</t>
  </si>
  <si>
    <t xml:space="preserve">D2-D6-D10-D11</t>
  </si>
  <si>
    <t xml:space="preserve">D2-D7-D8-D9</t>
  </si>
  <si>
    <t xml:space="preserve">D2-D7-D8-D10</t>
  </si>
  <si>
    <t xml:space="preserve">D2-D7-D8-D11</t>
  </si>
  <si>
    <t xml:space="preserve">D2-D7-D9-D10</t>
  </si>
  <si>
    <t xml:space="preserve">D2-D7-D9-D11</t>
  </si>
  <si>
    <t xml:space="preserve">D2-D7-D10-D11</t>
  </si>
  <si>
    <t xml:space="preserve">D2-D8-D9-D10</t>
  </si>
  <si>
    <t xml:space="preserve">D2-D8-D9-D11</t>
  </si>
  <si>
    <t xml:space="preserve">D2-D8-D10-D11</t>
  </si>
  <si>
    <t xml:space="preserve">D2-D9-D10-D11</t>
  </si>
  <si>
    <t xml:space="preserve">D3-D4-D5-D6</t>
  </si>
  <si>
    <t xml:space="preserve">D3-D4-D5-D7</t>
  </si>
  <si>
    <t xml:space="preserve">D3-D4-D5-D8</t>
  </si>
  <si>
    <t xml:space="preserve">D3-D4-D5-D9</t>
  </si>
  <si>
    <t xml:space="preserve">D3-D4-D5-D10</t>
  </si>
  <si>
    <t xml:space="preserve">D3-D4-D5-D11</t>
  </si>
  <si>
    <t xml:space="preserve">D3-D4-D6-D7</t>
  </si>
  <si>
    <t xml:space="preserve">D3-D4-D6-D8</t>
  </si>
  <si>
    <t xml:space="preserve">D3-D4-D6-D9</t>
  </si>
  <si>
    <t xml:space="preserve">D3-D4-D6-D10</t>
  </si>
  <si>
    <t xml:space="preserve">D3-D4-D6-D11</t>
  </si>
  <si>
    <t xml:space="preserve">D3-D4-D7-D8</t>
  </si>
  <si>
    <t xml:space="preserve">D3-D4-D7-D9</t>
  </si>
  <si>
    <t xml:space="preserve">D3-D4-D7-D10</t>
  </si>
  <si>
    <t xml:space="preserve">D3-D4-D7-D11</t>
  </si>
  <si>
    <t xml:space="preserve">D3-D4-D8-D9</t>
  </si>
  <si>
    <t xml:space="preserve">D3-D4-D8-D10</t>
  </si>
  <si>
    <t xml:space="preserve">D3-D4-D8-D11</t>
  </si>
  <si>
    <t xml:space="preserve">D3-D4-D9-D10</t>
  </si>
  <si>
    <t xml:space="preserve">D3-D4-D9-D11</t>
  </si>
  <si>
    <t xml:space="preserve">D3-D4-D10-D11</t>
  </si>
  <si>
    <t xml:space="preserve">D3-D5-D6-D7</t>
  </si>
  <si>
    <t xml:space="preserve">D3-D5-D6-D8</t>
  </si>
  <si>
    <t xml:space="preserve">D3-D5-D6-D9</t>
  </si>
  <si>
    <t xml:space="preserve">D3-D5-D6-D10</t>
  </si>
  <si>
    <t xml:space="preserve">D3-D5-D6-D11</t>
  </si>
  <si>
    <t xml:space="preserve">D3-D5-D7-D8</t>
  </si>
  <si>
    <t xml:space="preserve">D3-D5-D7-D9</t>
  </si>
  <si>
    <t xml:space="preserve">D3-D5-D7-D10</t>
  </si>
  <si>
    <t xml:space="preserve">D3-D5-D7-D11</t>
  </si>
  <si>
    <t xml:space="preserve">D3-D5-D8-D9</t>
  </si>
  <si>
    <t xml:space="preserve">D3-D5-D8-D10</t>
  </si>
  <si>
    <t xml:space="preserve">D3-D5-D8-D11</t>
  </si>
  <si>
    <t xml:space="preserve">D3-D5-D9-D10</t>
  </si>
  <si>
    <t xml:space="preserve">D3-D5-D9-D11</t>
  </si>
  <si>
    <t xml:space="preserve">D3-D5-D10-D11</t>
  </si>
  <si>
    <t xml:space="preserve">D3-D6-D7-D8</t>
  </si>
  <si>
    <t xml:space="preserve">D3-D6-D7-D9</t>
  </si>
  <si>
    <t xml:space="preserve">D3-D6-D7-D10</t>
  </si>
  <si>
    <t xml:space="preserve">D3-D6-D7-D11</t>
  </si>
  <si>
    <t xml:space="preserve">D3-D6-D8-D9</t>
  </si>
  <si>
    <t xml:space="preserve">D3-D6-D8-D10</t>
  </si>
  <si>
    <t xml:space="preserve">D3-D6-D8-D11</t>
  </si>
  <si>
    <t xml:space="preserve">D3-D6-D9-D10</t>
  </si>
  <si>
    <t xml:space="preserve">D3-D6-D9-D11</t>
  </si>
  <si>
    <t xml:space="preserve">D3-D6-D10-D11</t>
  </si>
  <si>
    <t xml:space="preserve">D3-D7-D8-D9</t>
  </si>
  <si>
    <t xml:space="preserve">D3-D7-D8-D10</t>
  </si>
  <si>
    <t xml:space="preserve">D3-D7-D8-D11</t>
  </si>
  <si>
    <t xml:space="preserve">D3-D7-D9-D10</t>
  </si>
  <si>
    <t xml:space="preserve">D3-D7-D9-D11</t>
  </si>
  <si>
    <t xml:space="preserve">D3-D7-D10-D11</t>
  </si>
  <si>
    <t xml:space="preserve">D3-D8-D9-D10</t>
  </si>
  <si>
    <t xml:space="preserve">D3-D8-D9-D11</t>
  </si>
  <si>
    <t xml:space="preserve">D3-D8-D10-D11</t>
  </si>
  <si>
    <t xml:space="preserve">D3-D9-D10-D11</t>
  </si>
  <si>
    <t xml:space="preserve">D4-D5-D6-D7</t>
  </si>
  <si>
    <t xml:space="preserve">D4-D5-D6-D8</t>
  </si>
  <si>
    <t xml:space="preserve">D4-D5-D6-D9</t>
  </si>
  <si>
    <t xml:space="preserve">D4-D5-D6-D10</t>
  </si>
  <si>
    <t xml:space="preserve">D4-D5-D6-D11</t>
  </si>
  <si>
    <t xml:space="preserve">D4-D5-D7-D8</t>
  </si>
  <si>
    <t xml:space="preserve">D4-D5-D7-D9</t>
  </si>
  <si>
    <t xml:space="preserve">D4-D5-D7-D10</t>
  </si>
  <si>
    <t xml:space="preserve">D4-D5-D7-D11</t>
  </si>
  <si>
    <t xml:space="preserve">D4-D5-D8-D9</t>
  </si>
  <si>
    <t xml:space="preserve">D4-D5-D8-D10</t>
  </si>
  <si>
    <t xml:space="preserve">D4-D5-D8-D11</t>
  </si>
  <si>
    <t xml:space="preserve">D4-D5-D9-D10</t>
  </si>
  <si>
    <t xml:space="preserve">D4-D5-D9-D11</t>
  </si>
  <si>
    <t xml:space="preserve">D4-D5-D10-D11</t>
  </si>
  <si>
    <t xml:space="preserve">D4-D6-D7-D8</t>
  </si>
  <si>
    <t xml:space="preserve">D4-D6-D7-D9</t>
  </si>
  <si>
    <t xml:space="preserve">D4-D6-D7-D10</t>
  </si>
  <si>
    <t xml:space="preserve">D4-D6-D7-D11</t>
  </si>
  <si>
    <t xml:space="preserve">D4-D6-D8-D9</t>
  </si>
  <si>
    <t xml:space="preserve">D4-D6-D8-D10</t>
  </si>
  <si>
    <t xml:space="preserve">D4-D6-D8-D11</t>
  </si>
  <si>
    <t xml:space="preserve">D4-D6-D9-D10</t>
  </si>
  <si>
    <t xml:space="preserve">D4-D6-D9-D11</t>
  </si>
  <si>
    <t xml:space="preserve">D4-D6-D10-D11</t>
  </si>
  <si>
    <t xml:space="preserve">D4-D7-D8-D9</t>
  </si>
  <si>
    <t xml:space="preserve">D4-D7-D8-D10</t>
  </si>
  <si>
    <t xml:space="preserve">D4-D7-D8-D11</t>
  </si>
  <si>
    <t xml:space="preserve">D4-D7-D9-D10</t>
  </si>
  <si>
    <t xml:space="preserve">D4-D7-D9-D11</t>
  </si>
  <si>
    <t xml:space="preserve">D4-D7-D10-D11</t>
  </si>
  <si>
    <t xml:space="preserve">D4-D8-D9-D10</t>
  </si>
  <si>
    <t xml:space="preserve">D4-D8-D9-D11</t>
  </si>
  <si>
    <t xml:space="preserve">D4-D8-D10-D11</t>
  </si>
  <si>
    <t xml:space="preserve">D4-D9-D10-D11</t>
  </si>
  <si>
    <t xml:space="preserve">D5-D6-D7-D8</t>
  </si>
  <si>
    <t xml:space="preserve">D5-D6-D7-D9</t>
  </si>
  <si>
    <t xml:space="preserve">D5-D6-D7-D10</t>
  </si>
  <si>
    <t xml:space="preserve">D5-D6-D7-D11</t>
  </si>
  <si>
    <t xml:space="preserve">D5-D6-D8-D9</t>
  </si>
  <si>
    <t xml:space="preserve">D5-D6-D8-D10</t>
  </si>
  <si>
    <t xml:space="preserve">D5-D6-D8-D11</t>
  </si>
  <si>
    <t xml:space="preserve">D5-D6-D9-D10</t>
  </si>
  <si>
    <t xml:space="preserve">D5-D6-D9-D11</t>
  </si>
  <si>
    <t xml:space="preserve">D5-D6-D10-D11</t>
  </si>
  <si>
    <t xml:space="preserve">D5-D7-D8-D9</t>
  </si>
  <si>
    <t xml:space="preserve">D5-D7-D8-D10</t>
  </si>
  <si>
    <t xml:space="preserve">D5-D7-D8-D11</t>
  </si>
  <si>
    <t xml:space="preserve">D5-D7-D9-D10</t>
  </si>
  <si>
    <t xml:space="preserve">D5-D7-D9-D11</t>
  </si>
  <si>
    <t xml:space="preserve">D5-D7-D10-D11</t>
  </si>
  <si>
    <t xml:space="preserve">D5-D8-D9-D10</t>
  </si>
  <si>
    <t xml:space="preserve">D5-D8-D9-D11</t>
  </si>
  <si>
    <t xml:space="preserve">D5-D8-D10-D11</t>
  </si>
  <si>
    <t xml:space="preserve">D5-D9-D10-D11</t>
  </si>
  <si>
    <t xml:space="preserve">D6-D7-D8-D9</t>
  </si>
  <si>
    <t xml:space="preserve">D6-D7-D8-D10</t>
  </si>
  <si>
    <t xml:space="preserve">D6-D7-D8-D11</t>
  </si>
  <si>
    <t xml:space="preserve">D6-D7-D9-D10</t>
  </si>
  <si>
    <t xml:space="preserve">D6-D7-D9-D11</t>
  </si>
  <si>
    <t xml:space="preserve">D6-D7-D10-D11</t>
  </si>
  <si>
    <t xml:space="preserve">D6-D8-D9-D10</t>
  </si>
  <si>
    <t xml:space="preserve">D6-D8-D9-D11</t>
  </si>
  <si>
    <t xml:space="preserve">D6-D8-D10-D11</t>
  </si>
  <si>
    <t xml:space="preserve">D6-D9-D10-D11</t>
  </si>
  <si>
    <t xml:space="preserve">D7-D8-D9-D10</t>
  </si>
  <si>
    <t xml:space="preserve">D7-D8-D9-D11</t>
  </si>
  <si>
    <t xml:space="preserve">D7-D8-D10-D11</t>
  </si>
  <si>
    <t xml:space="preserve">D7-D9-D10-D11</t>
  </si>
  <si>
    <t xml:space="preserve">D8-D9-D10-D11</t>
  </si>
  <si>
    <t xml:space="preserve"># positive</t>
  </si>
  <si>
    <t xml:space="preserve"># negative</t>
  </si>
  <si>
    <t xml:space="preserve"># zero</t>
  </si>
  <si>
    <t xml:space="preserve">D columns</t>
  </si>
  <si>
    <t xml:space="preserve">Choices (of 126) with positive minor</t>
  </si>
  <si>
    <t xml:space="preserve">with negative minor</t>
  </si>
  <si>
    <t xml:space="preserve">with zero</t>
  </si>
  <si>
    <t xml:space="preserve">D column</t>
  </si>
  <si>
    <t xml:space="preserve">Lines</t>
  </si>
  <si>
    <t xml:space="preserve">Cells (9 x lines)</t>
  </si>
  <si>
    <t xml:space="preserve">Total (from Total sheet)</t>
  </si>
  <si>
    <t xml:space="preserve">Mean per row</t>
  </si>
  <si>
    <t xml:space="preserve">Std dev across 9 rows</t>
  </si>
  <si>
    <t xml:space="preserve">Variation (std/mean)</t>
  </si>
  <si>
    <t xml:space="preserve">Share of minors where this column is in the minor and positive</t>
  </si>
  <si>
    <t xml:space="preserve">... negative</t>
  </si>
  <si>
    <t xml:space="preserve">1-11</t>
  </si>
  <si>
    <t xml:space="preserve">12-14</t>
  </si>
  <si>
    <t xml:space="preserve">15</t>
  </si>
  <si>
    <t xml:space="preserve">16</t>
  </si>
  <si>
    <t xml:space="preserve">17-18</t>
  </si>
  <si>
    <t xml:space="preserve">19</t>
  </si>
  <si>
    <t xml:space="preserve">20-21</t>
  </si>
  <si>
    <t xml:space="preserve">22-26</t>
  </si>
  <si>
    <t xml:space="preserve">27</t>
  </si>
  <si>
    <t xml:space="preserve">28</t>
  </si>
  <si>
    <t xml:space="preserve">29</t>
  </si>
  <si>
    <t xml:space="preserve">Columns 8-9: counts of minors (out of 15,120 containing the column) computed in Python. Low variation = column nearly constant across rows (D2, D4, D6): such columns make minors small/near-degenerate.</t>
  </si>
  <si>
    <t xml:space="preserve">How many of the 330 D-quadruples have exactly k positive minors across the 126 row choices (k + negatives + zeros = 126)</t>
  </si>
  <si>
    <t xml:space="preserve">k positive</t>
  </si>
  <si>
    <t xml:space="preserve"># D-quadruples</t>
  </si>
  <si>
    <t xml:space="preserve">Highlighted: 54 and 72 (54 + 72 = 126). Total positive minors over all 41,580: see Combos_126!C129; negatives D129.</t>
  </si>
  <si>
    <t xml:space="preserve">Per choice of 4 rows: positive / negative minors and status in each layout (natural D1..D11 order). Python-computed exact values.</t>
  </si>
  <si>
    <t xml:space="preserve">Counts of status (formulas) -&gt;</t>
  </si>
  <si>
    <t xml:space="preserve">Rows</t>
  </si>
  <si>
    <t xml:space="preserve">62 pos</t>
  </si>
  <si>
    <t xml:space="preserve">62 neg</t>
  </si>
  <si>
    <t xml:space="preserve">62 status</t>
  </si>
  <si>
    <t xml:space="preserve">62+216 pos</t>
  </si>
  <si>
    <t xml:space="preserve">62+216 neg</t>
  </si>
  <si>
    <t xml:space="preserve">62+216 status</t>
  </si>
  <si>
    <t xml:space="preserve">62+216+white pos</t>
  </si>
  <si>
    <t xml:space="preserve">62+216+white neg</t>
  </si>
  <si>
    <t xml:space="preserve">62+216+white status</t>
  </si>
  <si>
    <t xml:space="preserve">62+216+blue pos</t>
  </si>
  <si>
    <t xml:space="preserve">62+216+blue neg</t>
  </si>
  <si>
    <t xml:space="preserve">62+216+blue status</t>
  </si>
  <si>
    <t xml:space="preserve">Full pos</t>
  </si>
  <si>
    <t xml:space="preserve">Full neg</t>
  </si>
  <si>
    <t xml:space="preserve">Full status</t>
  </si>
  <si>
    <t xml:space="preserve">Status counts</t>
  </si>
  <si>
    <t xml:space="preserve">Gr&gt;=0 (+)</t>
  </si>
  <si>
    <t xml:space="preserve">Gr&gt;=0 (-)</t>
  </si>
  <si>
    <t xml:space="preserve">mixed</t>
  </si>
  <si>
    <t xml:space="preserve">rank&lt;4</t>
  </si>
  <si>
    <t xml:space="preserve">99 names: static and dynamic values and cell placement (values from your lists; cells from the placement rules, verified against your grid)</t>
  </si>
  <si>
    <t xml:space="preserve">Name ID</t>
  </si>
  <si>
    <t xml:space="preserve">Static</t>
  </si>
  <si>
    <t xml:space="preserve">Dynamic</t>
  </si>
  <si>
    <t xml:space="preserve">Rising?</t>
  </si>
  <si>
    <t xml:space="preserve">Grey cell (static value)</t>
  </si>
  <si>
    <t xml:space="preserve">Grey D</t>
  </si>
  <si>
    <t xml:space="preserve">White cell</t>
  </si>
  <si>
    <t xml:space="preserve">White D</t>
  </si>
  <si>
    <t xml:space="preserve">Blue cell</t>
  </si>
  <si>
    <t xml:space="preserve">Blue D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</si>
  <si>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</si>
  <si>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</si>
  <si>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</si>
  <si>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</si>
  <si>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</si>
  <si>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</si>
  <si>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</si>
  <si>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</si>
  <si>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</si>
  <si>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</si>
  <si>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</si>
  <si>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</si>
  <si>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</si>
  <si>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</si>
  <si>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</si>
  <si>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</si>
  <si>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</si>
  <si>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</si>
  <si>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</si>
  <si>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</si>
  <si>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</si>
  <si>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</si>
  <si>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</si>
  <si>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</si>
  <si>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L25</t>
  </si>
  <si>
    <t xml:space="preserve">L26</t>
  </si>
  <si>
    <t xml:space="preserve">L27</t>
  </si>
  <si>
    <t xml:space="preserve">L28</t>
  </si>
  <si>
    <t xml:space="preserve">L29</t>
  </si>
  <si>
    <t xml:space="preserve">L30</t>
  </si>
  <si>
    <t xml:space="preserve">L31</t>
  </si>
  <si>
    <t xml:space="preserve">L32</t>
  </si>
  <si>
    <t xml:space="preserve">L33</t>
  </si>
  <si>
    <t xml:space="preserve">L34</t>
  </si>
  <si>
    <t xml:space="preserve">L35</t>
  </si>
  <si>
    <t xml:space="preserve">L36</t>
  </si>
  <si>
    <t xml:space="preserve">L37</t>
  </si>
  <si>
    <t xml:space="preserve">L38</t>
  </si>
  <si>
    <t xml:space="preserve">L39</t>
  </si>
  <si>
    <t xml:space="preserve">L40</t>
  </si>
  <si>
    <t xml:space="preserve">L41</t>
  </si>
  <si>
    <t xml:space="preserve">L42</t>
  </si>
  <si>
    <t xml:space="preserve">L43</t>
  </si>
  <si>
    <t xml:space="preserve">L44</t>
  </si>
  <si>
    <t xml:space="preserve">L45</t>
  </si>
  <si>
    <t xml:space="preserve">L46</t>
  </si>
  <si>
    <t xml:space="preserve">L47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</si>
  <si>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</si>
  <si>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</si>
  <si>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</si>
  <si>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</si>
  <si>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</si>
  <si>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</si>
  <si>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</si>
  <si>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</si>
  <si>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</si>
  <si>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</si>
  <si>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</si>
  <si>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</si>
  <si>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</si>
  <si>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</si>
  <si>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</si>
  <si>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</si>
  <si>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</si>
  <si>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</si>
  <si>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</si>
  <si>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</si>
  <si>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</si>
  <si>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</si>
  <si>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</si>
  <si>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</si>
  <si>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N25</t>
  </si>
  <si>
    <t xml:space="preserve">N26</t>
  </si>
  <si>
    <t xml:space="preserve">N27</t>
  </si>
  <si>
    <t xml:space="preserve">N28</t>
  </si>
  <si>
    <t xml:space="preserve">N29</t>
  </si>
  <si>
    <t xml:space="preserve">N30</t>
  </si>
  <si>
    <t xml:space="preserve">N31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</si>
  <si>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</si>
  <si>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</si>
  <si>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</si>
  <si>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</si>
  <si>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</si>
  <si>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</si>
  <si>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</si>
  <si>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</si>
  <si>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</si>
  <si>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</si>
  <si>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</si>
  <si>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</si>
  <si>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</si>
  <si>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</si>
  <si>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</si>
  <si>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</si>
  <si>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</si>
  <si>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</si>
  <si>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</si>
  <si>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</si>
  <si>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</si>
  <si>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Totals / medians (formulas)</t>
  </si>
  <si>
    <t xml:space="preserve">Sum static</t>
  </si>
  <si>
    <t xml:space="preserve">Sum dynamic</t>
  </si>
  <si>
    <t xml:space="preserve">Sum of 84 fixed names</t>
  </si>
  <si>
    <t xml:space="preserve">Sum of 15 rising (static)</t>
  </si>
  <si>
    <t xml:space="preserve">Sum of 15 rising (dynamic)</t>
  </si>
  <si>
    <t xml:space="preserve">Median static (50th of 99)</t>
  </si>
  <si>
    <t xml:space="preserve">Times that static value occurs</t>
  </si>
  <si>
    <t xml:space="preserve">Median dynamic (50th of 99)</t>
  </si>
  <si>
    <t xml:space="preserve">Times that dynamic value occurs</t>
  </si>
  <si>
    <t xml:space="preserve">Mean static</t>
  </si>
  <si>
    <t xml:space="preserve">Mean dynamic</t>
  </si>
  <si>
    <t xml:space="preserve">Arithmetic checks of numbers raised in the discussion (formulas)</t>
  </si>
  <si>
    <t xml:space="preserve">Check</t>
  </si>
  <si>
    <t xml:space="preserve">Result (formula)</t>
  </si>
  <si>
    <t xml:space="preserve">Expected / note</t>
  </si>
  <si>
    <t xml:space="preserve">Appearances: grey 114 + white 99 + blue 99</t>
  </si>
  <si>
    <t xml:space="preserve">312</t>
  </si>
  <si>
    <t xml:space="preserve">3 x 84 + 4 x 15</t>
  </si>
  <si>
    <t xml:space="preserve">3 x 99</t>
  </si>
  <si>
    <t xml:space="preserve">297</t>
  </si>
  <si>
    <t xml:space="preserve">Difference 312 - 297</t>
  </si>
  <si>
    <t xml:space="preserve">Centre cell of cells 37..297</t>
  </si>
  <si>
    <t xml:space="preserve">167 (line 15 = D3, grid column 5)</t>
  </si>
  <si>
    <t xml:space="preserve">9 + 167</t>
  </si>
  <si>
    <t xml:space="preserve">176 (note: not 174)</t>
  </si>
  <si>
    <t xml:space="preserve">9 + 167 + 40</t>
  </si>
  <si>
    <t xml:space="preserve">216</t>
  </si>
  <si>
    <t xml:space="preserve">6605 + 167</t>
  </si>
  <si>
    <t xml:space="preserve">6772</t>
  </si>
  <si>
    <t xml:space="preserve">6772 x 29</t>
  </si>
  <si>
    <t xml:space="preserve">196388</t>
  </si>
  <si>
    <t xml:space="preserve">+ 5 x 99</t>
  </si>
  <si>
    <t xml:space="preserve">196883</t>
  </si>
  <si>
    <t xml:space="preserve">47 x 59 x 71</t>
  </si>
  <si>
    <t xml:space="preserve">196883 (smallest nontrivial Monster representation dimension)</t>
  </si>
  <si>
    <t xml:space="preserve">Sum of 84 fixed names (from Names_99)</t>
  </si>
  <si>
    <t xml:space="preserve">6605</t>
  </si>
  <si>
    <t xml:space="preserve">Facts checked outside the sheet:</t>
  </si>
  <si>
    <t xml:space="preserve">167 is prime and is the 39th prime (the 34th prime is 139).</t>
  </si>
  <si>
    <t xml:space="preserve">Static median (50th of 99) = 67, occurring once. Dynamic median = 79, occurring three times (L31, Y3, Y8, at positions 50-52). The value 57 does not occur among the 99 values.</t>
  </si>
  <si>
    <t xml:space="preserve">The 39 Gr&gt;=0 row choices in the 62 layout and the 39th-prime rank of 167 are an unexamined numerical coincidence.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</si>
</sst>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23.25" hidden="false" customHeight="true" outlineLevel="0" collapsed="false">
      <c r="A3" s="3" t="s">
        <v>2</v>
      </c>
    </row>
    <row r="4" customFormat="false" ht="34.5" hidden="false" customHeight="true" outlineLevel="0" collapsed="false">
      <c r="A4" s="3" t="s">
        <v>3</v>
      </c>
    </row>
    <row r="5" customFormat="false" ht="23.25" hidden="false" customHeight="true" outlineLevel="0" collapsed="false">
      <c r="A5" s="3" t="s">
        <v>4</v>
      </c>
    </row>
    <row r="6" customFormat="false" ht="23.25" hidden="false" customHeight="true" outlineLevel="0" collapsed="false">
      <c r="A6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45"/>
    <col collapsed="false" customWidth="true" hidden="false" outlineLevel="0" max="4" min="4" style="1" width="90"/>
    <col collapsed="false" customWidth="true" hidden="false" outlineLevel="0" max="5" min="5" style="1" width="32"/>
  </cols>
  <sheetData>
    <row r="1" customFormat="false" ht="15" hidden="false" customHeight="true" outlineLevel="0" collapsed="false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 customFormat="false" ht="34.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</row>
    <row r="3" customFormat="false" ht="23.25" hidden="false" customHeight="tru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</row>
    <row r="4" customFormat="false" ht="23.2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15</v>
      </c>
    </row>
    <row r="5" customFormat="false" ht="23.25" hidden="false" customHeight="tru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</row>
    <row r="6" customFormat="false" ht="23.25" hidden="false" customHeight="true" outlineLevel="0" collapsed="false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</row>
    <row r="7" customFormat="false" ht="23.25" hidden="false" customHeight="true" outlineLevel="0" collapsed="false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</row>
    <row r="8" customFormat="false" ht="23.25" hidden="false" customHeight="true" outlineLevel="0" collapsed="false">
      <c r="A8" s="3" t="s">
        <v>40</v>
      </c>
      <c r="B8" s="3" t="s">
        <v>41</v>
      </c>
      <c r="C8" s="3" t="s">
        <v>37</v>
      </c>
      <c r="D8" s="3" t="s">
        <v>42</v>
      </c>
      <c r="E8" s="3" t="s">
        <v>15</v>
      </c>
    </row>
    <row r="9" customFormat="false" ht="23.25" hidden="false" customHeight="true" outlineLevel="0" collapsed="false">
      <c r="A9" s="3" t="s">
        <v>43</v>
      </c>
      <c r="B9" s="3" t="s">
        <v>44</v>
      </c>
      <c r="C9" s="3" t="s">
        <v>45</v>
      </c>
      <c r="D9" s="3" t="s">
        <v>46</v>
      </c>
      <c r="E9" s="3" t="s">
        <v>15</v>
      </c>
    </row>
    <row r="10" customFormat="false" ht="23.25" hidden="false" customHeight="true" outlineLevel="0" collapsed="false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15</v>
      </c>
    </row>
    <row r="11" customFormat="false" ht="23.25" hidden="false" customHeight="true" outlineLevel="0" collapsed="false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15</v>
      </c>
    </row>
    <row r="12" customFormat="false" ht="34.5" hidden="false" customHeight="true" outlineLevel="0" collapsed="false">
      <c r="A12" s="3" t="s">
        <v>55</v>
      </c>
      <c r="B12" s="3" t="s">
        <v>56</v>
      </c>
      <c r="C12" s="3"/>
      <c r="D12" s="3"/>
      <c r="E12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10" min="8" style="1" width="16"/>
  </cols>
  <sheetData>
    <row r="1" customFormat="false" ht="23.25" hidden="false" customHeight="true" outlineLevel="0" collapsed="false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</row>
    <row r="2" customFormat="false" ht="15" hidden="false" customHeight="true" outlineLevel="0" collapsed="false">
      <c r="A2" s="6" t="n">
        <v>1</v>
      </c>
      <c r="B2" s="6" t="s">
        <v>68</v>
      </c>
      <c r="C2" s="6" t="n">
        <f aca="false">COUNTIF(Minors!B2:LS2,"&gt;0")</f>
        <v>182</v>
      </c>
      <c r="D2" s="6" t="n">
        <f aca="false">COUNTIF(Minors!B2:LS2,"&lt;0")</f>
        <v>148</v>
      </c>
      <c r="E2" s="6" t="n">
        <f aca="false">COUNTIF(Minors!B2:LS2,0)</f>
        <v>0</v>
      </c>
      <c r="F2" s="6" t="n">
        <f aca="false">C2+D2</f>
        <v>330</v>
      </c>
      <c r="G2" s="6" t="n">
        <f aca="false">MIN(C2,D2)</f>
        <v>148</v>
      </c>
      <c r="H2" s="6" t="str">
        <f aca="false">IF(F2=0,"rank&lt;4",IF(G2=0,"YES","no"))</f>
        <v>no</v>
      </c>
      <c r="I2" s="6" t="n">
        <f aca="false">MIN(MIN(Minors!B2:LS2),-MAX(Minors!B2:LS2))*0+SMALL(Minors!B2:LS2,COUNTIF(Minors!B2:LS2,"&lt;0")+E2+1)</f>
        <v>45</v>
      </c>
      <c r="J2" s="6" t="n">
        <f aca="false">MAX(MAX(Minors!B2:LS2),-MIN(Minors!B2:LS2))</f>
        <v>3164226470</v>
      </c>
    </row>
    <row r="3" customFormat="false" ht="15" hidden="false" customHeight="true" outlineLevel="0" collapsed="false">
      <c r="A3" s="6" t="n">
        <v>2</v>
      </c>
      <c r="B3" s="6" t="s">
        <v>69</v>
      </c>
      <c r="C3" s="6" t="n">
        <f aca="false">COUNTIF(Minors!B3:LS3,"&gt;0")</f>
        <v>186</v>
      </c>
      <c r="D3" s="6" t="n">
        <f aca="false">COUNTIF(Minors!B3:LS3,"&lt;0")</f>
        <v>144</v>
      </c>
      <c r="E3" s="6" t="n">
        <f aca="false">COUNTIF(Minors!B3:LS3,0)</f>
        <v>0</v>
      </c>
      <c r="F3" s="6" t="n">
        <f aca="false">C3+D3</f>
        <v>330</v>
      </c>
      <c r="G3" s="6" t="n">
        <f aca="false">MIN(C3,D3)</f>
        <v>144</v>
      </c>
      <c r="H3" s="6" t="str">
        <f aca="false">IF(F3=0,"rank&lt;4",IF(G3=0,"YES","no"))</f>
        <v>no</v>
      </c>
      <c r="I3" s="6" t="n">
        <f aca="false">MIN(MIN(Minors!B3:LS3),-MAX(Minors!B3:LS3))*0+SMALL(Minors!B3:LS3,COUNTIF(Minors!B3:LS3,"&lt;0")+E3+1)</f>
        <v>1476</v>
      </c>
      <c r="J3" s="6" t="n">
        <f aca="false">MAX(MAX(Minors!B3:LS3),-MIN(Minors!B3:LS3))</f>
        <v>6871701069</v>
      </c>
    </row>
    <row r="4" customFormat="false" ht="15" hidden="false" customHeight="true" outlineLevel="0" collapsed="false">
      <c r="A4" s="6" t="n">
        <v>3</v>
      </c>
      <c r="B4" s="6" t="s">
        <v>70</v>
      </c>
      <c r="C4" s="6" t="n">
        <f aca="false">COUNTIF(Minors!B4:LS4,"&gt;0")</f>
        <v>183</v>
      </c>
      <c r="D4" s="6" t="n">
        <f aca="false">COUNTIF(Minors!B4:LS4,"&lt;0")</f>
        <v>147</v>
      </c>
      <c r="E4" s="6" t="n">
        <f aca="false">COUNTIF(Minors!B4:LS4,0)</f>
        <v>0</v>
      </c>
      <c r="F4" s="6" t="n">
        <f aca="false">C4+D4</f>
        <v>330</v>
      </c>
      <c r="G4" s="6" t="n">
        <f aca="false">MIN(C4,D4)</f>
        <v>147</v>
      </c>
      <c r="H4" s="6" t="str">
        <f aca="false">IF(F4=0,"rank&lt;4",IF(G4=0,"YES","no"))</f>
        <v>no</v>
      </c>
      <c r="I4" s="6" t="n">
        <f aca="false">MIN(MIN(Minors!B4:LS4),-MAX(Minors!B4:LS4))*0+SMALL(Minors!B4:LS4,COUNTIF(Minors!B4:LS4,"&lt;0")+E4+1)</f>
        <v>704</v>
      </c>
      <c r="J4" s="6" t="n">
        <f aca="false">MAX(MAX(Minors!B4:LS4),-MIN(Minors!B4:LS4))</f>
        <v>4254988118</v>
      </c>
    </row>
    <row r="5" customFormat="false" ht="15" hidden="false" customHeight="true" outlineLevel="0" collapsed="false">
      <c r="A5" s="6" t="n">
        <v>4</v>
      </c>
      <c r="B5" s="6" t="s">
        <v>71</v>
      </c>
      <c r="C5" s="6" t="n">
        <f aca="false">COUNTIF(Minors!B5:LS5,"&gt;0")</f>
        <v>178</v>
      </c>
      <c r="D5" s="6" t="n">
        <f aca="false">COUNTIF(Minors!B5:LS5,"&lt;0")</f>
        <v>152</v>
      </c>
      <c r="E5" s="6" t="n">
        <f aca="false">COUNTIF(Minors!B5:LS5,0)</f>
        <v>0</v>
      </c>
      <c r="F5" s="6" t="n">
        <f aca="false">C5+D5</f>
        <v>330</v>
      </c>
      <c r="G5" s="6" t="n">
        <f aca="false">MIN(C5,D5)</f>
        <v>152</v>
      </c>
      <c r="H5" s="6" t="str">
        <f aca="false">IF(F5=0,"rank&lt;4",IF(G5=0,"YES","no"))</f>
        <v>no</v>
      </c>
      <c r="I5" s="6" t="n">
        <f aca="false">MIN(MIN(Minors!B5:LS5),-MAX(Minors!B5:LS5))*0+SMALL(Minors!B5:LS5,COUNTIF(Minors!B5:LS5,"&lt;0")+E5+1)</f>
        <v>2637</v>
      </c>
      <c r="J5" s="6" t="n">
        <f aca="false">MAX(MAX(Minors!B5:LS5),-MIN(Minors!B5:LS5))</f>
        <v>3949988358</v>
      </c>
    </row>
    <row r="6" customFormat="false" ht="15" hidden="false" customHeight="true" outlineLevel="0" collapsed="false">
      <c r="A6" s="6" t="n">
        <v>5</v>
      </c>
      <c r="B6" s="6" t="s">
        <v>72</v>
      </c>
      <c r="C6" s="6" t="n">
        <f aca="false">COUNTIF(Minors!B6:LS6,"&gt;0")</f>
        <v>180</v>
      </c>
      <c r="D6" s="6" t="n">
        <f aca="false">COUNTIF(Minors!B6:LS6,"&lt;0")</f>
        <v>150</v>
      </c>
      <c r="E6" s="6" t="n">
        <f aca="false">COUNTIF(Minors!B6:LS6,0)</f>
        <v>0</v>
      </c>
      <c r="F6" s="6" t="n">
        <f aca="false">C6+D6</f>
        <v>330</v>
      </c>
      <c r="G6" s="6" t="n">
        <f aca="false">MIN(C6,D6)</f>
        <v>150</v>
      </c>
      <c r="H6" s="6" t="str">
        <f aca="false">IF(F6=0,"rank&lt;4",IF(G6=0,"YES","no"))</f>
        <v>no</v>
      </c>
      <c r="I6" s="6" t="n">
        <f aca="false">MIN(MIN(Minors!B6:LS6),-MAX(Minors!B6:LS6))*0+SMALL(Minors!B6:LS6,COUNTIF(Minors!B6:LS6,"&lt;0")+E6+1)</f>
        <v>3215</v>
      </c>
      <c r="J6" s="6" t="n">
        <f aca="false">MAX(MAX(Minors!B6:LS6),-MIN(Minors!B6:LS6))</f>
        <v>11235516366</v>
      </c>
    </row>
    <row r="7" customFormat="false" ht="15" hidden="false" customHeight="true" outlineLevel="0" collapsed="false">
      <c r="A7" s="6" t="n">
        <v>6</v>
      </c>
      <c r="B7" s="6" t="s">
        <v>73</v>
      </c>
      <c r="C7" s="6" t="n">
        <f aca="false">COUNTIF(Minors!B7:LS7,"&gt;0")</f>
        <v>175</v>
      </c>
      <c r="D7" s="6" t="n">
        <f aca="false">COUNTIF(Minors!B7:LS7,"&lt;0")</f>
        <v>155</v>
      </c>
      <c r="E7" s="6" t="n">
        <f aca="false">COUNTIF(Minors!B7:LS7,0)</f>
        <v>0</v>
      </c>
      <c r="F7" s="6" t="n">
        <f aca="false">C7+D7</f>
        <v>330</v>
      </c>
      <c r="G7" s="6" t="n">
        <f aca="false">MIN(C7,D7)</f>
        <v>155</v>
      </c>
      <c r="H7" s="6" t="str">
        <f aca="false">IF(F7=0,"rank&lt;4",IF(G7=0,"YES","no"))</f>
        <v>no</v>
      </c>
      <c r="I7" s="6" t="n">
        <f aca="false">MIN(MIN(Minors!B7:LS7),-MAX(Minors!B7:LS7))*0+SMALL(Minors!B7:LS7,COUNTIF(Minors!B7:LS7,"&lt;0")+E7+1)</f>
        <v>788</v>
      </c>
      <c r="J7" s="6" t="n">
        <f aca="false">MAX(MAX(Minors!B7:LS7),-MIN(Minors!B7:LS7))</f>
        <v>13719019960</v>
      </c>
    </row>
    <row r="8" customFormat="false" ht="15" hidden="false" customHeight="true" outlineLevel="0" collapsed="false">
      <c r="A8" s="6" t="n">
        <v>7</v>
      </c>
      <c r="B8" s="6" t="s">
        <v>74</v>
      </c>
      <c r="C8" s="6" t="n">
        <f aca="false">COUNTIF(Minors!B8:LS8,"&gt;0")</f>
        <v>148</v>
      </c>
      <c r="D8" s="6" t="n">
        <f aca="false">COUNTIF(Minors!B8:LS8,"&lt;0")</f>
        <v>182</v>
      </c>
      <c r="E8" s="6" t="n">
        <f aca="false">COUNTIF(Minors!B8:LS8,0)</f>
        <v>0</v>
      </c>
      <c r="F8" s="6" t="n">
        <f aca="false">C8+D8</f>
        <v>330</v>
      </c>
      <c r="G8" s="6" t="n">
        <f aca="false">MIN(C8,D8)</f>
        <v>148</v>
      </c>
      <c r="H8" s="6" t="str">
        <f aca="false">IF(F8=0,"rank&lt;4",IF(G8=0,"YES","no"))</f>
        <v>no</v>
      </c>
      <c r="I8" s="6" t="n">
        <f aca="false">MIN(MIN(Minors!B8:LS8),-MAX(Minors!B8:LS8))*0+SMALL(Minors!B8:LS8,COUNTIF(Minors!B8:LS8,"&lt;0")+E8+1)</f>
        <v>2808</v>
      </c>
      <c r="J8" s="6" t="n">
        <f aca="false">MAX(MAX(Minors!B8:LS8),-MIN(Minors!B8:LS8))</f>
        <v>2192822252</v>
      </c>
    </row>
    <row r="9" customFormat="false" ht="15" hidden="false" customHeight="true" outlineLevel="0" collapsed="false">
      <c r="A9" s="6" t="n">
        <v>8</v>
      </c>
      <c r="B9" s="6" t="s">
        <v>75</v>
      </c>
      <c r="C9" s="6" t="n">
        <f aca="false">COUNTIF(Minors!B9:LS9,"&gt;0")</f>
        <v>160</v>
      </c>
      <c r="D9" s="6" t="n">
        <f aca="false">COUNTIF(Minors!B9:LS9,"&lt;0")</f>
        <v>170</v>
      </c>
      <c r="E9" s="6" t="n">
        <f aca="false">COUNTIF(Minors!B9:LS9,0)</f>
        <v>0</v>
      </c>
      <c r="F9" s="6" t="n">
        <f aca="false">C9+D9</f>
        <v>330</v>
      </c>
      <c r="G9" s="6" t="n">
        <f aca="false">MIN(C9,D9)</f>
        <v>160</v>
      </c>
      <c r="H9" s="6" t="str">
        <f aca="false">IF(F9=0,"rank&lt;4",IF(G9=0,"YES","no"))</f>
        <v>no</v>
      </c>
      <c r="I9" s="6" t="n">
        <f aca="false">MIN(MIN(Minors!B9:LS9),-MAX(Minors!B9:LS9))*0+SMALL(Minors!B9:LS9,COUNTIF(Minors!B9:LS9,"&lt;0")+E9+1)</f>
        <v>20</v>
      </c>
      <c r="J9" s="6" t="n">
        <f aca="false">MAX(MAX(Minors!B9:LS9),-MIN(Minors!B9:LS9))</f>
        <v>1305723720</v>
      </c>
    </row>
    <row r="10" customFormat="false" ht="15" hidden="false" customHeight="true" outlineLevel="0" collapsed="false">
      <c r="A10" s="6" t="n">
        <v>9</v>
      </c>
      <c r="B10" s="6" t="s">
        <v>76</v>
      </c>
      <c r="C10" s="6" t="n">
        <f aca="false">COUNTIF(Minors!B10:LS10,"&gt;0")</f>
        <v>172</v>
      </c>
      <c r="D10" s="6" t="n">
        <f aca="false">COUNTIF(Minors!B10:LS10,"&lt;0")</f>
        <v>158</v>
      </c>
      <c r="E10" s="6" t="n">
        <f aca="false">COUNTIF(Minors!B10:LS10,0)</f>
        <v>0</v>
      </c>
      <c r="F10" s="6" t="n">
        <f aca="false">C10+D10</f>
        <v>330</v>
      </c>
      <c r="G10" s="6" t="n">
        <f aca="false">MIN(C10,D10)</f>
        <v>158</v>
      </c>
      <c r="H10" s="6" t="str">
        <f aca="false">IF(F10=0,"rank&lt;4",IF(G10=0,"YES","no"))</f>
        <v>no</v>
      </c>
      <c r="I10" s="6" t="n">
        <f aca="false">MIN(MIN(Minors!B10:LS10),-MAX(Minors!B10:LS10))*0+SMALL(Minors!B10:LS10,COUNTIF(Minors!B10:LS10,"&lt;0")+E10+1)</f>
        <v>1266</v>
      </c>
      <c r="J10" s="6" t="n">
        <f aca="false">MAX(MAX(Minors!B10:LS10),-MIN(Minors!B10:LS10))</f>
        <v>2343600688</v>
      </c>
    </row>
    <row r="11" customFormat="false" ht="15" hidden="false" customHeight="true" outlineLevel="0" collapsed="false">
      <c r="A11" s="6" t="n">
        <v>10</v>
      </c>
      <c r="B11" s="6" t="s">
        <v>77</v>
      </c>
      <c r="C11" s="6" t="n">
        <f aca="false">COUNTIF(Minors!B11:LS11,"&gt;0")</f>
        <v>153</v>
      </c>
      <c r="D11" s="6" t="n">
        <f aca="false">COUNTIF(Minors!B11:LS11,"&lt;0")</f>
        <v>177</v>
      </c>
      <c r="E11" s="6" t="n">
        <f aca="false">COUNTIF(Minors!B11:LS11,0)</f>
        <v>0</v>
      </c>
      <c r="F11" s="6" t="n">
        <f aca="false">C11+D11</f>
        <v>330</v>
      </c>
      <c r="G11" s="6" t="n">
        <f aca="false">MIN(C11,D11)</f>
        <v>153</v>
      </c>
      <c r="H11" s="6" t="str">
        <f aca="false">IF(F11=0,"rank&lt;4",IF(G11=0,"YES","no"))</f>
        <v>no</v>
      </c>
      <c r="I11" s="6" t="n">
        <f aca="false">MIN(MIN(Minors!B11:LS11),-MAX(Minors!B11:LS11))*0+SMALL(Minors!B11:LS11,COUNTIF(Minors!B11:LS11,"&lt;0")+E11+1)</f>
        <v>182</v>
      </c>
      <c r="J11" s="6" t="n">
        <f aca="false">MAX(MAX(Minors!B11:LS11),-MIN(Minors!B11:LS11))</f>
        <v>5593483074</v>
      </c>
    </row>
    <row r="12" customFormat="false" ht="15" hidden="false" customHeight="true" outlineLevel="0" collapsed="false">
      <c r="A12" s="6" t="n">
        <v>11</v>
      </c>
      <c r="B12" s="6" t="s">
        <v>78</v>
      </c>
      <c r="C12" s="6" t="n">
        <f aca="false">COUNTIF(Minors!B12:LS12,"&gt;0")</f>
        <v>147</v>
      </c>
      <c r="D12" s="6" t="n">
        <f aca="false">COUNTIF(Minors!B12:LS12,"&lt;0")</f>
        <v>183</v>
      </c>
      <c r="E12" s="6" t="n">
        <f aca="false">COUNTIF(Minors!B12:LS12,0)</f>
        <v>0</v>
      </c>
      <c r="F12" s="6" t="n">
        <f aca="false">C12+D12</f>
        <v>330</v>
      </c>
      <c r="G12" s="6" t="n">
        <f aca="false">MIN(C12,D12)</f>
        <v>147</v>
      </c>
      <c r="H12" s="6" t="str">
        <f aca="false">IF(F12=0,"rank&lt;4",IF(G12=0,"YES","no"))</f>
        <v>no</v>
      </c>
      <c r="I12" s="6" t="n">
        <f aca="false">MIN(MIN(Minors!B12:LS12),-MAX(Minors!B12:LS12))*0+SMALL(Minors!B12:LS12,COUNTIF(Minors!B12:LS12,"&lt;0")+E12+1)</f>
        <v>165</v>
      </c>
      <c r="J12" s="6" t="n">
        <f aca="false">MAX(MAX(Minors!B12:LS12),-MIN(Minors!B12:LS12))</f>
        <v>3173550624</v>
      </c>
    </row>
    <row r="13" customFormat="false" ht="15" hidden="false" customHeight="true" outlineLevel="0" collapsed="false">
      <c r="A13" s="6" t="n">
        <v>12</v>
      </c>
      <c r="B13" s="6" t="s">
        <v>79</v>
      </c>
      <c r="C13" s="6" t="n">
        <f aca="false">COUNTIF(Minors!B13:LS13,"&gt;0")</f>
        <v>176</v>
      </c>
      <c r="D13" s="6" t="n">
        <f aca="false">COUNTIF(Minors!B13:LS13,"&lt;0")</f>
        <v>154</v>
      </c>
      <c r="E13" s="6" t="n">
        <f aca="false">COUNTIF(Minors!B13:LS13,0)</f>
        <v>0</v>
      </c>
      <c r="F13" s="6" t="n">
        <f aca="false">C13+D13</f>
        <v>330</v>
      </c>
      <c r="G13" s="6" t="n">
        <f aca="false">MIN(C13,D13)</f>
        <v>154</v>
      </c>
      <c r="H13" s="6" t="str">
        <f aca="false">IF(F13=0,"rank&lt;4",IF(G13=0,"YES","no"))</f>
        <v>no</v>
      </c>
      <c r="I13" s="6" t="n">
        <f aca="false">MIN(MIN(Minors!B13:LS13),-MAX(Minors!B13:LS13))*0+SMALL(Minors!B13:LS13,COUNTIF(Minors!B13:LS13,"&lt;0")+E13+1)</f>
        <v>308</v>
      </c>
      <c r="J13" s="6" t="n">
        <f aca="false">MAX(MAX(Minors!B13:LS13),-MIN(Minors!B13:LS13))</f>
        <v>4619250542</v>
      </c>
    </row>
    <row r="14" customFormat="false" ht="15" hidden="false" customHeight="true" outlineLevel="0" collapsed="false">
      <c r="A14" s="6" t="n">
        <v>13</v>
      </c>
      <c r="B14" s="6" t="s">
        <v>80</v>
      </c>
      <c r="C14" s="6" t="n">
        <f aca="false">COUNTIF(Minors!B14:LS14,"&gt;0")</f>
        <v>176</v>
      </c>
      <c r="D14" s="6" t="n">
        <f aca="false">COUNTIF(Minors!B14:LS14,"&lt;0")</f>
        <v>154</v>
      </c>
      <c r="E14" s="6" t="n">
        <f aca="false">COUNTIF(Minors!B14:LS14,0)</f>
        <v>0</v>
      </c>
      <c r="F14" s="6" t="n">
        <f aca="false">C14+D14</f>
        <v>330</v>
      </c>
      <c r="G14" s="6" t="n">
        <f aca="false">MIN(C14,D14)</f>
        <v>154</v>
      </c>
      <c r="H14" s="6" t="str">
        <f aca="false">IF(F14=0,"rank&lt;4",IF(G14=0,"YES","no"))</f>
        <v>no</v>
      </c>
      <c r="I14" s="6" t="n">
        <f aca="false">MIN(MIN(Minors!B14:LS14),-MAX(Minors!B14:LS14))*0+SMALL(Minors!B14:LS14,COUNTIF(Minors!B14:LS14,"&lt;0")+E14+1)</f>
        <v>3</v>
      </c>
      <c r="J14" s="6" t="n">
        <f aca="false">MAX(MAX(Minors!B14:LS14),-MIN(Minors!B14:LS14))</f>
        <v>4441924929</v>
      </c>
    </row>
    <row r="15" customFormat="false" ht="15" hidden="false" customHeight="true" outlineLevel="0" collapsed="false">
      <c r="A15" s="6" t="n">
        <v>14</v>
      </c>
      <c r="B15" s="6" t="s">
        <v>81</v>
      </c>
      <c r="C15" s="6" t="n">
        <f aca="false">COUNTIF(Minors!B15:LS15,"&gt;0")</f>
        <v>168</v>
      </c>
      <c r="D15" s="6" t="n">
        <f aca="false">COUNTIF(Minors!B15:LS15,"&lt;0")</f>
        <v>162</v>
      </c>
      <c r="E15" s="6" t="n">
        <f aca="false">COUNTIF(Minors!B15:LS15,0)</f>
        <v>0</v>
      </c>
      <c r="F15" s="6" t="n">
        <f aca="false">C15+D15</f>
        <v>330</v>
      </c>
      <c r="G15" s="6" t="n">
        <f aca="false">MIN(C15,D15)</f>
        <v>162</v>
      </c>
      <c r="H15" s="6" t="str">
        <f aca="false">IF(F15=0,"rank&lt;4",IF(G15=0,"YES","no"))</f>
        <v>no</v>
      </c>
      <c r="I15" s="6" t="n">
        <f aca="false">MIN(MIN(Minors!B15:LS15),-MAX(Minors!B15:LS15))*0+SMALL(Minors!B15:LS15,COUNTIF(Minors!B15:LS15,"&lt;0")+E15+1)</f>
        <v>4320</v>
      </c>
      <c r="J15" s="6" t="n">
        <f aca="false">MAX(MAX(Minors!B15:LS15),-MIN(Minors!B15:LS15))</f>
        <v>15127401829</v>
      </c>
    </row>
    <row r="16" customFormat="false" ht="15" hidden="false" customHeight="true" outlineLevel="0" collapsed="false">
      <c r="A16" s="6" t="n">
        <v>15</v>
      </c>
      <c r="B16" s="6" t="s">
        <v>82</v>
      </c>
      <c r="C16" s="6" t="n">
        <f aca="false">COUNTIF(Minors!B16:LS16,"&gt;0")</f>
        <v>149</v>
      </c>
      <c r="D16" s="6" t="n">
        <f aca="false">COUNTIF(Minors!B16:LS16,"&lt;0")</f>
        <v>181</v>
      </c>
      <c r="E16" s="6" t="n">
        <f aca="false">COUNTIF(Minors!B16:LS16,0)</f>
        <v>0</v>
      </c>
      <c r="F16" s="6" t="n">
        <f aca="false">C16+D16</f>
        <v>330</v>
      </c>
      <c r="G16" s="6" t="n">
        <f aca="false">MIN(C16,D16)</f>
        <v>149</v>
      </c>
      <c r="H16" s="6" t="str">
        <f aca="false">IF(F16=0,"rank&lt;4",IF(G16=0,"YES","no"))</f>
        <v>no</v>
      </c>
      <c r="I16" s="6" t="n">
        <f aca="false">MIN(MIN(Minors!B16:LS16),-MAX(Minors!B16:LS16))*0+SMALL(Minors!B16:LS16,COUNTIF(Minors!B16:LS16,"&lt;0")+E16+1)</f>
        <v>2716</v>
      </c>
      <c r="J16" s="6" t="n">
        <f aca="false">MAX(MAX(Minors!B16:LS16),-MIN(Minors!B16:LS16))</f>
        <v>15196980152</v>
      </c>
    </row>
    <row r="17" customFormat="false" ht="15" hidden="false" customHeight="true" outlineLevel="0" collapsed="false">
      <c r="A17" s="6" t="n">
        <v>16</v>
      </c>
      <c r="B17" s="6" t="s">
        <v>83</v>
      </c>
      <c r="C17" s="6" t="n">
        <f aca="false">COUNTIF(Minors!B17:LS17,"&gt;0")</f>
        <v>176</v>
      </c>
      <c r="D17" s="6" t="n">
        <f aca="false">COUNTIF(Minors!B17:LS17,"&lt;0")</f>
        <v>154</v>
      </c>
      <c r="E17" s="6" t="n">
        <f aca="false">COUNTIF(Minors!B17:LS17,0)</f>
        <v>0</v>
      </c>
      <c r="F17" s="6" t="n">
        <f aca="false">C17+D17</f>
        <v>330</v>
      </c>
      <c r="G17" s="6" t="n">
        <f aca="false">MIN(C17,D17)</f>
        <v>154</v>
      </c>
      <c r="H17" s="6" t="str">
        <f aca="false">IF(F17=0,"rank&lt;4",IF(G17=0,"YES","no"))</f>
        <v>no</v>
      </c>
      <c r="I17" s="6" t="n">
        <f aca="false">MIN(MIN(Minors!B17:LS17),-MAX(Minors!B17:LS17))*0+SMALL(Minors!B17:LS17,COUNTIF(Minors!B17:LS17,"&lt;0")+E17+1)</f>
        <v>146</v>
      </c>
      <c r="J17" s="6" t="n">
        <f aca="false">MAX(MAX(Minors!B17:LS17),-MIN(Minors!B17:LS17))</f>
        <v>3462965818</v>
      </c>
    </row>
    <row r="18" customFormat="false" ht="15" hidden="false" customHeight="true" outlineLevel="0" collapsed="false">
      <c r="A18" s="6" t="n">
        <v>17</v>
      </c>
      <c r="B18" s="6" t="s">
        <v>84</v>
      </c>
      <c r="C18" s="6" t="n">
        <f aca="false">COUNTIF(Minors!B18:LS18,"&gt;0")</f>
        <v>151</v>
      </c>
      <c r="D18" s="6" t="n">
        <f aca="false">COUNTIF(Minors!B18:LS18,"&lt;0")</f>
        <v>179</v>
      </c>
      <c r="E18" s="6" t="n">
        <f aca="false">COUNTIF(Minors!B18:LS18,0)</f>
        <v>0</v>
      </c>
      <c r="F18" s="6" t="n">
        <f aca="false">C18+D18</f>
        <v>330</v>
      </c>
      <c r="G18" s="6" t="n">
        <f aca="false">MIN(C18,D18)</f>
        <v>151</v>
      </c>
      <c r="H18" s="6" t="str">
        <f aca="false">IF(F18=0,"rank&lt;4",IF(G18=0,"YES","no"))</f>
        <v>no</v>
      </c>
      <c r="I18" s="6" t="n">
        <f aca="false">MIN(MIN(Minors!B18:LS18),-MAX(Minors!B18:LS18))*0+SMALL(Minors!B18:LS18,COUNTIF(Minors!B18:LS18,"&lt;0")+E18+1)</f>
        <v>1014</v>
      </c>
      <c r="J18" s="6" t="n">
        <f aca="false">MAX(MAX(Minors!B18:LS18),-MIN(Minors!B18:LS18))</f>
        <v>3902163482</v>
      </c>
    </row>
    <row r="19" customFormat="false" ht="15" hidden="false" customHeight="true" outlineLevel="0" collapsed="false">
      <c r="A19" s="6" t="n">
        <v>18</v>
      </c>
      <c r="B19" s="6" t="s">
        <v>85</v>
      </c>
      <c r="C19" s="6" t="n">
        <f aca="false">COUNTIF(Minors!B19:LS19,"&gt;0")</f>
        <v>151</v>
      </c>
      <c r="D19" s="6" t="n">
        <f aca="false">COUNTIF(Minors!B19:LS19,"&lt;0")</f>
        <v>179</v>
      </c>
      <c r="E19" s="6" t="n">
        <f aca="false">COUNTIF(Minors!B19:LS19,0)</f>
        <v>0</v>
      </c>
      <c r="F19" s="6" t="n">
        <f aca="false">C19+D19</f>
        <v>330</v>
      </c>
      <c r="G19" s="6" t="n">
        <f aca="false">MIN(C19,D19)</f>
        <v>151</v>
      </c>
      <c r="H19" s="6" t="str">
        <f aca="false">IF(F19=0,"rank&lt;4",IF(G19=0,"YES","no"))</f>
        <v>no</v>
      </c>
      <c r="I19" s="6" t="n">
        <f aca="false">MIN(MIN(Minors!B19:LS19),-MAX(Minors!B19:LS19))*0+SMALL(Minors!B19:LS19,COUNTIF(Minors!B19:LS19,"&lt;0")+E19+1)</f>
        <v>2656</v>
      </c>
      <c r="J19" s="6" t="n">
        <f aca="false">MAX(MAX(Minors!B19:LS19),-MIN(Minors!B19:LS19))</f>
        <v>4425272305</v>
      </c>
    </row>
    <row r="20" customFormat="false" ht="15" hidden="false" customHeight="true" outlineLevel="0" collapsed="false">
      <c r="A20" s="6" t="n">
        <v>19</v>
      </c>
      <c r="B20" s="6" t="s">
        <v>86</v>
      </c>
      <c r="C20" s="6" t="n">
        <f aca="false">COUNTIF(Minors!B20:LS20,"&gt;0")</f>
        <v>152</v>
      </c>
      <c r="D20" s="6" t="n">
        <f aca="false">COUNTIF(Minors!B20:LS20,"&lt;0")</f>
        <v>178</v>
      </c>
      <c r="E20" s="6" t="n">
        <f aca="false">COUNTIF(Minors!B20:LS20,0)</f>
        <v>0</v>
      </c>
      <c r="F20" s="6" t="n">
        <f aca="false">C20+D20</f>
        <v>330</v>
      </c>
      <c r="G20" s="6" t="n">
        <f aca="false">MIN(C20,D20)</f>
        <v>152</v>
      </c>
      <c r="H20" s="6" t="str">
        <f aca="false">IF(F20=0,"rank&lt;4",IF(G20=0,"YES","no"))</f>
        <v>no</v>
      </c>
      <c r="I20" s="6" t="n">
        <f aca="false">MIN(MIN(Minors!B20:LS20),-MAX(Minors!B20:LS20))*0+SMALL(Minors!B20:LS20,COUNTIF(Minors!B20:LS20,"&lt;0")+E20+1)</f>
        <v>417</v>
      </c>
      <c r="J20" s="6" t="n">
        <f aca="false">MAX(MAX(Minors!B20:LS20),-MIN(Minors!B20:LS20))</f>
        <v>9601985185</v>
      </c>
    </row>
    <row r="21" customFormat="false" ht="15" hidden="false" customHeight="true" outlineLevel="0" collapsed="false">
      <c r="A21" s="6" t="n">
        <v>20</v>
      </c>
      <c r="B21" s="6" t="s">
        <v>87</v>
      </c>
      <c r="C21" s="6" t="n">
        <f aca="false">COUNTIF(Minors!B21:LS21,"&gt;0")</f>
        <v>152</v>
      </c>
      <c r="D21" s="6" t="n">
        <f aca="false">COUNTIF(Minors!B21:LS21,"&lt;0")</f>
        <v>178</v>
      </c>
      <c r="E21" s="6" t="n">
        <f aca="false">COUNTIF(Minors!B21:LS21,0)</f>
        <v>0</v>
      </c>
      <c r="F21" s="6" t="n">
        <f aca="false">C21+D21</f>
        <v>330</v>
      </c>
      <c r="G21" s="6" t="n">
        <f aca="false">MIN(C21,D21)</f>
        <v>152</v>
      </c>
      <c r="H21" s="6" t="str">
        <f aca="false">IF(F21=0,"rank&lt;4",IF(G21=0,"YES","no"))</f>
        <v>no</v>
      </c>
      <c r="I21" s="6" t="n">
        <f aca="false">MIN(MIN(Minors!B21:LS21),-MAX(Minors!B21:LS21))*0+SMALL(Minors!B21:LS21,COUNTIF(Minors!B21:LS21,"&lt;0")+E21+1)</f>
        <v>591</v>
      </c>
      <c r="J21" s="6" t="n">
        <f aca="false">MAX(MAX(Minors!B21:LS21),-MIN(Minors!B21:LS21))</f>
        <v>9655735466</v>
      </c>
    </row>
    <row r="22" customFormat="false" ht="15" hidden="false" customHeight="true" outlineLevel="0" collapsed="false">
      <c r="A22" s="6" t="n">
        <v>21</v>
      </c>
      <c r="B22" s="6" t="s">
        <v>88</v>
      </c>
      <c r="C22" s="6" t="n">
        <f aca="false">COUNTIF(Minors!B22:LS22,"&gt;0")</f>
        <v>166</v>
      </c>
      <c r="D22" s="6" t="n">
        <f aca="false">COUNTIF(Minors!B22:LS22,"&lt;0")</f>
        <v>164</v>
      </c>
      <c r="E22" s="6" t="n">
        <f aca="false">COUNTIF(Minors!B22:LS22,0)</f>
        <v>0</v>
      </c>
      <c r="F22" s="6" t="n">
        <f aca="false">C22+D22</f>
        <v>330</v>
      </c>
      <c r="G22" s="6" t="n">
        <f aca="false">MIN(C22,D22)</f>
        <v>164</v>
      </c>
      <c r="H22" s="6" t="str">
        <f aca="false">IF(F22=0,"rank&lt;4",IF(G22=0,"YES","no"))</f>
        <v>no</v>
      </c>
      <c r="I22" s="6" t="n">
        <f aca="false">MIN(MIN(Minors!B22:LS22),-MAX(Minors!B22:LS22))*0+SMALL(Minors!B22:LS22,COUNTIF(Minors!B22:LS22,"&lt;0")+E22+1)</f>
        <v>37500</v>
      </c>
      <c r="J22" s="6" t="n">
        <f aca="false">MAX(MAX(Minors!B22:LS22),-MIN(Minors!B22:LS22))</f>
        <v>17441910456</v>
      </c>
    </row>
    <row r="23" customFormat="false" ht="15" hidden="false" customHeight="true" outlineLevel="0" collapsed="false">
      <c r="A23" s="6" t="n">
        <v>22</v>
      </c>
      <c r="B23" s="6" t="s">
        <v>89</v>
      </c>
      <c r="C23" s="6" t="n">
        <f aca="false">COUNTIF(Minors!B23:LS23,"&gt;0")</f>
        <v>176</v>
      </c>
      <c r="D23" s="6" t="n">
        <f aca="false">COUNTIF(Minors!B23:LS23,"&lt;0")</f>
        <v>154</v>
      </c>
      <c r="E23" s="6" t="n">
        <f aca="false">COUNTIF(Minors!B23:LS23,0)</f>
        <v>0</v>
      </c>
      <c r="F23" s="6" t="n">
        <f aca="false">C23+D23</f>
        <v>330</v>
      </c>
      <c r="G23" s="6" t="n">
        <f aca="false">MIN(C23,D23)</f>
        <v>154</v>
      </c>
      <c r="H23" s="6" t="str">
        <f aca="false">IF(F23=0,"rank&lt;4",IF(G23=0,"YES","no"))</f>
        <v>no</v>
      </c>
      <c r="I23" s="6" t="n">
        <f aca="false">MIN(MIN(Minors!B23:LS23),-MAX(Minors!B23:LS23))*0+SMALL(Minors!B23:LS23,COUNTIF(Minors!B23:LS23,"&lt;0")+E23+1)</f>
        <v>844</v>
      </c>
      <c r="J23" s="6" t="n">
        <f aca="false">MAX(MAX(Minors!B23:LS23),-MIN(Minors!B23:LS23))</f>
        <v>1551910506</v>
      </c>
    </row>
    <row r="24" customFormat="false" ht="15" hidden="false" customHeight="true" outlineLevel="0" collapsed="false">
      <c r="A24" s="6" t="n">
        <v>23</v>
      </c>
      <c r="B24" s="6" t="s">
        <v>90</v>
      </c>
      <c r="C24" s="6" t="n">
        <f aca="false">COUNTIF(Minors!B24:LS24,"&gt;0")</f>
        <v>174</v>
      </c>
      <c r="D24" s="6" t="n">
        <f aca="false">COUNTIF(Minors!B24:LS24,"&lt;0")</f>
        <v>156</v>
      </c>
      <c r="E24" s="6" t="n">
        <f aca="false">COUNTIF(Minors!B24:LS24,0)</f>
        <v>0</v>
      </c>
      <c r="F24" s="6" t="n">
        <f aca="false">C24+D24</f>
        <v>330</v>
      </c>
      <c r="G24" s="6" t="n">
        <f aca="false">MIN(C24,D24)</f>
        <v>156</v>
      </c>
      <c r="H24" s="6" t="str">
        <f aca="false">IF(F24=0,"rank&lt;4",IF(G24=0,"YES","no"))</f>
        <v>no</v>
      </c>
      <c r="I24" s="6" t="n">
        <f aca="false">MIN(MIN(Minors!B24:LS24),-MAX(Minors!B24:LS24))*0+SMALL(Minors!B24:LS24,COUNTIF(Minors!B24:LS24,"&lt;0")+E24+1)</f>
        <v>5247</v>
      </c>
      <c r="J24" s="6" t="n">
        <f aca="false">MAX(MAX(Minors!B24:LS24),-MIN(Minors!B24:LS24))</f>
        <v>1620851346</v>
      </c>
    </row>
    <row r="25" customFormat="false" ht="15" hidden="false" customHeight="true" outlineLevel="0" collapsed="false">
      <c r="A25" s="6" t="n">
        <v>24</v>
      </c>
      <c r="B25" s="6" t="s">
        <v>91</v>
      </c>
      <c r="C25" s="6" t="n">
        <f aca="false">COUNTIF(Minors!B25:LS25,"&gt;0")</f>
        <v>164</v>
      </c>
      <c r="D25" s="6" t="n">
        <f aca="false">COUNTIF(Minors!B25:LS25,"&lt;0")</f>
        <v>166</v>
      </c>
      <c r="E25" s="6" t="n">
        <f aca="false">COUNTIF(Minors!B25:LS25,0)</f>
        <v>0</v>
      </c>
      <c r="F25" s="6" t="n">
        <f aca="false">C25+D25</f>
        <v>330</v>
      </c>
      <c r="G25" s="6" t="n">
        <f aca="false">MIN(C25,D25)</f>
        <v>164</v>
      </c>
      <c r="H25" s="6" t="str">
        <f aca="false">IF(F25=0,"rank&lt;4",IF(G25=0,"YES","no"))</f>
        <v>no</v>
      </c>
      <c r="I25" s="6" t="n">
        <f aca="false">MIN(MIN(Minors!B25:LS25),-MAX(Minors!B25:LS25))*0+SMALL(Minors!B25:LS25,COUNTIF(Minors!B25:LS25,"&lt;0")+E25+1)</f>
        <v>1512</v>
      </c>
      <c r="J25" s="6" t="n">
        <f aca="false">MAX(MAX(Minors!B25:LS25),-MIN(Minors!B25:LS25))</f>
        <v>1652125786</v>
      </c>
    </row>
    <row r="26" customFormat="false" ht="15" hidden="false" customHeight="true" outlineLevel="0" collapsed="false">
      <c r="A26" s="6" t="n">
        <v>25</v>
      </c>
      <c r="B26" s="6" t="s">
        <v>92</v>
      </c>
      <c r="C26" s="6" t="n">
        <f aca="false">COUNTIF(Minors!B26:LS26,"&gt;0")</f>
        <v>156</v>
      </c>
      <c r="D26" s="6" t="n">
        <f aca="false">COUNTIF(Minors!B26:LS26,"&lt;0")</f>
        <v>174</v>
      </c>
      <c r="E26" s="6" t="n">
        <f aca="false">COUNTIF(Minors!B26:LS26,0)</f>
        <v>0</v>
      </c>
      <c r="F26" s="6" t="n">
        <f aca="false">C26+D26</f>
        <v>330</v>
      </c>
      <c r="G26" s="6" t="n">
        <f aca="false">MIN(C26,D26)</f>
        <v>156</v>
      </c>
      <c r="H26" s="6" t="str">
        <f aca="false">IF(F26=0,"rank&lt;4",IF(G26=0,"YES","no"))</f>
        <v>no</v>
      </c>
      <c r="I26" s="6" t="n">
        <f aca="false">MIN(MIN(Minors!B26:LS26),-MAX(Minors!B26:LS26))*0+SMALL(Minors!B26:LS26,COUNTIF(Minors!B26:LS26,"&lt;0")+E26+1)</f>
        <v>2028</v>
      </c>
      <c r="J26" s="6" t="n">
        <f aca="false">MAX(MAX(Minors!B26:LS26),-MIN(Minors!B26:LS26))</f>
        <v>4327484544</v>
      </c>
    </row>
    <row r="27" customFormat="false" ht="15" hidden="false" customHeight="true" outlineLevel="0" collapsed="false">
      <c r="A27" s="6" t="n">
        <v>26</v>
      </c>
      <c r="B27" s="6" t="s">
        <v>93</v>
      </c>
      <c r="C27" s="6" t="n">
        <f aca="false">COUNTIF(Minors!B27:LS27,"&gt;0")</f>
        <v>158</v>
      </c>
      <c r="D27" s="6" t="n">
        <f aca="false">COUNTIF(Minors!B27:LS27,"&lt;0")</f>
        <v>172</v>
      </c>
      <c r="E27" s="6" t="n">
        <f aca="false">COUNTIF(Minors!B27:LS27,0)</f>
        <v>0</v>
      </c>
      <c r="F27" s="6" t="n">
        <f aca="false">C27+D27</f>
        <v>330</v>
      </c>
      <c r="G27" s="6" t="n">
        <f aca="false">MIN(C27,D27)</f>
        <v>158</v>
      </c>
      <c r="H27" s="6" t="str">
        <f aca="false">IF(F27=0,"rank&lt;4",IF(G27=0,"YES","no"))</f>
        <v>no</v>
      </c>
      <c r="I27" s="6" t="n">
        <f aca="false">MIN(MIN(Minors!B27:LS27),-MAX(Minors!B27:LS27))*0+SMALL(Minors!B27:LS27,COUNTIF(Minors!B27:LS27,"&lt;0")+E27+1)</f>
        <v>184</v>
      </c>
      <c r="J27" s="6" t="n">
        <f aca="false">MAX(MAX(Minors!B27:LS27),-MIN(Minors!B27:LS27))</f>
        <v>5352867744</v>
      </c>
    </row>
    <row r="28" customFormat="false" ht="15" hidden="false" customHeight="true" outlineLevel="0" collapsed="false">
      <c r="A28" s="6" t="n">
        <v>27</v>
      </c>
      <c r="B28" s="6" t="s">
        <v>94</v>
      </c>
      <c r="C28" s="6" t="n">
        <f aca="false">COUNTIF(Minors!B28:LS28,"&gt;0")</f>
        <v>160</v>
      </c>
      <c r="D28" s="6" t="n">
        <f aca="false">COUNTIF(Minors!B28:LS28,"&lt;0")</f>
        <v>170</v>
      </c>
      <c r="E28" s="6" t="n">
        <f aca="false">COUNTIF(Minors!B28:LS28,0)</f>
        <v>0</v>
      </c>
      <c r="F28" s="6" t="n">
        <f aca="false">C28+D28</f>
        <v>330</v>
      </c>
      <c r="G28" s="6" t="n">
        <f aca="false">MIN(C28,D28)</f>
        <v>160</v>
      </c>
      <c r="H28" s="6" t="str">
        <f aca="false">IF(F28=0,"rank&lt;4",IF(G28=0,"YES","no"))</f>
        <v>no</v>
      </c>
      <c r="I28" s="6" t="n">
        <f aca="false">MIN(MIN(Minors!B28:LS28),-MAX(Minors!B28:LS28))*0+SMALL(Minors!B28:LS28,COUNTIF(Minors!B28:LS28,"&lt;0")+E28+1)</f>
        <v>1793</v>
      </c>
      <c r="J28" s="6" t="n">
        <f aca="false">MAX(MAX(Minors!B28:LS28),-MIN(Minors!B28:LS28))</f>
        <v>6529888266</v>
      </c>
    </row>
    <row r="29" customFormat="false" ht="15" hidden="false" customHeight="true" outlineLevel="0" collapsed="false">
      <c r="A29" s="6" t="n">
        <v>28</v>
      </c>
      <c r="B29" s="6" t="s">
        <v>95</v>
      </c>
      <c r="C29" s="6" t="n">
        <f aca="false">COUNTIF(Minors!B29:LS29,"&gt;0")</f>
        <v>167</v>
      </c>
      <c r="D29" s="6" t="n">
        <f aca="false">COUNTIF(Minors!B29:LS29,"&lt;0")</f>
        <v>163</v>
      </c>
      <c r="E29" s="6" t="n">
        <f aca="false">COUNTIF(Minors!B29:LS29,0)</f>
        <v>0</v>
      </c>
      <c r="F29" s="6" t="n">
        <f aca="false">C29+D29</f>
        <v>330</v>
      </c>
      <c r="G29" s="6" t="n">
        <f aca="false">MIN(C29,D29)</f>
        <v>163</v>
      </c>
      <c r="H29" s="6" t="str">
        <f aca="false">IF(F29=0,"rank&lt;4",IF(G29=0,"YES","no"))</f>
        <v>no</v>
      </c>
      <c r="I29" s="6" t="n">
        <f aca="false">MIN(MIN(Minors!B29:LS29),-MAX(Minors!B29:LS29))*0+SMALL(Minors!B29:LS29,COUNTIF(Minors!B29:LS29,"&lt;0")+E29+1)</f>
        <v>420</v>
      </c>
      <c r="J29" s="6" t="n">
        <f aca="false">MAX(MAX(Minors!B29:LS29),-MIN(Minors!B29:LS29))</f>
        <v>2799120393</v>
      </c>
    </row>
    <row r="30" customFormat="false" ht="15" hidden="false" customHeight="true" outlineLevel="0" collapsed="false">
      <c r="A30" s="6" t="n">
        <v>29</v>
      </c>
      <c r="B30" s="6" t="s">
        <v>96</v>
      </c>
      <c r="C30" s="6" t="n">
        <f aca="false">COUNTIF(Minors!B30:LS30,"&gt;0")</f>
        <v>153</v>
      </c>
      <c r="D30" s="6" t="n">
        <f aca="false">COUNTIF(Minors!B30:LS30,"&lt;0")</f>
        <v>177</v>
      </c>
      <c r="E30" s="6" t="n">
        <f aca="false">COUNTIF(Minors!B30:LS30,0)</f>
        <v>0</v>
      </c>
      <c r="F30" s="6" t="n">
        <f aca="false">C30+D30</f>
        <v>330</v>
      </c>
      <c r="G30" s="6" t="n">
        <f aca="false">MIN(C30,D30)</f>
        <v>153</v>
      </c>
      <c r="H30" s="6" t="str">
        <f aca="false">IF(F30=0,"rank&lt;4",IF(G30=0,"YES","no"))</f>
        <v>no</v>
      </c>
      <c r="I30" s="6" t="n">
        <f aca="false">MIN(MIN(Minors!B30:LS30),-MAX(Minors!B30:LS30))*0+SMALL(Minors!B30:LS30,COUNTIF(Minors!B30:LS30,"&lt;0")+E30+1)</f>
        <v>2168</v>
      </c>
      <c r="J30" s="6" t="n">
        <f aca="false">MAX(MAX(Minors!B30:LS30),-MIN(Minors!B30:LS30))</f>
        <v>9526913055</v>
      </c>
    </row>
    <row r="31" customFormat="false" ht="15" hidden="false" customHeight="true" outlineLevel="0" collapsed="false">
      <c r="A31" s="6" t="n">
        <v>30</v>
      </c>
      <c r="B31" s="6" t="s">
        <v>97</v>
      </c>
      <c r="C31" s="6" t="n">
        <f aca="false">COUNTIF(Minors!B31:LS31,"&gt;0")</f>
        <v>155</v>
      </c>
      <c r="D31" s="6" t="n">
        <f aca="false">COUNTIF(Minors!B31:LS31,"&lt;0")</f>
        <v>175</v>
      </c>
      <c r="E31" s="6" t="n">
        <f aca="false">COUNTIF(Minors!B31:LS31,0)</f>
        <v>0</v>
      </c>
      <c r="F31" s="6" t="n">
        <f aca="false">C31+D31</f>
        <v>330</v>
      </c>
      <c r="G31" s="6" t="n">
        <f aca="false">MIN(C31,D31)</f>
        <v>155</v>
      </c>
      <c r="H31" s="6" t="str">
        <f aca="false">IF(F31=0,"rank&lt;4",IF(G31=0,"YES","no"))</f>
        <v>no</v>
      </c>
      <c r="I31" s="6" t="n">
        <f aca="false">MIN(MIN(Minors!B31:LS31),-MAX(Minors!B31:LS31))*0+SMALL(Minors!B31:LS31,COUNTIF(Minors!B31:LS31,"&lt;0")+E31+1)</f>
        <v>353</v>
      </c>
      <c r="J31" s="6" t="n">
        <f aca="false">MAX(MAX(Minors!B31:LS31),-MIN(Minors!B31:LS31))</f>
        <v>11334546312</v>
      </c>
    </row>
    <row r="32" customFormat="false" ht="15" hidden="false" customHeight="true" outlineLevel="0" collapsed="false">
      <c r="A32" s="6" t="n">
        <v>31</v>
      </c>
      <c r="B32" s="6" t="s">
        <v>98</v>
      </c>
      <c r="C32" s="6" t="n">
        <f aca="false">COUNTIF(Minors!B32:LS32,"&gt;0")</f>
        <v>162</v>
      </c>
      <c r="D32" s="6" t="n">
        <f aca="false">COUNTIF(Minors!B32:LS32,"&lt;0")</f>
        <v>168</v>
      </c>
      <c r="E32" s="6" t="n">
        <f aca="false">COUNTIF(Minors!B32:LS32,0)</f>
        <v>0</v>
      </c>
      <c r="F32" s="6" t="n">
        <f aca="false">C32+D32</f>
        <v>330</v>
      </c>
      <c r="G32" s="6" t="n">
        <f aca="false">MIN(C32,D32)</f>
        <v>162</v>
      </c>
      <c r="H32" s="6" t="str">
        <f aca="false">IF(F32=0,"rank&lt;4",IF(G32=0,"YES","no"))</f>
        <v>no</v>
      </c>
      <c r="I32" s="6" t="n">
        <f aca="false">MIN(MIN(Minors!B32:LS32),-MAX(Minors!B32:LS32))*0+SMALL(Minors!B32:LS32,COUNTIF(Minors!B32:LS32,"&lt;0")+E32+1)</f>
        <v>868</v>
      </c>
      <c r="J32" s="6" t="n">
        <f aca="false">MAX(MAX(Minors!B32:LS32),-MIN(Minors!B32:LS32))</f>
        <v>2765811007</v>
      </c>
    </row>
    <row r="33" customFormat="false" ht="15" hidden="false" customHeight="true" outlineLevel="0" collapsed="false">
      <c r="A33" s="6" t="n">
        <v>32</v>
      </c>
      <c r="B33" s="6" t="s">
        <v>99</v>
      </c>
      <c r="C33" s="6" t="n">
        <f aca="false">COUNTIF(Minors!B33:LS33,"&gt;0")</f>
        <v>148</v>
      </c>
      <c r="D33" s="6" t="n">
        <f aca="false">COUNTIF(Minors!B33:LS33,"&lt;0")</f>
        <v>182</v>
      </c>
      <c r="E33" s="6" t="n">
        <f aca="false">COUNTIF(Minors!B33:LS33,0)</f>
        <v>0</v>
      </c>
      <c r="F33" s="6" t="n">
        <f aca="false">C33+D33</f>
        <v>330</v>
      </c>
      <c r="G33" s="6" t="n">
        <f aca="false">MIN(C33,D33)</f>
        <v>148</v>
      </c>
      <c r="H33" s="6" t="str">
        <f aca="false">IF(F33=0,"rank&lt;4",IF(G33=0,"YES","no"))</f>
        <v>no</v>
      </c>
      <c r="I33" s="6" t="n">
        <f aca="false">MIN(MIN(Minors!B33:LS33),-MAX(Minors!B33:LS33))*0+SMALL(Minors!B33:LS33,COUNTIF(Minors!B33:LS33,"&lt;0")+E33+1)</f>
        <v>1515</v>
      </c>
      <c r="J33" s="6" t="n">
        <f aca="false">MAX(MAX(Minors!B33:LS33),-MIN(Minors!B33:LS33))</f>
        <v>8258389029</v>
      </c>
    </row>
    <row r="34" customFormat="false" ht="15" hidden="false" customHeight="true" outlineLevel="0" collapsed="false">
      <c r="A34" s="6" t="n">
        <v>33</v>
      </c>
      <c r="B34" s="6" t="s">
        <v>100</v>
      </c>
      <c r="C34" s="6" t="n">
        <f aca="false">COUNTIF(Minors!B34:LS34,"&gt;0")</f>
        <v>151</v>
      </c>
      <c r="D34" s="6" t="n">
        <f aca="false">COUNTIF(Minors!B34:LS34,"&lt;0")</f>
        <v>179</v>
      </c>
      <c r="E34" s="6" t="n">
        <f aca="false">COUNTIF(Minors!B34:LS34,0)</f>
        <v>0</v>
      </c>
      <c r="F34" s="6" t="n">
        <f aca="false">C34+D34</f>
        <v>330</v>
      </c>
      <c r="G34" s="6" t="n">
        <f aca="false">MIN(C34,D34)</f>
        <v>151</v>
      </c>
      <c r="H34" s="6" t="str">
        <f aca="false">IF(F34=0,"rank&lt;4",IF(G34=0,"YES","no"))</f>
        <v>no</v>
      </c>
      <c r="I34" s="6" t="n">
        <f aca="false">MIN(MIN(Minors!B34:LS34),-MAX(Minors!B34:LS34))*0+SMALL(Minors!B34:LS34,COUNTIF(Minors!B34:LS34,"&lt;0")+E34+1)</f>
        <v>2909</v>
      </c>
      <c r="J34" s="6" t="n">
        <f aca="false">MAX(MAX(Minors!B34:LS34),-MIN(Minors!B34:LS34))</f>
        <v>11008467960</v>
      </c>
    </row>
    <row r="35" customFormat="false" ht="15" hidden="false" customHeight="true" outlineLevel="0" collapsed="false">
      <c r="A35" s="6" t="n">
        <v>34</v>
      </c>
      <c r="B35" s="6" t="s">
        <v>101</v>
      </c>
      <c r="C35" s="6" t="n">
        <f aca="false">COUNTIF(Minors!B35:LS35,"&gt;0")</f>
        <v>147</v>
      </c>
      <c r="D35" s="6" t="n">
        <f aca="false">COUNTIF(Minors!B35:LS35,"&lt;0")</f>
        <v>183</v>
      </c>
      <c r="E35" s="6" t="n">
        <f aca="false">COUNTIF(Minors!B35:LS35,0)</f>
        <v>0</v>
      </c>
      <c r="F35" s="6" t="n">
        <f aca="false">C35+D35</f>
        <v>330</v>
      </c>
      <c r="G35" s="6" t="n">
        <f aca="false">MIN(C35,D35)</f>
        <v>147</v>
      </c>
      <c r="H35" s="6" t="str">
        <f aca="false">IF(F35=0,"rank&lt;4",IF(G35=0,"YES","no"))</f>
        <v>no</v>
      </c>
      <c r="I35" s="6" t="n">
        <f aca="false">MIN(MIN(Minors!B35:LS35),-MAX(Minors!B35:LS35))*0+SMALL(Minors!B35:LS35,COUNTIF(Minors!B35:LS35,"&lt;0")+E35+1)</f>
        <v>80</v>
      </c>
      <c r="J35" s="6" t="n">
        <f aca="false">MAX(MAX(Minors!B35:LS35),-MIN(Minors!B35:LS35))</f>
        <v>6442816818</v>
      </c>
    </row>
    <row r="36" customFormat="false" ht="15" hidden="false" customHeight="true" outlineLevel="0" collapsed="false">
      <c r="A36" s="6" t="n">
        <v>35</v>
      </c>
      <c r="B36" s="6" t="s">
        <v>102</v>
      </c>
      <c r="C36" s="6" t="n">
        <f aca="false">COUNTIF(Minors!B36:LS36,"&gt;0")</f>
        <v>157</v>
      </c>
      <c r="D36" s="6" t="n">
        <f aca="false">COUNTIF(Minors!B36:LS36,"&lt;0")</f>
        <v>173</v>
      </c>
      <c r="E36" s="6" t="n">
        <f aca="false">COUNTIF(Minors!B36:LS36,0)</f>
        <v>0</v>
      </c>
      <c r="F36" s="6" t="n">
        <f aca="false">C36+D36</f>
        <v>330</v>
      </c>
      <c r="G36" s="6" t="n">
        <f aca="false">MIN(C36,D36)</f>
        <v>157</v>
      </c>
      <c r="H36" s="6" t="str">
        <f aca="false">IF(F36=0,"rank&lt;4",IF(G36=0,"YES","no"))</f>
        <v>no</v>
      </c>
      <c r="I36" s="6" t="n">
        <f aca="false">MIN(MIN(Minors!B36:LS36),-MAX(Minors!B36:LS36))*0+SMALL(Minors!B36:LS36,COUNTIF(Minors!B36:LS36,"&lt;0")+E36+1)</f>
        <v>844</v>
      </c>
      <c r="J36" s="6" t="n">
        <f aca="false">MAX(MAX(Minors!B36:LS36),-MIN(Minors!B36:LS36))</f>
        <v>6465980680</v>
      </c>
    </row>
    <row r="37" customFormat="false" ht="15" hidden="false" customHeight="true" outlineLevel="0" collapsed="false">
      <c r="A37" s="6" t="n">
        <v>36</v>
      </c>
      <c r="B37" s="6" t="s">
        <v>103</v>
      </c>
      <c r="C37" s="6" t="n">
        <f aca="false">COUNTIF(Minors!B37:LS37,"&gt;0")</f>
        <v>169</v>
      </c>
      <c r="D37" s="6" t="n">
        <f aca="false">COUNTIF(Minors!B37:LS37,"&lt;0")</f>
        <v>161</v>
      </c>
      <c r="E37" s="6" t="n">
        <f aca="false">COUNTIF(Minors!B37:LS37,0)</f>
        <v>0</v>
      </c>
      <c r="F37" s="6" t="n">
        <f aca="false">C37+D37</f>
        <v>330</v>
      </c>
      <c r="G37" s="6" t="n">
        <f aca="false">MIN(C37,D37)</f>
        <v>161</v>
      </c>
      <c r="H37" s="6" t="str">
        <f aca="false">IF(F37=0,"rank&lt;4",IF(G37=0,"YES","no"))</f>
        <v>no</v>
      </c>
      <c r="I37" s="6" t="n">
        <f aca="false">MIN(MIN(Minors!B37:LS37),-MAX(Minors!B37:LS37))*0+SMALL(Minors!B37:LS37,COUNTIF(Minors!B37:LS37,"&lt;0")+E37+1)</f>
        <v>1205</v>
      </c>
      <c r="J37" s="6" t="n">
        <f aca="false">MAX(MAX(Minors!B37:LS37),-MIN(Minors!B37:LS37))</f>
        <v>8546914176</v>
      </c>
    </row>
    <row r="38" customFormat="false" ht="15" hidden="false" customHeight="true" outlineLevel="0" collapsed="false">
      <c r="A38" s="6" t="n">
        <v>37</v>
      </c>
      <c r="B38" s="6" t="s">
        <v>104</v>
      </c>
      <c r="C38" s="6" t="n">
        <f aca="false">COUNTIF(Minors!B38:LS38,"&gt;0")</f>
        <v>157</v>
      </c>
      <c r="D38" s="6" t="n">
        <f aca="false">COUNTIF(Minors!B38:LS38,"&lt;0")</f>
        <v>173</v>
      </c>
      <c r="E38" s="6" t="n">
        <f aca="false">COUNTIF(Minors!B38:LS38,0)</f>
        <v>0</v>
      </c>
      <c r="F38" s="6" t="n">
        <f aca="false">C38+D38</f>
        <v>330</v>
      </c>
      <c r="G38" s="6" t="n">
        <f aca="false">MIN(C38,D38)</f>
        <v>157</v>
      </c>
      <c r="H38" s="6" t="str">
        <f aca="false">IF(F38=0,"rank&lt;4",IF(G38=0,"YES","no"))</f>
        <v>no</v>
      </c>
      <c r="I38" s="6" t="n">
        <f aca="false">MIN(MIN(Minors!B38:LS38),-MAX(Minors!B38:LS38))*0+SMALL(Minors!B38:LS38,COUNTIF(Minors!B38:LS38,"&lt;0")+E38+1)</f>
        <v>746</v>
      </c>
      <c r="J38" s="6" t="n">
        <f aca="false">MAX(MAX(Minors!B38:LS38),-MIN(Minors!B38:LS38))</f>
        <v>1036038060</v>
      </c>
    </row>
    <row r="39" customFormat="false" ht="15" hidden="false" customHeight="true" outlineLevel="0" collapsed="false">
      <c r="A39" s="6" t="n">
        <v>38</v>
      </c>
      <c r="B39" s="6" t="s">
        <v>105</v>
      </c>
      <c r="C39" s="6" t="n">
        <f aca="false">COUNTIF(Minors!B39:LS39,"&gt;0")</f>
        <v>160</v>
      </c>
      <c r="D39" s="6" t="n">
        <f aca="false">COUNTIF(Minors!B39:LS39,"&lt;0")</f>
        <v>170</v>
      </c>
      <c r="E39" s="6" t="n">
        <f aca="false">COUNTIF(Minors!B39:LS39,0)</f>
        <v>0</v>
      </c>
      <c r="F39" s="6" t="n">
        <f aca="false">C39+D39</f>
        <v>330</v>
      </c>
      <c r="G39" s="6" t="n">
        <f aca="false">MIN(C39,D39)</f>
        <v>160</v>
      </c>
      <c r="H39" s="6" t="str">
        <f aca="false">IF(F39=0,"rank&lt;4",IF(G39=0,"YES","no"))</f>
        <v>no</v>
      </c>
      <c r="I39" s="6" t="n">
        <f aca="false">MIN(MIN(Minors!B39:LS39),-MAX(Minors!B39:LS39))*0+SMALL(Minors!B39:LS39,COUNTIF(Minors!B39:LS39,"&lt;0")+E39+1)</f>
        <v>179</v>
      </c>
      <c r="J39" s="6" t="n">
        <f aca="false">MAX(MAX(Minors!B39:LS39),-MIN(Minors!B39:LS39))</f>
        <v>1216974086</v>
      </c>
    </row>
    <row r="40" customFormat="false" ht="15" hidden="false" customHeight="true" outlineLevel="0" collapsed="false">
      <c r="A40" s="6" t="n">
        <v>39</v>
      </c>
      <c r="B40" s="6" t="s">
        <v>106</v>
      </c>
      <c r="C40" s="6" t="n">
        <f aca="false">COUNTIF(Minors!B40:LS40,"&gt;0")</f>
        <v>177</v>
      </c>
      <c r="D40" s="6" t="n">
        <f aca="false">COUNTIF(Minors!B40:LS40,"&lt;0")</f>
        <v>153</v>
      </c>
      <c r="E40" s="6" t="n">
        <f aca="false">COUNTIF(Minors!B40:LS40,0)</f>
        <v>0</v>
      </c>
      <c r="F40" s="6" t="n">
        <f aca="false">C40+D40</f>
        <v>330</v>
      </c>
      <c r="G40" s="6" t="n">
        <f aca="false">MIN(C40,D40)</f>
        <v>153</v>
      </c>
      <c r="H40" s="6" t="str">
        <f aca="false">IF(F40=0,"rank&lt;4",IF(G40=0,"YES","no"))</f>
        <v>no</v>
      </c>
      <c r="I40" s="6" t="n">
        <f aca="false">MIN(MIN(Minors!B40:LS40),-MAX(Minors!B40:LS40))*0+SMALL(Minors!B40:LS40,COUNTIF(Minors!B40:LS40,"&lt;0")+E40+1)</f>
        <v>216</v>
      </c>
      <c r="J40" s="6" t="n">
        <f aca="false">MAX(MAX(Minors!B40:LS40),-MIN(Minors!B40:LS40))</f>
        <v>1816180022</v>
      </c>
    </row>
    <row r="41" customFormat="false" ht="15" hidden="false" customHeight="true" outlineLevel="0" collapsed="false">
      <c r="A41" s="6" t="n">
        <v>40</v>
      </c>
      <c r="B41" s="6" t="s">
        <v>107</v>
      </c>
      <c r="C41" s="6" t="n">
        <f aca="false">COUNTIF(Minors!B41:LS41,"&gt;0")</f>
        <v>178</v>
      </c>
      <c r="D41" s="6" t="n">
        <f aca="false">COUNTIF(Minors!B41:LS41,"&lt;0")</f>
        <v>152</v>
      </c>
      <c r="E41" s="6" t="n">
        <f aca="false">COUNTIF(Minors!B41:LS41,0)</f>
        <v>0</v>
      </c>
      <c r="F41" s="6" t="n">
        <f aca="false">C41+D41</f>
        <v>330</v>
      </c>
      <c r="G41" s="6" t="n">
        <f aca="false">MIN(C41,D41)</f>
        <v>152</v>
      </c>
      <c r="H41" s="6" t="str">
        <f aca="false">IF(F41=0,"rank&lt;4",IF(G41=0,"YES","no"))</f>
        <v>no</v>
      </c>
      <c r="I41" s="6" t="n">
        <f aca="false">MIN(MIN(Minors!B41:LS41),-MAX(Minors!B41:LS41))*0+SMALL(Minors!B41:LS41,COUNTIF(Minors!B41:LS41,"&lt;0")+E41+1)</f>
        <v>410</v>
      </c>
      <c r="J41" s="6" t="n">
        <f aca="false">MAX(MAX(Minors!B41:LS41),-MIN(Minors!B41:LS41))</f>
        <v>2984745224</v>
      </c>
    </row>
    <row r="42" customFormat="false" ht="15" hidden="false" customHeight="true" outlineLevel="0" collapsed="false">
      <c r="A42" s="6" t="n">
        <v>41</v>
      </c>
      <c r="B42" s="6" t="s">
        <v>108</v>
      </c>
      <c r="C42" s="6" t="n">
        <f aca="false">COUNTIF(Minors!B42:LS42,"&gt;0")</f>
        <v>151</v>
      </c>
      <c r="D42" s="6" t="n">
        <f aca="false">COUNTIF(Minors!B42:LS42,"&lt;0")</f>
        <v>179</v>
      </c>
      <c r="E42" s="6" t="n">
        <f aca="false">COUNTIF(Minors!B42:LS42,0)</f>
        <v>0</v>
      </c>
      <c r="F42" s="6" t="n">
        <f aca="false">C42+D42</f>
        <v>330</v>
      </c>
      <c r="G42" s="6" t="n">
        <f aca="false">MIN(C42,D42)</f>
        <v>151</v>
      </c>
      <c r="H42" s="6" t="str">
        <f aca="false">IF(F42=0,"rank&lt;4",IF(G42=0,"YES","no"))</f>
        <v>no</v>
      </c>
      <c r="I42" s="6" t="n">
        <f aca="false">MIN(MIN(Minors!B42:LS42),-MAX(Minors!B42:LS42))*0+SMALL(Minors!B42:LS42,COUNTIF(Minors!B42:LS42,"&lt;0")+E42+1)</f>
        <v>629</v>
      </c>
      <c r="J42" s="6" t="n">
        <f aca="false">MAX(MAX(Minors!B42:LS42),-MIN(Minors!B42:LS42))</f>
        <v>1204651194</v>
      </c>
    </row>
    <row r="43" customFormat="false" ht="15" hidden="false" customHeight="true" outlineLevel="0" collapsed="false">
      <c r="A43" s="6" t="n">
        <v>42</v>
      </c>
      <c r="B43" s="6" t="s">
        <v>109</v>
      </c>
      <c r="C43" s="6" t="n">
        <f aca="false">COUNTIF(Minors!B43:LS43,"&gt;0")</f>
        <v>183</v>
      </c>
      <c r="D43" s="6" t="n">
        <f aca="false">COUNTIF(Minors!B43:LS43,"&lt;0")</f>
        <v>147</v>
      </c>
      <c r="E43" s="6" t="n">
        <f aca="false">COUNTIF(Minors!B43:LS43,0)</f>
        <v>0</v>
      </c>
      <c r="F43" s="6" t="n">
        <f aca="false">C43+D43</f>
        <v>330</v>
      </c>
      <c r="G43" s="6" t="n">
        <f aca="false">MIN(C43,D43)</f>
        <v>147</v>
      </c>
      <c r="H43" s="6" t="str">
        <f aca="false">IF(F43=0,"rank&lt;4",IF(G43=0,"YES","no"))</f>
        <v>no</v>
      </c>
      <c r="I43" s="6" t="n">
        <f aca="false">MIN(MIN(Minors!B43:LS43),-MAX(Minors!B43:LS43))*0+SMALL(Minors!B43:LS43,COUNTIF(Minors!B43:LS43,"&lt;0")+E43+1)</f>
        <v>6697</v>
      </c>
      <c r="J43" s="6" t="n">
        <f aca="false">MAX(MAX(Minors!B43:LS43),-MIN(Minors!B43:LS43))</f>
        <v>3057135030</v>
      </c>
    </row>
    <row r="44" customFormat="false" ht="15" hidden="false" customHeight="true" outlineLevel="0" collapsed="false">
      <c r="A44" s="6" t="n">
        <v>43</v>
      </c>
      <c r="B44" s="6" t="s">
        <v>110</v>
      </c>
      <c r="C44" s="6" t="n">
        <f aca="false">COUNTIF(Minors!B44:LS44,"&gt;0")</f>
        <v>193</v>
      </c>
      <c r="D44" s="6" t="n">
        <f aca="false">COUNTIF(Minors!B44:LS44,"&lt;0")</f>
        <v>137</v>
      </c>
      <c r="E44" s="6" t="n">
        <f aca="false">COUNTIF(Minors!B44:LS44,0)</f>
        <v>0</v>
      </c>
      <c r="F44" s="6" t="n">
        <f aca="false">C44+D44</f>
        <v>330</v>
      </c>
      <c r="G44" s="6" t="n">
        <f aca="false">MIN(C44,D44)</f>
        <v>137</v>
      </c>
      <c r="H44" s="6" t="str">
        <f aca="false">IF(F44=0,"rank&lt;4",IF(G44=0,"YES","no"))</f>
        <v>no</v>
      </c>
      <c r="I44" s="6" t="n">
        <f aca="false">MIN(MIN(Minors!B44:LS44),-MAX(Minors!B44:LS44))*0+SMALL(Minors!B44:LS44,COUNTIF(Minors!B44:LS44,"&lt;0")+E44+1)</f>
        <v>3057</v>
      </c>
      <c r="J44" s="6" t="n">
        <f aca="false">MAX(MAX(Minors!B44:LS44),-MIN(Minors!B44:LS44))</f>
        <v>3328680040</v>
      </c>
    </row>
    <row r="45" customFormat="false" ht="15" hidden="false" customHeight="true" outlineLevel="0" collapsed="false">
      <c r="A45" s="6" t="n">
        <v>44</v>
      </c>
      <c r="B45" s="6" t="s">
        <v>111</v>
      </c>
      <c r="C45" s="6" t="n">
        <f aca="false">COUNTIF(Minors!B45:LS45,"&gt;0")</f>
        <v>168</v>
      </c>
      <c r="D45" s="6" t="n">
        <f aca="false">COUNTIF(Minors!B45:LS45,"&lt;0")</f>
        <v>162</v>
      </c>
      <c r="E45" s="6" t="n">
        <f aca="false">COUNTIF(Minors!B45:LS45,0)</f>
        <v>0</v>
      </c>
      <c r="F45" s="6" t="n">
        <f aca="false">C45+D45</f>
        <v>330</v>
      </c>
      <c r="G45" s="6" t="n">
        <f aca="false">MIN(C45,D45)</f>
        <v>162</v>
      </c>
      <c r="H45" s="6" t="str">
        <f aca="false">IF(F45=0,"rank&lt;4",IF(G45=0,"YES","no"))</f>
        <v>no</v>
      </c>
      <c r="I45" s="6" t="n">
        <f aca="false">MIN(MIN(Minors!B45:LS45),-MAX(Minors!B45:LS45))*0+SMALL(Minors!B45:LS45,COUNTIF(Minors!B45:LS45,"&lt;0")+E45+1)</f>
        <v>3354</v>
      </c>
      <c r="J45" s="6" t="n">
        <f aca="false">MAX(MAX(Minors!B45:LS45),-MIN(Minors!B45:LS45))</f>
        <v>3000711146</v>
      </c>
    </row>
    <row r="46" customFormat="false" ht="15" hidden="false" customHeight="true" outlineLevel="0" collapsed="false">
      <c r="A46" s="6" t="n">
        <v>45</v>
      </c>
      <c r="B46" s="6" t="s">
        <v>112</v>
      </c>
      <c r="C46" s="6" t="n">
        <f aca="false">COUNTIF(Minors!B46:LS46,"&gt;0")</f>
        <v>172</v>
      </c>
      <c r="D46" s="6" t="n">
        <f aca="false">COUNTIF(Minors!B46:LS46,"&lt;0")</f>
        <v>158</v>
      </c>
      <c r="E46" s="6" t="n">
        <f aca="false">COUNTIF(Minors!B46:LS46,0)</f>
        <v>0</v>
      </c>
      <c r="F46" s="6" t="n">
        <f aca="false">C46+D46</f>
        <v>330</v>
      </c>
      <c r="G46" s="6" t="n">
        <f aca="false">MIN(C46,D46)</f>
        <v>158</v>
      </c>
      <c r="H46" s="6" t="str">
        <f aca="false">IF(F46=0,"rank&lt;4",IF(G46=0,"YES","no"))</f>
        <v>no</v>
      </c>
      <c r="I46" s="6" t="n">
        <f aca="false">MIN(MIN(Minors!B46:LS46),-MAX(Minors!B46:LS46))*0+SMALL(Minors!B46:LS46,COUNTIF(Minors!B46:LS46,"&lt;0")+E46+1)</f>
        <v>259</v>
      </c>
      <c r="J46" s="6" t="n">
        <f aca="false">MAX(MAX(Minors!B46:LS46),-MIN(Minors!B46:LS46))</f>
        <v>4804116036</v>
      </c>
    </row>
    <row r="47" customFormat="false" ht="15" hidden="false" customHeight="true" outlineLevel="0" collapsed="false">
      <c r="A47" s="6" t="n">
        <v>46</v>
      </c>
      <c r="B47" s="6" t="s">
        <v>113</v>
      </c>
      <c r="C47" s="6" t="n">
        <f aca="false">COUNTIF(Minors!B47:LS47,"&gt;0")</f>
        <v>165</v>
      </c>
      <c r="D47" s="6" t="n">
        <f aca="false">COUNTIF(Minors!B47:LS47,"&lt;0")</f>
        <v>165</v>
      </c>
      <c r="E47" s="6" t="n">
        <f aca="false">COUNTIF(Minors!B47:LS47,0)</f>
        <v>0</v>
      </c>
      <c r="F47" s="6" t="n">
        <f aca="false">C47+D47</f>
        <v>330</v>
      </c>
      <c r="G47" s="6" t="n">
        <f aca="false">MIN(C47,D47)</f>
        <v>165</v>
      </c>
      <c r="H47" s="6" t="str">
        <f aca="false">IF(F47=0,"rank&lt;4",IF(G47=0,"YES","no"))</f>
        <v>no</v>
      </c>
      <c r="I47" s="6" t="n">
        <f aca="false">MIN(MIN(Minors!B47:LS47),-MAX(Minors!B47:LS47))*0+SMALL(Minors!B47:LS47,COUNTIF(Minors!B47:LS47,"&lt;0")+E47+1)</f>
        <v>930</v>
      </c>
      <c r="J47" s="6" t="n">
        <f aca="false">MAX(MAX(Minors!B47:LS47),-MIN(Minors!B47:LS47))</f>
        <v>6903380616</v>
      </c>
    </row>
    <row r="48" customFormat="false" ht="15" hidden="false" customHeight="true" outlineLevel="0" collapsed="false">
      <c r="A48" s="6" t="n">
        <v>47</v>
      </c>
      <c r="B48" s="6" t="s">
        <v>114</v>
      </c>
      <c r="C48" s="6" t="n">
        <f aca="false">COUNTIF(Minors!B48:LS48,"&gt;0")</f>
        <v>152</v>
      </c>
      <c r="D48" s="6" t="n">
        <f aca="false">COUNTIF(Minors!B48:LS48,"&lt;0")</f>
        <v>178</v>
      </c>
      <c r="E48" s="6" t="n">
        <f aca="false">COUNTIF(Minors!B48:LS48,0)</f>
        <v>0</v>
      </c>
      <c r="F48" s="6" t="n">
        <f aca="false">C48+D48</f>
        <v>330</v>
      </c>
      <c r="G48" s="6" t="n">
        <f aca="false">MIN(C48,D48)</f>
        <v>152</v>
      </c>
      <c r="H48" s="6" t="str">
        <f aca="false">IF(F48=0,"rank&lt;4",IF(G48=0,"YES","no"))</f>
        <v>no</v>
      </c>
      <c r="I48" s="6" t="n">
        <f aca="false">MIN(MIN(Minors!B48:LS48),-MAX(Minors!B48:LS48))*0+SMALL(Minors!B48:LS48,COUNTIF(Minors!B48:LS48,"&lt;0")+E48+1)</f>
        <v>198</v>
      </c>
      <c r="J48" s="6" t="n">
        <f aca="false">MAX(MAX(Minors!B48:LS48),-MIN(Minors!B48:LS48))</f>
        <v>4628120180</v>
      </c>
    </row>
    <row r="49" customFormat="false" ht="15" hidden="false" customHeight="true" outlineLevel="0" collapsed="false">
      <c r="A49" s="6" t="n">
        <v>48</v>
      </c>
      <c r="B49" s="6" t="s">
        <v>115</v>
      </c>
      <c r="C49" s="6" t="n">
        <f aca="false">COUNTIF(Minors!B49:LS49,"&gt;0")</f>
        <v>157</v>
      </c>
      <c r="D49" s="6" t="n">
        <f aca="false">COUNTIF(Minors!B49:LS49,"&lt;0")</f>
        <v>173</v>
      </c>
      <c r="E49" s="6" t="n">
        <f aca="false">COUNTIF(Minors!B49:LS49,0)</f>
        <v>0</v>
      </c>
      <c r="F49" s="6" t="n">
        <f aca="false">C49+D49</f>
        <v>330</v>
      </c>
      <c r="G49" s="6" t="n">
        <f aca="false">MIN(C49,D49)</f>
        <v>157</v>
      </c>
      <c r="H49" s="6" t="str">
        <f aca="false">IF(F49=0,"rank&lt;4",IF(G49=0,"YES","no"))</f>
        <v>no</v>
      </c>
      <c r="I49" s="6" t="n">
        <f aca="false">MIN(MIN(Minors!B49:LS49),-MAX(Minors!B49:LS49))*0+SMALL(Minors!B49:LS49,COUNTIF(Minors!B49:LS49,"&lt;0")+E49+1)</f>
        <v>28</v>
      </c>
      <c r="J49" s="6" t="n">
        <f aca="false">MAX(MAX(Minors!B49:LS49),-MIN(Minors!B49:LS49))</f>
        <v>8613210336</v>
      </c>
    </row>
    <row r="50" customFormat="false" ht="15" hidden="false" customHeight="true" outlineLevel="0" collapsed="false">
      <c r="A50" s="6" t="n">
        <v>49</v>
      </c>
      <c r="B50" s="6" t="s">
        <v>116</v>
      </c>
      <c r="C50" s="6" t="n">
        <f aca="false">COUNTIF(Minors!B50:LS50,"&gt;0")</f>
        <v>150</v>
      </c>
      <c r="D50" s="6" t="n">
        <f aca="false">COUNTIF(Minors!B50:LS50,"&lt;0")</f>
        <v>180</v>
      </c>
      <c r="E50" s="6" t="n">
        <f aca="false">COUNTIF(Minors!B50:LS50,0)</f>
        <v>0</v>
      </c>
      <c r="F50" s="6" t="n">
        <f aca="false">C50+D50</f>
        <v>330</v>
      </c>
      <c r="G50" s="6" t="n">
        <f aca="false">MIN(C50,D50)</f>
        <v>150</v>
      </c>
      <c r="H50" s="6" t="str">
        <f aca="false">IF(F50=0,"rank&lt;4",IF(G50=0,"YES","no"))</f>
        <v>no</v>
      </c>
      <c r="I50" s="6" t="n">
        <f aca="false">MIN(MIN(Minors!B50:LS50),-MAX(Minors!B50:LS50))*0+SMALL(Minors!B50:LS50,COUNTIF(Minors!B50:LS50,"&lt;0")+E50+1)</f>
        <v>902</v>
      </c>
      <c r="J50" s="6" t="n">
        <f aca="false">MAX(MAX(Minors!B50:LS50),-MIN(Minors!B50:LS50))</f>
        <v>13622664424</v>
      </c>
    </row>
    <row r="51" customFormat="false" ht="15" hidden="false" customHeight="true" outlineLevel="0" collapsed="false">
      <c r="A51" s="6" t="n">
        <v>50</v>
      </c>
      <c r="B51" s="6" t="s">
        <v>117</v>
      </c>
      <c r="C51" s="6" t="n">
        <f aca="false">COUNTIF(Minors!B51:LS51,"&gt;0")</f>
        <v>152</v>
      </c>
      <c r="D51" s="6" t="n">
        <f aca="false">COUNTIF(Minors!B51:LS51,"&lt;0")</f>
        <v>178</v>
      </c>
      <c r="E51" s="6" t="n">
        <f aca="false">COUNTIF(Minors!B51:LS51,0)</f>
        <v>0</v>
      </c>
      <c r="F51" s="6" t="n">
        <f aca="false">C51+D51</f>
        <v>330</v>
      </c>
      <c r="G51" s="6" t="n">
        <f aca="false">MIN(C51,D51)</f>
        <v>152</v>
      </c>
      <c r="H51" s="6" t="str">
        <f aca="false">IF(F51=0,"rank&lt;4",IF(G51=0,"YES","no"))</f>
        <v>no</v>
      </c>
      <c r="I51" s="6" t="n">
        <f aca="false">MIN(MIN(Minors!B51:LS51),-MAX(Minors!B51:LS51))*0+SMALL(Minors!B51:LS51,COUNTIF(Minors!B51:LS51,"&lt;0")+E51+1)</f>
        <v>521</v>
      </c>
      <c r="J51" s="6" t="n">
        <f aca="false">MAX(MAX(Minors!B51:LS51),-MIN(Minors!B51:LS51))</f>
        <v>4556762046</v>
      </c>
    </row>
    <row r="52" customFormat="false" ht="15" hidden="false" customHeight="true" outlineLevel="0" collapsed="false">
      <c r="A52" s="6" t="n">
        <v>51</v>
      </c>
      <c r="B52" s="6" t="s">
        <v>118</v>
      </c>
      <c r="C52" s="6" t="n">
        <f aca="false">COUNTIF(Minors!B52:LS52,"&gt;0")</f>
        <v>169</v>
      </c>
      <c r="D52" s="6" t="n">
        <f aca="false">COUNTIF(Minors!B52:LS52,"&lt;0")</f>
        <v>161</v>
      </c>
      <c r="E52" s="6" t="n">
        <f aca="false">COUNTIF(Minors!B52:LS52,0)</f>
        <v>0</v>
      </c>
      <c r="F52" s="6" t="n">
        <f aca="false">C52+D52</f>
        <v>330</v>
      </c>
      <c r="G52" s="6" t="n">
        <f aca="false">MIN(C52,D52)</f>
        <v>161</v>
      </c>
      <c r="H52" s="6" t="str">
        <f aca="false">IF(F52=0,"rank&lt;4",IF(G52=0,"YES","no"))</f>
        <v>no</v>
      </c>
      <c r="I52" s="6" t="n">
        <f aca="false">MIN(MIN(Minors!B52:LS52),-MAX(Minors!B52:LS52))*0+SMALL(Minors!B52:LS52,COUNTIF(Minors!B52:LS52,"&lt;0")+E52+1)</f>
        <v>231</v>
      </c>
      <c r="J52" s="6" t="n">
        <f aca="false">MAX(MAX(Minors!B52:LS52),-MIN(Minors!B52:LS52))</f>
        <v>8358714013</v>
      </c>
    </row>
    <row r="53" customFormat="false" ht="15" hidden="false" customHeight="true" outlineLevel="0" collapsed="false">
      <c r="A53" s="6" t="n">
        <v>52</v>
      </c>
      <c r="B53" s="6" t="s">
        <v>119</v>
      </c>
      <c r="C53" s="6" t="n">
        <f aca="false">COUNTIF(Minors!B53:LS53,"&gt;0")</f>
        <v>163</v>
      </c>
      <c r="D53" s="6" t="n">
        <f aca="false">COUNTIF(Minors!B53:LS53,"&lt;0")</f>
        <v>167</v>
      </c>
      <c r="E53" s="6" t="n">
        <f aca="false">COUNTIF(Minors!B53:LS53,0)</f>
        <v>0</v>
      </c>
      <c r="F53" s="6" t="n">
        <f aca="false">C53+D53</f>
        <v>330</v>
      </c>
      <c r="G53" s="6" t="n">
        <f aca="false">MIN(C53,D53)</f>
        <v>163</v>
      </c>
      <c r="H53" s="6" t="str">
        <f aca="false">IF(F53=0,"rank&lt;4",IF(G53=0,"YES","no"))</f>
        <v>no</v>
      </c>
      <c r="I53" s="6" t="n">
        <f aca="false">MIN(MIN(Minors!B53:LS53),-MAX(Minors!B53:LS53))*0+SMALL(Minors!B53:LS53,COUNTIF(Minors!B53:LS53,"&lt;0")+E53+1)</f>
        <v>183</v>
      </c>
      <c r="J53" s="6" t="n">
        <f aca="false">MAX(MAX(Minors!B53:LS53),-MIN(Minors!B53:LS53))</f>
        <v>16653548512</v>
      </c>
    </row>
    <row r="54" customFormat="false" ht="15" hidden="false" customHeight="true" outlineLevel="0" collapsed="false">
      <c r="A54" s="6" t="n">
        <v>53</v>
      </c>
      <c r="B54" s="6" t="s">
        <v>120</v>
      </c>
      <c r="C54" s="6" t="n">
        <f aca="false">COUNTIF(Minors!B54:LS54,"&gt;0")</f>
        <v>155</v>
      </c>
      <c r="D54" s="6" t="n">
        <f aca="false">COUNTIF(Minors!B54:LS54,"&lt;0")</f>
        <v>175</v>
      </c>
      <c r="E54" s="6" t="n">
        <f aca="false">COUNTIF(Minors!B54:LS54,0)</f>
        <v>0</v>
      </c>
      <c r="F54" s="6" t="n">
        <f aca="false">C54+D54</f>
        <v>330</v>
      </c>
      <c r="G54" s="6" t="n">
        <f aca="false">MIN(C54,D54)</f>
        <v>155</v>
      </c>
      <c r="H54" s="6" t="str">
        <f aca="false">IF(F54=0,"rank&lt;4",IF(G54=0,"YES","no"))</f>
        <v>no</v>
      </c>
      <c r="I54" s="6" t="n">
        <f aca="false">MIN(MIN(Minors!B54:LS54),-MAX(Minors!B54:LS54))*0+SMALL(Minors!B54:LS54,COUNTIF(Minors!B54:LS54,"&lt;0")+E54+1)</f>
        <v>235</v>
      </c>
      <c r="J54" s="6" t="n">
        <f aca="false">MAX(MAX(Minors!B54:LS54),-MIN(Minors!B54:LS54))</f>
        <v>6901003946</v>
      </c>
    </row>
    <row r="55" customFormat="false" ht="15" hidden="false" customHeight="true" outlineLevel="0" collapsed="false">
      <c r="A55" s="6" t="n">
        <v>54</v>
      </c>
      <c r="B55" s="6" t="s">
        <v>121</v>
      </c>
      <c r="C55" s="6" t="n">
        <f aca="false">COUNTIF(Minors!B55:LS55,"&gt;0")</f>
        <v>156</v>
      </c>
      <c r="D55" s="6" t="n">
        <f aca="false">COUNTIF(Minors!B55:LS55,"&lt;0")</f>
        <v>174</v>
      </c>
      <c r="E55" s="6" t="n">
        <f aca="false">COUNTIF(Minors!B55:LS55,0)</f>
        <v>0</v>
      </c>
      <c r="F55" s="6" t="n">
        <f aca="false">C55+D55</f>
        <v>330</v>
      </c>
      <c r="G55" s="6" t="n">
        <f aca="false">MIN(C55,D55)</f>
        <v>156</v>
      </c>
      <c r="H55" s="6" t="str">
        <f aca="false">IF(F55=0,"rank&lt;4",IF(G55=0,"YES","no"))</f>
        <v>no</v>
      </c>
      <c r="I55" s="6" t="n">
        <f aca="false">MIN(MIN(Minors!B55:LS55),-MAX(Minors!B55:LS55))*0+SMALL(Minors!B55:LS55,COUNTIF(Minors!B55:LS55,"&lt;0")+E55+1)</f>
        <v>1982</v>
      </c>
      <c r="J55" s="6" t="n">
        <f aca="false">MAX(MAX(Minors!B55:LS55),-MIN(Minors!B55:LS55))</f>
        <v>9388646635</v>
      </c>
    </row>
    <row r="56" customFormat="false" ht="15" hidden="false" customHeight="true" outlineLevel="0" collapsed="false">
      <c r="A56" s="6" t="n">
        <v>55</v>
      </c>
      <c r="B56" s="6" t="s">
        <v>122</v>
      </c>
      <c r="C56" s="6" t="n">
        <f aca="false">COUNTIF(Minors!B56:LS56,"&gt;0")</f>
        <v>171</v>
      </c>
      <c r="D56" s="6" t="n">
        <f aca="false">COUNTIF(Minors!B56:LS56,"&lt;0")</f>
        <v>159</v>
      </c>
      <c r="E56" s="6" t="n">
        <f aca="false">COUNTIF(Minors!B56:LS56,0)</f>
        <v>0</v>
      </c>
      <c r="F56" s="6" t="n">
        <f aca="false">C56+D56</f>
        <v>330</v>
      </c>
      <c r="G56" s="6" t="n">
        <f aca="false">MIN(C56,D56)</f>
        <v>159</v>
      </c>
      <c r="H56" s="6" t="str">
        <f aca="false">IF(F56=0,"rank&lt;4",IF(G56=0,"YES","no"))</f>
        <v>no</v>
      </c>
      <c r="I56" s="6" t="n">
        <f aca="false">MIN(MIN(Minors!B56:LS56),-MAX(Minors!B56:LS56))*0+SMALL(Minors!B56:LS56,COUNTIF(Minors!B56:LS56,"&lt;0")+E56+1)</f>
        <v>2760</v>
      </c>
      <c r="J56" s="6" t="n">
        <f aca="false">MAX(MAX(Minors!B56:LS56),-MIN(Minors!B56:LS56))</f>
        <v>12935141896</v>
      </c>
    </row>
    <row r="57" customFormat="false" ht="15" hidden="false" customHeight="true" outlineLevel="0" collapsed="false">
      <c r="A57" s="6" t="n">
        <v>56</v>
      </c>
      <c r="B57" s="6" t="s">
        <v>123</v>
      </c>
      <c r="C57" s="6" t="n">
        <f aca="false">COUNTIF(Minors!B57:LS57,"&gt;0")</f>
        <v>163</v>
      </c>
      <c r="D57" s="6" t="n">
        <f aca="false">COUNTIF(Minors!B57:LS57,"&lt;0")</f>
        <v>167</v>
      </c>
      <c r="E57" s="6" t="n">
        <f aca="false">COUNTIF(Minors!B57:LS57,0)</f>
        <v>0</v>
      </c>
      <c r="F57" s="6" t="n">
        <f aca="false">C57+D57</f>
        <v>330</v>
      </c>
      <c r="G57" s="6" t="n">
        <f aca="false">MIN(C57,D57)</f>
        <v>163</v>
      </c>
      <c r="H57" s="6" t="str">
        <f aca="false">IF(F57=0,"rank&lt;4",IF(G57=0,"YES","no"))</f>
        <v>no</v>
      </c>
      <c r="I57" s="6" t="n">
        <f aca="false">MIN(MIN(Minors!B57:LS57),-MAX(Minors!B57:LS57))*0+SMALL(Minors!B57:LS57,COUNTIF(Minors!B57:LS57,"&lt;0")+E57+1)</f>
        <v>3948</v>
      </c>
      <c r="J57" s="6" t="n">
        <f aca="false">MAX(MAX(Minors!B57:LS57),-MIN(Minors!B57:LS57))</f>
        <v>12266482828</v>
      </c>
    </row>
    <row r="58" customFormat="false" ht="15" hidden="false" customHeight="true" outlineLevel="0" collapsed="false">
      <c r="A58" s="6" t="n">
        <v>57</v>
      </c>
      <c r="B58" s="6" t="s">
        <v>124</v>
      </c>
      <c r="C58" s="6" t="n">
        <f aca="false">COUNTIF(Minors!B58:LS58,"&gt;0")</f>
        <v>187</v>
      </c>
      <c r="D58" s="6" t="n">
        <f aca="false">COUNTIF(Minors!B58:LS58,"&lt;0")</f>
        <v>143</v>
      </c>
      <c r="E58" s="6" t="n">
        <f aca="false">COUNTIF(Minors!B58:LS58,0)</f>
        <v>0</v>
      </c>
      <c r="F58" s="6" t="n">
        <f aca="false">C58+D58</f>
        <v>330</v>
      </c>
      <c r="G58" s="6" t="n">
        <f aca="false">MIN(C58,D58)</f>
        <v>143</v>
      </c>
      <c r="H58" s="6" t="str">
        <f aca="false">IF(F58=0,"rank&lt;4",IF(G58=0,"YES","no"))</f>
        <v>no</v>
      </c>
      <c r="I58" s="6" t="n">
        <f aca="false">MIN(MIN(Minors!B58:LS58),-MAX(Minors!B58:LS58))*0+SMALL(Minors!B58:LS58,COUNTIF(Minors!B58:LS58,"&lt;0")+E58+1)</f>
        <v>1515</v>
      </c>
      <c r="J58" s="6" t="n">
        <f aca="false">MAX(MAX(Minors!B58:LS58),-MIN(Minors!B58:LS58))</f>
        <v>4279748904</v>
      </c>
    </row>
    <row r="59" customFormat="false" ht="15" hidden="false" customHeight="true" outlineLevel="0" collapsed="false">
      <c r="A59" s="6" t="n">
        <v>58</v>
      </c>
      <c r="B59" s="6" t="s">
        <v>125</v>
      </c>
      <c r="C59" s="6" t="n">
        <f aca="false">COUNTIF(Minors!B59:LS59,"&gt;0")</f>
        <v>184</v>
      </c>
      <c r="D59" s="6" t="n">
        <f aca="false">COUNTIF(Minors!B59:LS59,"&lt;0")</f>
        <v>146</v>
      </c>
      <c r="E59" s="6" t="n">
        <f aca="false">COUNTIF(Minors!B59:LS59,0)</f>
        <v>0</v>
      </c>
      <c r="F59" s="6" t="n">
        <f aca="false">C59+D59</f>
        <v>330</v>
      </c>
      <c r="G59" s="6" t="n">
        <f aca="false">MIN(C59,D59)</f>
        <v>146</v>
      </c>
      <c r="H59" s="6" t="str">
        <f aca="false">IF(F59=0,"rank&lt;4",IF(G59=0,"YES","no"))</f>
        <v>no</v>
      </c>
      <c r="I59" s="6" t="n">
        <f aca="false">MIN(MIN(Minors!B59:LS59),-MAX(Minors!B59:LS59))*0+SMALL(Minors!B59:LS59,COUNTIF(Minors!B59:LS59,"&lt;0")+E59+1)</f>
        <v>1508</v>
      </c>
      <c r="J59" s="6" t="n">
        <f aca="false">MAX(MAX(Minors!B59:LS59),-MIN(Minors!B59:LS59))</f>
        <v>1689818474</v>
      </c>
    </row>
    <row r="60" customFormat="false" ht="15" hidden="false" customHeight="true" outlineLevel="0" collapsed="false">
      <c r="A60" s="6" t="n">
        <v>59</v>
      </c>
      <c r="B60" s="6" t="s">
        <v>126</v>
      </c>
      <c r="C60" s="6" t="n">
        <f aca="false">COUNTIF(Minors!B60:LS60,"&gt;0")</f>
        <v>161</v>
      </c>
      <c r="D60" s="6" t="n">
        <f aca="false">COUNTIF(Minors!B60:LS60,"&lt;0")</f>
        <v>169</v>
      </c>
      <c r="E60" s="6" t="n">
        <f aca="false">COUNTIF(Minors!B60:LS60,0)</f>
        <v>0</v>
      </c>
      <c r="F60" s="6" t="n">
        <f aca="false">C60+D60</f>
        <v>330</v>
      </c>
      <c r="G60" s="6" t="n">
        <f aca="false">MIN(C60,D60)</f>
        <v>161</v>
      </c>
      <c r="H60" s="6" t="str">
        <f aca="false">IF(F60=0,"rank&lt;4",IF(G60=0,"YES","no"))</f>
        <v>no</v>
      </c>
      <c r="I60" s="6" t="n">
        <f aca="false">MIN(MIN(Minors!B60:LS60),-MAX(Minors!B60:LS60))*0+SMALL(Minors!B60:LS60,COUNTIF(Minors!B60:LS60,"&lt;0")+E60+1)</f>
        <v>2700</v>
      </c>
      <c r="J60" s="6" t="n">
        <f aca="false">MAX(MAX(Minors!B60:LS60),-MIN(Minors!B60:LS60))</f>
        <v>2426103192</v>
      </c>
    </row>
    <row r="61" customFormat="false" ht="15" hidden="false" customHeight="true" outlineLevel="0" collapsed="false">
      <c r="A61" s="6" t="n">
        <v>60</v>
      </c>
      <c r="B61" s="6" t="s">
        <v>127</v>
      </c>
      <c r="C61" s="6" t="n">
        <f aca="false">COUNTIF(Minors!B61:LS61,"&gt;0")</f>
        <v>177</v>
      </c>
      <c r="D61" s="6" t="n">
        <f aca="false">COUNTIF(Minors!B61:LS61,"&lt;0")</f>
        <v>153</v>
      </c>
      <c r="E61" s="6" t="n">
        <f aca="false">COUNTIF(Minors!B61:LS61,0)</f>
        <v>0</v>
      </c>
      <c r="F61" s="6" t="n">
        <f aca="false">C61+D61</f>
        <v>330</v>
      </c>
      <c r="G61" s="6" t="n">
        <f aca="false">MIN(C61,D61)</f>
        <v>153</v>
      </c>
      <c r="H61" s="6" t="str">
        <f aca="false">IF(F61=0,"rank&lt;4",IF(G61=0,"YES","no"))</f>
        <v>no</v>
      </c>
      <c r="I61" s="6" t="n">
        <f aca="false">MIN(MIN(Minors!B61:LS61),-MAX(Minors!B61:LS61))*0+SMALL(Minors!B61:LS61,COUNTIF(Minors!B61:LS61,"&lt;0")+E61+1)</f>
        <v>3384</v>
      </c>
      <c r="J61" s="6" t="n">
        <f aca="false">MAX(MAX(Minors!B61:LS61),-MIN(Minors!B61:LS61))</f>
        <v>6806642104</v>
      </c>
    </row>
    <row r="62" customFormat="false" ht="15" hidden="false" customHeight="true" outlineLevel="0" collapsed="false">
      <c r="A62" s="6" t="n">
        <v>61</v>
      </c>
      <c r="B62" s="6" t="s">
        <v>128</v>
      </c>
      <c r="C62" s="6" t="n">
        <f aca="false">COUNTIF(Minors!B62:LS62,"&gt;0")</f>
        <v>182</v>
      </c>
      <c r="D62" s="6" t="n">
        <f aca="false">COUNTIF(Minors!B62:LS62,"&lt;0")</f>
        <v>148</v>
      </c>
      <c r="E62" s="6" t="n">
        <f aca="false">COUNTIF(Minors!B62:LS62,0)</f>
        <v>0</v>
      </c>
      <c r="F62" s="6" t="n">
        <f aca="false">C62+D62</f>
        <v>330</v>
      </c>
      <c r="G62" s="6" t="n">
        <f aca="false">MIN(C62,D62)</f>
        <v>148</v>
      </c>
      <c r="H62" s="6" t="str">
        <f aca="false">IF(F62=0,"rank&lt;4",IF(G62=0,"YES","no"))</f>
        <v>no</v>
      </c>
      <c r="I62" s="6" t="n">
        <f aca="false">MIN(MIN(Minors!B62:LS62),-MAX(Minors!B62:LS62))*0+SMALL(Minors!B62:LS62,COUNTIF(Minors!B62:LS62,"&lt;0")+E62+1)</f>
        <v>1404</v>
      </c>
      <c r="J62" s="6" t="n">
        <f aca="false">MAX(MAX(Minors!B62:LS62),-MIN(Minors!B62:LS62))</f>
        <v>8126587792</v>
      </c>
    </row>
    <row r="63" customFormat="false" ht="15" hidden="false" customHeight="true" outlineLevel="0" collapsed="false">
      <c r="A63" s="6" t="n">
        <v>62</v>
      </c>
      <c r="B63" s="6" t="s">
        <v>129</v>
      </c>
      <c r="C63" s="6" t="n">
        <f aca="false">COUNTIF(Minors!B63:LS63,"&gt;0")</f>
        <v>145</v>
      </c>
      <c r="D63" s="6" t="n">
        <f aca="false">COUNTIF(Minors!B63:LS63,"&lt;0")</f>
        <v>185</v>
      </c>
      <c r="E63" s="6" t="n">
        <f aca="false">COUNTIF(Minors!B63:LS63,0)</f>
        <v>0</v>
      </c>
      <c r="F63" s="6" t="n">
        <f aca="false">C63+D63</f>
        <v>330</v>
      </c>
      <c r="G63" s="6" t="n">
        <f aca="false">MIN(C63,D63)</f>
        <v>145</v>
      </c>
      <c r="H63" s="6" t="str">
        <f aca="false">IF(F63=0,"rank&lt;4",IF(G63=0,"YES","no"))</f>
        <v>no</v>
      </c>
      <c r="I63" s="6" t="n">
        <f aca="false">MIN(MIN(Minors!B63:LS63),-MAX(Minors!B63:LS63))*0+SMALL(Minors!B63:LS63,COUNTIF(Minors!B63:LS63,"&lt;0")+E63+1)</f>
        <v>24</v>
      </c>
      <c r="J63" s="6" t="n">
        <f aca="false">MAX(MAX(Minors!B63:LS63),-MIN(Minors!B63:LS63))</f>
        <v>2909019144</v>
      </c>
    </row>
    <row r="64" customFormat="false" ht="15" hidden="false" customHeight="true" outlineLevel="0" collapsed="false">
      <c r="A64" s="6" t="n">
        <v>63</v>
      </c>
      <c r="B64" s="6" t="s">
        <v>130</v>
      </c>
      <c r="C64" s="6" t="n">
        <f aca="false">COUNTIF(Minors!B64:LS64,"&gt;0")</f>
        <v>144</v>
      </c>
      <c r="D64" s="6" t="n">
        <f aca="false">COUNTIF(Minors!B64:LS64,"&lt;0")</f>
        <v>186</v>
      </c>
      <c r="E64" s="6" t="n">
        <f aca="false">COUNTIF(Minors!B64:LS64,0)</f>
        <v>0</v>
      </c>
      <c r="F64" s="6" t="n">
        <f aca="false">C64+D64</f>
        <v>330</v>
      </c>
      <c r="G64" s="6" t="n">
        <f aca="false">MIN(C64,D64)</f>
        <v>144</v>
      </c>
      <c r="H64" s="6" t="str">
        <f aca="false">IF(F64=0,"rank&lt;4",IF(G64=0,"YES","no"))</f>
        <v>no</v>
      </c>
      <c r="I64" s="6" t="n">
        <f aca="false">MIN(MIN(Minors!B64:LS64),-MAX(Minors!B64:LS64))*0+SMALL(Minors!B64:LS64,COUNTIF(Minors!B64:LS64,"&lt;0")+E64+1)</f>
        <v>24</v>
      </c>
      <c r="J64" s="6" t="n">
        <f aca="false">MAX(MAX(Minors!B64:LS64),-MIN(Minors!B64:LS64))</f>
        <v>2117894730</v>
      </c>
    </row>
    <row r="65" customFormat="false" ht="15" hidden="false" customHeight="true" outlineLevel="0" collapsed="false">
      <c r="A65" s="6" t="n">
        <v>64</v>
      </c>
      <c r="B65" s="6" t="s">
        <v>131</v>
      </c>
      <c r="C65" s="6" t="n">
        <f aca="false">COUNTIF(Minors!B65:LS65,"&gt;0")</f>
        <v>151</v>
      </c>
      <c r="D65" s="6" t="n">
        <f aca="false">COUNTIF(Minors!B65:LS65,"&lt;0")</f>
        <v>179</v>
      </c>
      <c r="E65" s="6" t="n">
        <f aca="false">COUNTIF(Minors!B65:LS65,0)</f>
        <v>0</v>
      </c>
      <c r="F65" s="6" t="n">
        <f aca="false">C65+D65</f>
        <v>330</v>
      </c>
      <c r="G65" s="6" t="n">
        <f aca="false">MIN(C65,D65)</f>
        <v>151</v>
      </c>
      <c r="H65" s="6" t="str">
        <f aca="false">IF(F65=0,"rank&lt;4",IF(G65=0,"YES","no"))</f>
        <v>no</v>
      </c>
      <c r="I65" s="6" t="n">
        <f aca="false">MIN(MIN(Minors!B65:LS65),-MAX(Minors!B65:LS65))*0+SMALL(Minors!B65:LS65,COUNTIF(Minors!B65:LS65,"&lt;0")+E65+1)</f>
        <v>1536</v>
      </c>
      <c r="J65" s="6" t="n">
        <f aca="false">MAX(MAX(Minors!B65:LS65),-MIN(Minors!B65:LS65))</f>
        <v>9542357010</v>
      </c>
    </row>
    <row r="66" customFormat="false" ht="15" hidden="false" customHeight="true" outlineLevel="0" collapsed="false">
      <c r="A66" s="6" t="n">
        <v>65</v>
      </c>
      <c r="B66" s="6" t="s">
        <v>132</v>
      </c>
      <c r="C66" s="6" t="n">
        <f aca="false">COUNTIF(Minors!B66:LS66,"&gt;0")</f>
        <v>175</v>
      </c>
      <c r="D66" s="6" t="n">
        <f aca="false">COUNTIF(Minors!B66:LS66,"&lt;0")</f>
        <v>155</v>
      </c>
      <c r="E66" s="6" t="n">
        <f aca="false">COUNTIF(Minors!B66:LS66,0)</f>
        <v>0</v>
      </c>
      <c r="F66" s="6" t="n">
        <f aca="false">C66+D66</f>
        <v>330</v>
      </c>
      <c r="G66" s="6" t="n">
        <f aca="false">MIN(C66,D66)</f>
        <v>155</v>
      </c>
      <c r="H66" s="6" t="str">
        <f aca="false">IF(F66=0,"rank&lt;4",IF(G66=0,"YES","no"))</f>
        <v>no</v>
      </c>
      <c r="I66" s="6" t="n">
        <f aca="false">MIN(MIN(Minors!B66:LS66),-MAX(Minors!B66:LS66))*0+SMALL(Minors!B66:LS66,COUNTIF(Minors!B66:LS66,"&lt;0")+E66+1)</f>
        <v>1515</v>
      </c>
      <c r="J66" s="6" t="n">
        <f aca="false">MAX(MAX(Minors!B66:LS66),-MIN(Minors!B66:LS66))</f>
        <v>9599021032</v>
      </c>
    </row>
    <row r="67" customFormat="false" ht="15" hidden="false" customHeight="true" outlineLevel="0" collapsed="false">
      <c r="A67" s="6" t="n">
        <v>66</v>
      </c>
      <c r="B67" s="6" t="s">
        <v>133</v>
      </c>
      <c r="C67" s="6" t="n">
        <f aca="false">COUNTIF(Minors!B67:LS67,"&gt;0")</f>
        <v>159</v>
      </c>
      <c r="D67" s="6" t="n">
        <f aca="false">COUNTIF(Minors!B67:LS67,"&lt;0")</f>
        <v>170</v>
      </c>
      <c r="E67" s="6" t="n">
        <f aca="false">COUNTIF(Minors!B67:LS67,0)</f>
        <v>1</v>
      </c>
      <c r="F67" s="6" t="n">
        <f aca="false">C67+D67</f>
        <v>329</v>
      </c>
      <c r="G67" s="6" t="n">
        <f aca="false">MIN(C67,D67)</f>
        <v>159</v>
      </c>
      <c r="H67" s="6" t="str">
        <f aca="false">IF(F67=0,"rank&lt;4",IF(G67=0,"YES","no"))</f>
        <v>no</v>
      </c>
      <c r="I67" s="6" t="n">
        <f aca="false">MIN(MIN(Minors!B67:LS67),-MAX(Minors!B67:LS67))*0+SMALL(Minors!B67:LS67,COUNTIF(Minors!B67:LS67,"&lt;0")+E67+1)</f>
        <v>72</v>
      </c>
      <c r="J67" s="6" t="n">
        <f aca="false">MAX(MAX(Minors!B67:LS67),-MIN(Minors!B67:LS67))</f>
        <v>1209986556</v>
      </c>
    </row>
    <row r="68" customFormat="false" ht="15" hidden="false" customHeight="true" outlineLevel="0" collapsed="false">
      <c r="A68" s="6" t="n">
        <v>67</v>
      </c>
      <c r="B68" s="6" t="s">
        <v>134</v>
      </c>
      <c r="C68" s="6" t="n">
        <f aca="false">COUNTIF(Minors!B68:LS68,"&gt;0")</f>
        <v>175</v>
      </c>
      <c r="D68" s="6" t="n">
        <f aca="false">COUNTIF(Minors!B68:LS68,"&lt;0")</f>
        <v>155</v>
      </c>
      <c r="E68" s="6" t="n">
        <f aca="false">COUNTIF(Minors!B68:LS68,0)</f>
        <v>0</v>
      </c>
      <c r="F68" s="6" t="n">
        <f aca="false">C68+D68</f>
        <v>330</v>
      </c>
      <c r="G68" s="6" t="n">
        <f aca="false">MIN(C68,D68)</f>
        <v>155</v>
      </c>
      <c r="H68" s="6" t="str">
        <f aca="false">IF(F68=0,"rank&lt;4",IF(G68=0,"YES","no"))</f>
        <v>no</v>
      </c>
      <c r="I68" s="6" t="n">
        <f aca="false">MIN(MIN(Minors!B68:LS68),-MAX(Minors!B68:LS68))*0+SMALL(Minors!B68:LS68,COUNTIF(Minors!B68:LS68,"&lt;0")+E68+1)</f>
        <v>1610</v>
      </c>
      <c r="J68" s="6" t="n">
        <f aca="false">MAX(MAX(Minors!B68:LS68),-MIN(Minors!B68:LS68))</f>
        <v>2964878766</v>
      </c>
    </row>
    <row r="69" customFormat="false" ht="15" hidden="false" customHeight="true" outlineLevel="0" collapsed="false">
      <c r="A69" s="6" t="n">
        <v>68</v>
      </c>
      <c r="B69" s="6" t="s">
        <v>135</v>
      </c>
      <c r="C69" s="6" t="n">
        <f aca="false">COUNTIF(Minors!B69:LS69,"&gt;0")</f>
        <v>173</v>
      </c>
      <c r="D69" s="6" t="n">
        <f aca="false">COUNTIF(Minors!B69:LS69,"&lt;0")</f>
        <v>157</v>
      </c>
      <c r="E69" s="6" t="n">
        <f aca="false">COUNTIF(Minors!B69:LS69,0)</f>
        <v>0</v>
      </c>
      <c r="F69" s="6" t="n">
        <f aca="false">C69+D69</f>
        <v>330</v>
      </c>
      <c r="G69" s="6" t="n">
        <f aca="false">MIN(C69,D69)</f>
        <v>157</v>
      </c>
      <c r="H69" s="6" t="str">
        <f aca="false">IF(F69=0,"rank&lt;4",IF(G69=0,"YES","no"))</f>
        <v>no</v>
      </c>
      <c r="I69" s="6" t="n">
        <f aca="false">MIN(MIN(Minors!B69:LS69),-MAX(Minors!B69:LS69))*0+SMALL(Minors!B69:LS69,COUNTIF(Minors!B69:LS69,"&lt;0")+E69+1)</f>
        <v>94</v>
      </c>
      <c r="J69" s="6" t="n">
        <f aca="false">MAX(MAX(Minors!B69:LS69),-MIN(Minors!B69:LS69))</f>
        <v>3765414720</v>
      </c>
    </row>
    <row r="70" customFormat="false" ht="15" hidden="false" customHeight="true" outlineLevel="0" collapsed="false">
      <c r="A70" s="6" t="n">
        <v>69</v>
      </c>
      <c r="B70" s="6" t="s">
        <v>136</v>
      </c>
      <c r="C70" s="6" t="n">
        <f aca="false">COUNTIF(Minors!B70:LS70,"&gt;0")</f>
        <v>159</v>
      </c>
      <c r="D70" s="6" t="n">
        <f aca="false">COUNTIF(Minors!B70:LS70,"&lt;0")</f>
        <v>171</v>
      </c>
      <c r="E70" s="6" t="n">
        <f aca="false">COUNTIF(Minors!B70:LS70,0)</f>
        <v>0</v>
      </c>
      <c r="F70" s="6" t="n">
        <f aca="false">C70+D70</f>
        <v>330</v>
      </c>
      <c r="G70" s="6" t="n">
        <f aca="false">MIN(C70,D70)</f>
        <v>159</v>
      </c>
      <c r="H70" s="6" t="str">
        <f aca="false">IF(F70=0,"rank&lt;4",IF(G70=0,"YES","no"))</f>
        <v>no</v>
      </c>
      <c r="I70" s="6" t="n">
        <f aca="false">MIN(MIN(Minors!B70:LS70),-MAX(Minors!B70:LS70))*0+SMALL(Minors!B70:LS70,COUNTIF(Minors!B70:LS70,"&lt;0")+E70+1)</f>
        <v>170</v>
      </c>
      <c r="J70" s="6" t="n">
        <f aca="false">MAX(MAX(Minors!B70:LS70),-MIN(Minors!B70:LS70))</f>
        <v>5177566618</v>
      </c>
    </row>
    <row r="71" customFormat="false" ht="15" hidden="false" customHeight="true" outlineLevel="0" collapsed="false">
      <c r="A71" s="6" t="n">
        <v>70</v>
      </c>
      <c r="B71" s="6" t="s">
        <v>137</v>
      </c>
      <c r="C71" s="6" t="n">
        <f aca="false">COUNTIF(Minors!B71:LS71,"&gt;0")</f>
        <v>176</v>
      </c>
      <c r="D71" s="6" t="n">
        <f aca="false">COUNTIF(Minors!B71:LS71,"&lt;0")</f>
        <v>154</v>
      </c>
      <c r="E71" s="6" t="n">
        <f aca="false">COUNTIF(Minors!B71:LS71,0)</f>
        <v>0</v>
      </c>
      <c r="F71" s="6" t="n">
        <f aca="false">C71+D71</f>
        <v>330</v>
      </c>
      <c r="G71" s="6" t="n">
        <f aca="false">MIN(C71,D71)</f>
        <v>154</v>
      </c>
      <c r="H71" s="6" t="str">
        <f aca="false">IF(F71=0,"rank&lt;4",IF(G71=0,"YES","no"))</f>
        <v>no</v>
      </c>
      <c r="I71" s="6" t="n">
        <f aca="false">MIN(MIN(Minors!B71:LS71),-MAX(Minors!B71:LS71))*0+SMALL(Minors!B71:LS71,COUNTIF(Minors!B71:LS71,"&lt;0")+E71+1)</f>
        <v>2745</v>
      </c>
      <c r="J71" s="6" t="n">
        <f aca="false">MAX(MAX(Minors!B71:LS71),-MIN(Minors!B71:LS71))</f>
        <v>5508303758</v>
      </c>
    </row>
    <row r="72" customFormat="false" ht="15" hidden="false" customHeight="true" outlineLevel="0" collapsed="false">
      <c r="A72" s="6" t="n">
        <v>71</v>
      </c>
      <c r="B72" s="6" t="s">
        <v>138</v>
      </c>
      <c r="C72" s="6" t="n">
        <f aca="false">COUNTIF(Minors!B72:LS72,"&gt;0")</f>
        <v>166</v>
      </c>
      <c r="D72" s="6" t="n">
        <f aca="false">COUNTIF(Minors!B72:LS72,"&lt;0")</f>
        <v>164</v>
      </c>
      <c r="E72" s="6" t="n">
        <f aca="false">COUNTIF(Minors!B72:LS72,0)</f>
        <v>0</v>
      </c>
      <c r="F72" s="6" t="n">
        <f aca="false">C72+D72</f>
        <v>330</v>
      </c>
      <c r="G72" s="6" t="n">
        <f aca="false">MIN(C72,D72)</f>
        <v>164</v>
      </c>
      <c r="H72" s="6" t="str">
        <f aca="false">IF(F72=0,"rank&lt;4",IF(G72=0,"YES","no"))</f>
        <v>no</v>
      </c>
      <c r="I72" s="6" t="n">
        <f aca="false">MIN(MIN(Minors!B72:LS72),-MAX(Minors!B72:LS72))*0+SMALL(Minors!B72:LS72,COUNTIF(Minors!B72:LS72,"&lt;0")+E72+1)</f>
        <v>399</v>
      </c>
      <c r="J72" s="6" t="n">
        <f aca="false">MAX(MAX(Minors!B72:LS72),-MIN(Minors!B72:LS72))</f>
        <v>12605326528</v>
      </c>
    </row>
    <row r="73" customFormat="false" ht="15" hidden="false" customHeight="true" outlineLevel="0" collapsed="false">
      <c r="A73" s="6" t="n">
        <v>72</v>
      </c>
      <c r="B73" s="6" t="s">
        <v>139</v>
      </c>
      <c r="C73" s="6" t="n">
        <f aca="false">COUNTIF(Minors!B73:LS73,"&gt;0")</f>
        <v>159</v>
      </c>
      <c r="D73" s="6" t="n">
        <f aca="false">COUNTIF(Minors!B73:LS73,"&lt;0")</f>
        <v>171</v>
      </c>
      <c r="E73" s="6" t="n">
        <f aca="false">COUNTIF(Minors!B73:LS73,0)</f>
        <v>0</v>
      </c>
      <c r="F73" s="6" t="n">
        <f aca="false">C73+D73</f>
        <v>330</v>
      </c>
      <c r="G73" s="6" t="n">
        <f aca="false">MIN(C73,D73)</f>
        <v>159</v>
      </c>
      <c r="H73" s="6" t="str">
        <f aca="false">IF(F73=0,"rank&lt;4",IF(G73=0,"YES","no"))</f>
        <v>no</v>
      </c>
      <c r="I73" s="6" t="n">
        <f aca="false">MIN(MIN(Minors!B73:LS73),-MAX(Minors!B73:LS73))*0+SMALL(Minors!B73:LS73,COUNTIF(Minors!B73:LS73,"&lt;0")+E73+1)</f>
        <v>332</v>
      </c>
      <c r="J73" s="6" t="n">
        <f aca="false">MAX(MAX(Minors!B73:LS73),-MIN(Minors!B73:LS73))</f>
        <v>2167019246</v>
      </c>
    </row>
    <row r="74" customFormat="false" ht="15" hidden="false" customHeight="true" outlineLevel="0" collapsed="false">
      <c r="A74" s="6" t="n">
        <v>73</v>
      </c>
      <c r="B74" s="6" t="s">
        <v>140</v>
      </c>
      <c r="C74" s="6" t="n">
        <f aca="false">COUNTIF(Minors!B74:LS74,"&gt;0")</f>
        <v>149</v>
      </c>
      <c r="D74" s="6" t="n">
        <f aca="false">COUNTIF(Minors!B74:LS74,"&lt;0")</f>
        <v>181</v>
      </c>
      <c r="E74" s="6" t="n">
        <f aca="false">COUNTIF(Minors!B74:LS74,0)</f>
        <v>0</v>
      </c>
      <c r="F74" s="6" t="n">
        <f aca="false">C74+D74</f>
        <v>330</v>
      </c>
      <c r="G74" s="6" t="n">
        <f aca="false">MIN(C74,D74)</f>
        <v>149</v>
      </c>
      <c r="H74" s="6" t="str">
        <f aca="false">IF(F74=0,"rank&lt;4",IF(G74=0,"YES","no"))</f>
        <v>no</v>
      </c>
      <c r="I74" s="6" t="n">
        <f aca="false">MIN(MIN(Minors!B74:LS74),-MAX(Minors!B74:LS74))*0+SMALL(Minors!B74:LS74,COUNTIF(Minors!B74:LS74,"&lt;0")+E74+1)</f>
        <v>348</v>
      </c>
      <c r="J74" s="6" t="n">
        <f aca="false">MAX(MAX(Minors!B74:LS74),-MIN(Minors!B74:LS74))</f>
        <v>2762006064</v>
      </c>
    </row>
    <row r="75" customFormat="false" ht="15" hidden="false" customHeight="true" outlineLevel="0" collapsed="false">
      <c r="A75" s="6" t="n">
        <v>74</v>
      </c>
      <c r="B75" s="6" t="s">
        <v>141</v>
      </c>
      <c r="C75" s="6" t="n">
        <f aca="false">COUNTIF(Minors!B75:LS75,"&gt;0")</f>
        <v>168</v>
      </c>
      <c r="D75" s="6" t="n">
        <f aca="false">COUNTIF(Minors!B75:LS75,"&lt;0")</f>
        <v>162</v>
      </c>
      <c r="E75" s="6" t="n">
        <f aca="false">COUNTIF(Minors!B75:LS75,0)</f>
        <v>0</v>
      </c>
      <c r="F75" s="6" t="n">
        <f aca="false">C75+D75</f>
        <v>330</v>
      </c>
      <c r="G75" s="6" t="n">
        <f aca="false">MIN(C75,D75)</f>
        <v>162</v>
      </c>
      <c r="H75" s="6" t="str">
        <f aca="false">IF(F75=0,"rank&lt;4",IF(G75=0,"YES","no"))</f>
        <v>no</v>
      </c>
      <c r="I75" s="6" t="n">
        <f aca="false">MIN(MIN(Minors!B75:LS75),-MAX(Minors!B75:LS75))*0+SMALL(Minors!B75:LS75,COUNTIF(Minors!B75:LS75,"&lt;0")+E75+1)</f>
        <v>1175</v>
      </c>
      <c r="J75" s="6" t="n">
        <f aca="false">MAX(MAX(Minors!B75:LS75),-MIN(Minors!B75:LS75))</f>
        <v>7161517645</v>
      </c>
    </row>
    <row r="76" customFormat="false" ht="15" hidden="false" customHeight="true" outlineLevel="0" collapsed="false">
      <c r="A76" s="6" t="n">
        <v>75</v>
      </c>
      <c r="B76" s="6" t="s">
        <v>142</v>
      </c>
      <c r="C76" s="6" t="n">
        <f aca="false">COUNTIF(Minors!B76:LS76,"&gt;0")</f>
        <v>186</v>
      </c>
      <c r="D76" s="6" t="n">
        <f aca="false">COUNTIF(Minors!B76:LS76,"&lt;0")</f>
        <v>144</v>
      </c>
      <c r="E76" s="6" t="n">
        <f aca="false">COUNTIF(Minors!B76:LS76,0)</f>
        <v>0</v>
      </c>
      <c r="F76" s="6" t="n">
        <f aca="false">C76+D76</f>
        <v>330</v>
      </c>
      <c r="G76" s="6" t="n">
        <f aca="false">MIN(C76,D76)</f>
        <v>144</v>
      </c>
      <c r="H76" s="6" t="str">
        <f aca="false">IF(F76=0,"rank&lt;4",IF(G76=0,"YES","no"))</f>
        <v>no</v>
      </c>
      <c r="I76" s="6" t="n">
        <f aca="false">MIN(MIN(Minors!B76:LS76),-MAX(Minors!B76:LS76))*0+SMALL(Minors!B76:LS76,COUNTIF(Minors!B76:LS76,"&lt;0")+E76+1)</f>
        <v>1534</v>
      </c>
      <c r="J76" s="6" t="n">
        <f aca="false">MAX(MAX(Minors!B76:LS76),-MIN(Minors!B76:LS76))</f>
        <v>7693102839</v>
      </c>
    </row>
    <row r="77" customFormat="false" ht="15" hidden="false" customHeight="true" outlineLevel="0" collapsed="false">
      <c r="A77" s="6" t="n">
        <v>76</v>
      </c>
      <c r="B77" s="6" t="s">
        <v>143</v>
      </c>
      <c r="C77" s="6" t="n">
        <f aca="false">COUNTIF(Minors!B77:LS77,"&gt;0")</f>
        <v>163</v>
      </c>
      <c r="D77" s="6" t="n">
        <f aca="false">COUNTIF(Minors!B77:LS77,"&lt;0")</f>
        <v>167</v>
      </c>
      <c r="E77" s="6" t="n">
        <f aca="false">COUNTIF(Minors!B77:LS77,0)</f>
        <v>0</v>
      </c>
      <c r="F77" s="6" t="n">
        <f aca="false">C77+D77</f>
        <v>330</v>
      </c>
      <c r="G77" s="6" t="n">
        <f aca="false">MIN(C77,D77)</f>
        <v>163</v>
      </c>
      <c r="H77" s="6" t="str">
        <f aca="false">IF(F77=0,"rank&lt;4",IF(G77=0,"YES","no"))</f>
        <v>no</v>
      </c>
      <c r="I77" s="6" t="n">
        <f aca="false">MIN(MIN(Minors!B77:LS77),-MAX(Minors!B77:LS77))*0+SMALL(Minors!B77:LS77,COUNTIF(Minors!B77:LS77,"&lt;0")+E77+1)</f>
        <v>344</v>
      </c>
      <c r="J77" s="6" t="n">
        <f aca="false">MAX(MAX(Minors!B77:LS77),-MIN(Minors!B77:LS77))</f>
        <v>1448203852</v>
      </c>
    </row>
    <row r="78" customFormat="false" ht="15" hidden="false" customHeight="true" outlineLevel="0" collapsed="false">
      <c r="A78" s="6" t="n">
        <v>77</v>
      </c>
      <c r="B78" s="6" t="s">
        <v>144</v>
      </c>
      <c r="C78" s="6" t="n">
        <f aca="false">COUNTIF(Minors!B78:LS78,"&gt;0")</f>
        <v>177</v>
      </c>
      <c r="D78" s="6" t="n">
        <f aca="false">COUNTIF(Minors!B78:LS78,"&lt;0")</f>
        <v>153</v>
      </c>
      <c r="E78" s="6" t="n">
        <f aca="false">COUNTIF(Minors!B78:LS78,0)</f>
        <v>0</v>
      </c>
      <c r="F78" s="6" t="n">
        <f aca="false">C78+D78</f>
        <v>330</v>
      </c>
      <c r="G78" s="6" t="n">
        <f aca="false">MIN(C78,D78)</f>
        <v>153</v>
      </c>
      <c r="H78" s="6" t="str">
        <f aca="false">IF(F78=0,"rank&lt;4",IF(G78=0,"YES","no"))</f>
        <v>no</v>
      </c>
      <c r="I78" s="6" t="n">
        <f aca="false">MIN(MIN(Minors!B78:LS78),-MAX(Minors!B78:LS78))*0+SMALL(Minors!B78:LS78,COUNTIF(Minors!B78:LS78,"&lt;0")+E78+1)</f>
        <v>5988</v>
      </c>
      <c r="J78" s="6" t="n">
        <f aca="false">MAX(MAX(Minors!B78:LS78),-MIN(Minors!B78:LS78))</f>
        <v>1674779300</v>
      </c>
    </row>
    <row r="79" customFormat="false" ht="15" hidden="false" customHeight="true" outlineLevel="0" collapsed="false">
      <c r="A79" s="6" t="n">
        <v>78</v>
      </c>
      <c r="B79" s="6" t="s">
        <v>145</v>
      </c>
      <c r="C79" s="6" t="n">
        <f aca="false">COUNTIF(Minors!B79:LS79,"&gt;0")</f>
        <v>173</v>
      </c>
      <c r="D79" s="6" t="n">
        <f aca="false">COUNTIF(Minors!B79:LS79,"&lt;0")</f>
        <v>157</v>
      </c>
      <c r="E79" s="6" t="n">
        <f aca="false">COUNTIF(Minors!B79:LS79,0)</f>
        <v>0</v>
      </c>
      <c r="F79" s="6" t="n">
        <f aca="false">C79+D79</f>
        <v>330</v>
      </c>
      <c r="G79" s="6" t="n">
        <f aca="false">MIN(C79,D79)</f>
        <v>157</v>
      </c>
      <c r="H79" s="6" t="str">
        <f aca="false">IF(F79=0,"rank&lt;4",IF(G79=0,"YES","no"))</f>
        <v>no</v>
      </c>
      <c r="I79" s="6" t="n">
        <f aca="false">MIN(MIN(Minors!B79:LS79),-MAX(Minors!B79:LS79))*0+SMALL(Minors!B79:LS79,COUNTIF(Minors!B79:LS79,"&lt;0")+E79+1)</f>
        <v>12888</v>
      </c>
      <c r="J79" s="6" t="n">
        <f aca="false">MAX(MAX(Minors!B79:LS79),-MIN(Minors!B79:LS79))</f>
        <v>2025747112</v>
      </c>
    </row>
    <row r="80" customFormat="false" ht="15" hidden="false" customHeight="true" outlineLevel="0" collapsed="false">
      <c r="A80" s="6" t="n">
        <v>79</v>
      </c>
      <c r="B80" s="6" t="s">
        <v>146</v>
      </c>
      <c r="C80" s="6" t="n">
        <f aca="false">COUNTIF(Minors!B80:LS80,"&gt;0")</f>
        <v>170</v>
      </c>
      <c r="D80" s="6" t="n">
        <f aca="false">COUNTIF(Minors!B80:LS80,"&lt;0")</f>
        <v>160</v>
      </c>
      <c r="E80" s="6" t="n">
        <f aca="false">COUNTIF(Minors!B80:LS80,0)</f>
        <v>0</v>
      </c>
      <c r="F80" s="6" t="n">
        <f aca="false">C80+D80</f>
        <v>330</v>
      </c>
      <c r="G80" s="6" t="n">
        <f aca="false">MIN(C80,D80)</f>
        <v>160</v>
      </c>
      <c r="H80" s="6" t="str">
        <f aca="false">IF(F80=0,"rank&lt;4",IF(G80=0,"YES","no"))</f>
        <v>no</v>
      </c>
      <c r="I80" s="6" t="n">
        <f aca="false">MIN(MIN(Minors!B80:LS80),-MAX(Minors!B80:LS80))*0+SMALL(Minors!B80:LS80,COUNTIF(Minors!B80:LS80,"&lt;0")+E80+1)</f>
        <v>1545</v>
      </c>
      <c r="J80" s="6" t="n">
        <f aca="false">MAX(MAX(Minors!B80:LS80),-MIN(Minors!B80:LS80))</f>
        <v>5066283448</v>
      </c>
    </row>
    <row r="81" customFormat="false" ht="15" hidden="false" customHeight="true" outlineLevel="0" collapsed="false">
      <c r="A81" s="6" t="n">
        <v>80</v>
      </c>
      <c r="B81" s="6" t="s">
        <v>147</v>
      </c>
      <c r="C81" s="6" t="n">
        <f aca="false">COUNTIF(Minors!B81:LS81,"&gt;0")</f>
        <v>174</v>
      </c>
      <c r="D81" s="6" t="n">
        <f aca="false">COUNTIF(Minors!B81:LS81,"&lt;0")</f>
        <v>156</v>
      </c>
      <c r="E81" s="6" t="n">
        <f aca="false">COUNTIF(Minors!B81:LS81,0)</f>
        <v>0</v>
      </c>
      <c r="F81" s="6" t="n">
        <f aca="false">C81+D81</f>
        <v>330</v>
      </c>
      <c r="G81" s="6" t="n">
        <f aca="false">MIN(C81,D81)</f>
        <v>156</v>
      </c>
      <c r="H81" s="6" t="str">
        <f aca="false">IF(F81=0,"rank&lt;4",IF(G81=0,"YES","no"))</f>
        <v>no</v>
      </c>
      <c r="I81" s="6" t="n">
        <f aca="false">MIN(MIN(Minors!B81:LS81),-MAX(Minors!B81:LS81))*0+SMALL(Minors!B81:LS81,COUNTIF(Minors!B81:LS81,"&lt;0")+E81+1)</f>
        <v>3152</v>
      </c>
      <c r="J81" s="6" t="n">
        <f aca="false">MAX(MAX(Minors!B81:LS81),-MIN(Minors!B81:LS81))</f>
        <v>5625627508</v>
      </c>
    </row>
    <row r="82" customFormat="false" ht="15" hidden="false" customHeight="true" outlineLevel="0" collapsed="false">
      <c r="A82" s="6" t="n">
        <v>81</v>
      </c>
      <c r="B82" s="6" t="s">
        <v>148</v>
      </c>
      <c r="C82" s="6" t="n">
        <f aca="false">COUNTIF(Minors!B82:LS82,"&gt;0")</f>
        <v>166</v>
      </c>
      <c r="D82" s="6" t="n">
        <f aca="false">COUNTIF(Minors!B82:LS82,"&lt;0")</f>
        <v>164</v>
      </c>
      <c r="E82" s="6" t="n">
        <f aca="false">COUNTIF(Minors!B82:LS82,0)</f>
        <v>0</v>
      </c>
      <c r="F82" s="6" t="n">
        <f aca="false">C82+D82</f>
        <v>330</v>
      </c>
      <c r="G82" s="6" t="n">
        <f aca="false">MIN(C82,D82)</f>
        <v>164</v>
      </c>
      <c r="H82" s="6" t="str">
        <f aca="false">IF(F82=0,"rank&lt;4",IF(G82=0,"YES","no"))</f>
        <v>no</v>
      </c>
      <c r="I82" s="6" t="n">
        <f aca="false">MIN(MIN(Minors!B82:LS82),-MAX(Minors!B82:LS82))*0+SMALL(Minors!B82:LS82,COUNTIF(Minors!B82:LS82,"&lt;0")+E82+1)</f>
        <v>450</v>
      </c>
      <c r="J82" s="6" t="n">
        <f aca="false">MAX(MAX(Minors!B82:LS82),-MIN(Minors!B82:LS82))</f>
        <v>9830689803</v>
      </c>
    </row>
    <row r="83" customFormat="false" ht="15" hidden="false" customHeight="true" outlineLevel="0" collapsed="false">
      <c r="A83" s="6" t="n">
        <v>82</v>
      </c>
      <c r="B83" s="6" t="s">
        <v>149</v>
      </c>
      <c r="C83" s="6" t="n">
        <f aca="false">COUNTIF(Minors!B83:LS83,"&gt;0")</f>
        <v>185</v>
      </c>
      <c r="D83" s="6" t="n">
        <f aca="false">COUNTIF(Minors!B83:LS83,"&lt;0")</f>
        <v>145</v>
      </c>
      <c r="E83" s="6" t="n">
        <f aca="false">COUNTIF(Minors!B83:LS83,0)</f>
        <v>0</v>
      </c>
      <c r="F83" s="6" t="n">
        <f aca="false">C83+D83</f>
        <v>330</v>
      </c>
      <c r="G83" s="6" t="n">
        <f aca="false">MIN(C83,D83)</f>
        <v>145</v>
      </c>
      <c r="H83" s="6" t="str">
        <f aca="false">IF(F83=0,"rank&lt;4",IF(G83=0,"YES","no"))</f>
        <v>no</v>
      </c>
      <c r="I83" s="6" t="n">
        <f aca="false">MIN(MIN(Minors!B83:LS83),-MAX(Minors!B83:LS83))*0+SMALL(Minors!B83:LS83,COUNTIF(Minors!B83:LS83,"&lt;0")+E83+1)</f>
        <v>24</v>
      </c>
      <c r="J83" s="6" t="n">
        <f aca="false">MAX(MAX(Minors!B83:LS83),-MIN(Minors!B83:LS83))</f>
        <v>1379093124</v>
      </c>
    </row>
    <row r="84" customFormat="false" ht="15" hidden="false" customHeight="true" outlineLevel="0" collapsed="false">
      <c r="A84" s="6" t="n">
        <v>83</v>
      </c>
      <c r="B84" s="6" t="s">
        <v>150</v>
      </c>
      <c r="C84" s="6" t="n">
        <f aca="false">COUNTIF(Minors!B84:LS84,"&gt;0")</f>
        <v>164</v>
      </c>
      <c r="D84" s="6" t="n">
        <f aca="false">COUNTIF(Minors!B84:LS84,"&lt;0")</f>
        <v>166</v>
      </c>
      <c r="E84" s="6" t="n">
        <f aca="false">COUNTIF(Minors!B84:LS84,0)</f>
        <v>0</v>
      </c>
      <c r="F84" s="6" t="n">
        <f aca="false">C84+D84</f>
        <v>330</v>
      </c>
      <c r="G84" s="6" t="n">
        <f aca="false">MIN(C84,D84)</f>
        <v>164</v>
      </c>
      <c r="H84" s="6" t="str">
        <f aca="false">IF(F84=0,"rank&lt;4",IF(G84=0,"YES","no"))</f>
        <v>no</v>
      </c>
      <c r="I84" s="6" t="n">
        <f aca="false">MIN(MIN(Minors!B84:LS84),-MAX(Minors!B84:LS84))*0+SMALL(Minors!B84:LS84,COUNTIF(Minors!B84:LS84,"&lt;0")+E84+1)</f>
        <v>1102</v>
      </c>
      <c r="J84" s="6" t="n">
        <f aca="false">MAX(MAX(Minors!B84:LS84),-MIN(Minors!B84:LS84))</f>
        <v>2660829080</v>
      </c>
    </row>
    <row r="85" customFormat="false" ht="15" hidden="false" customHeight="true" outlineLevel="0" collapsed="false">
      <c r="A85" s="6" t="n">
        <v>84</v>
      </c>
      <c r="B85" s="6" t="s">
        <v>151</v>
      </c>
      <c r="C85" s="6" t="n">
        <f aca="false">COUNTIF(Minors!B85:LS85,"&gt;0")</f>
        <v>149</v>
      </c>
      <c r="D85" s="6" t="n">
        <f aca="false">COUNTIF(Minors!B85:LS85,"&lt;0")</f>
        <v>181</v>
      </c>
      <c r="E85" s="6" t="n">
        <f aca="false">COUNTIF(Minors!B85:LS85,0)</f>
        <v>0</v>
      </c>
      <c r="F85" s="6" t="n">
        <f aca="false">C85+D85</f>
        <v>330</v>
      </c>
      <c r="G85" s="6" t="n">
        <f aca="false">MIN(C85,D85)</f>
        <v>149</v>
      </c>
      <c r="H85" s="6" t="str">
        <f aca="false">IF(F85=0,"rank&lt;4",IF(G85=0,"YES","no"))</f>
        <v>no</v>
      </c>
      <c r="I85" s="6" t="n">
        <f aca="false">MIN(MIN(Minors!B85:LS85),-MAX(Minors!B85:LS85))*0+SMALL(Minors!B85:LS85,COUNTIF(Minors!B85:LS85,"&lt;0")+E85+1)</f>
        <v>2235</v>
      </c>
      <c r="J85" s="6" t="n">
        <f aca="false">MAX(MAX(Minors!B85:LS85),-MIN(Minors!B85:LS85))</f>
        <v>2861338120</v>
      </c>
    </row>
    <row r="86" customFormat="false" ht="15" hidden="false" customHeight="true" outlineLevel="0" collapsed="false">
      <c r="A86" s="6" t="n">
        <v>85</v>
      </c>
      <c r="B86" s="6" t="s">
        <v>152</v>
      </c>
      <c r="C86" s="6" t="n">
        <f aca="false">COUNTIF(Minors!B86:LS86,"&gt;0")</f>
        <v>153</v>
      </c>
      <c r="D86" s="6" t="n">
        <f aca="false">COUNTIF(Minors!B86:LS86,"&lt;0")</f>
        <v>177</v>
      </c>
      <c r="E86" s="6" t="n">
        <f aca="false">COUNTIF(Minors!B86:LS86,0)</f>
        <v>0</v>
      </c>
      <c r="F86" s="6" t="n">
        <f aca="false">C86+D86</f>
        <v>330</v>
      </c>
      <c r="G86" s="6" t="n">
        <f aca="false">MIN(C86,D86)</f>
        <v>153</v>
      </c>
      <c r="H86" s="6" t="str">
        <f aca="false">IF(F86=0,"rank&lt;4",IF(G86=0,"YES","no"))</f>
        <v>no</v>
      </c>
      <c r="I86" s="6" t="n">
        <f aca="false">MIN(MIN(Minors!B86:LS86),-MAX(Minors!B86:LS86))*0+SMALL(Minors!B86:LS86,COUNTIF(Minors!B86:LS86,"&lt;0")+E86+1)</f>
        <v>2244</v>
      </c>
      <c r="J86" s="6" t="n">
        <f aca="false">MAX(MAX(Minors!B86:LS86),-MIN(Minors!B86:LS86))</f>
        <v>4528540848</v>
      </c>
    </row>
    <row r="87" customFormat="false" ht="15" hidden="false" customHeight="true" outlineLevel="0" collapsed="false">
      <c r="A87" s="6" t="n">
        <v>86</v>
      </c>
      <c r="B87" s="6" t="s">
        <v>153</v>
      </c>
      <c r="C87" s="6" t="n">
        <f aca="false">COUNTIF(Minors!B87:LS87,"&gt;0")</f>
        <v>152</v>
      </c>
      <c r="D87" s="6" t="n">
        <f aca="false">COUNTIF(Minors!B87:LS87,"&lt;0")</f>
        <v>178</v>
      </c>
      <c r="E87" s="6" t="n">
        <f aca="false">COUNTIF(Minors!B87:LS87,0)</f>
        <v>0</v>
      </c>
      <c r="F87" s="6" t="n">
        <f aca="false">C87+D87</f>
        <v>330</v>
      </c>
      <c r="G87" s="6" t="n">
        <f aca="false">MIN(C87,D87)</f>
        <v>152</v>
      </c>
      <c r="H87" s="6" t="str">
        <f aca="false">IF(F87=0,"rank&lt;4",IF(G87=0,"YES","no"))</f>
        <v>no</v>
      </c>
      <c r="I87" s="6" t="n">
        <f aca="false">MIN(MIN(Minors!B87:LS87),-MAX(Minors!B87:LS87))*0+SMALL(Minors!B87:LS87,COUNTIF(Minors!B87:LS87,"&lt;0")+E87+1)</f>
        <v>1406</v>
      </c>
      <c r="J87" s="6" t="n">
        <f aca="false">MAX(MAX(Minors!B87:LS87),-MIN(Minors!B87:LS87))</f>
        <v>6839838646</v>
      </c>
    </row>
    <row r="88" customFormat="false" ht="15" hidden="false" customHeight="true" outlineLevel="0" collapsed="false">
      <c r="A88" s="6" t="n">
        <v>87</v>
      </c>
      <c r="B88" s="6" t="s">
        <v>154</v>
      </c>
      <c r="C88" s="6" t="n">
        <f aca="false">COUNTIF(Minors!B88:LS88,"&gt;0")</f>
        <v>166</v>
      </c>
      <c r="D88" s="6" t="n">
        <f aca="false">COUNTIF(Minors!B88:LS88,"&lt;0")</f>
        <v>164</v>
      </c>
      <c r="E88" s="6" t="n">
        <f aca="false">COUNTIF(Minors!B88:LS88,0)</f>
        <v>0</v>
      </c>
      <c r="F88" s="6" t="n">
        <f aca="false">C88+D88</f>
        <v>330</v>
      </c>
      <c r="G88" s="6" t="n">
        <f aca="false">MIN(C88,D88)</f>
        <v>164</v>
      </c>
      <c r="H88" s="6" t="str">
        <f aca="false">IF(F88=0,"rank&lt;4",IF(G88=0,"YES","no"))</f>
        <v>no</v>
      </c>
      <c r="I88" s="6" t="n">
        <f aca="false">MIN(MIN(Minors!B88:LS88),-MAX(Minors!B88:LS88))*0+SMALL(Minors!B88:LS88,COUNTIF(Minors!B88:LS88,"&lt;0")+E88+1)</f>
        <v>93</v>
      </c>
      <c r="J88" s="6" t="n">
        <f aca="false">MAX(MAX(Minors!B88:LS88),-MIN(Minors!B88:LS88))</f>
        <v>7743416687</v>
      </c>
    </row>
    <row r="89" customFormat="false" ht="15" hidden="false" customHeight="true" outlineLevel="0" collapsed="false">
      <c r="A89" s="6" t="n">
        <v>88</v>
      </c>
      <c r="B89" s="6" t="s">
        <v>155</v>
      </c>
      <c r="C89" s="6" t="n">
        <f aca="false">COUNTIF(Minors!B89:LS89,"&gt;0")</f>
        <v>161</v>
      </c>
      <c r="D89" s="6" t="n">
        <f aca="false">COUNTIF(Minors!B89:LS89,"&lt;0")</f>
        <v>169</v>
      </c>
      <c r="E89" s="6" t="n">
        <f aca="false">COUNTIF(Minors!B89:LS89,0)</f>
        <v>0</v>
      </c>
      <c r="F89" s="6" t="n">
        <f aca="false">C89+D89</f>
        <v>330</v>
      </c>
      <c r="G89" s="6" t="n">
        <f aca="false">MIN(C89,D89)</f>
        <v>161</v>
      </c>
      <c r="H89" s="6" t="str">
        <f aca="false">IF(F89=0,"rank&lt;4",IF(G89=0,"YES","no"))</f>
        <v>no</v>
      </c>
      <c r="I89" s="6" t="n">
        <f aca="false">MIN(MIN(Minors!B89:LS89),-MAX(Minors!B89:LS89))*0+SMALL(Minors!B89:LS89,COUNTIF(Minors!B89:LS89,"&lt;0")+E89+1)</f>
        <v>345</v>
      </c>
      <c r="J89" s="6" t="n">
        <f aca="false">MAX(MAX(Minors!B89:LS89),-MIN(Minors!B89:LS89))</f>
        <v>2098142976</v>
      </c>
    </row>
    <row r="90" customFormat="false" ht="15" hidden="false" customHeight="true" outlineLevel="0" collapsed="false">
      <c r="A90" s="6" t="n">
        <v>89</v>
      </c>
      <c r="B90" s="6" t="s">
        <v>156</v>
      </c>
      <c r="C90" s="6" t="n">
        <f aca="false">COUNTIF(Minors!B90:LS90,"&gt;0")</f>
        <v>170</v>
      </c>
      <c r="D90" s="6" t="n">
        <f aca="false">COUNTIF(Minors!B90:LS90,"&lt;0")</f>
        <v>160</v>
      </c>
      <c r="E90" s="6" t="n">
        <f aca="false">COUNTIF(Minors!B90:LS90,0)</f>
        <v>0</v>
      </c>
      <c r="F90" s="6" t="n">
        <f aca="false">C90+D90</f>
        <v>330</v>
      </c>
      <c r="G90" s="6" t="n">
        <f aca="false">MIN(C90,D90)</f>
        <v>160</v>
      </c>
      <c r="H90" s="6" t="str">
        <f aca="false">IF(F90=0,"rank&lt;4",IF(G90=0,"YES","no"))</f>
        <v>no</v>
      </c>
      <c r="I90" s="6" t="n">
        <f aca="false">MIN(MIN(Minors!B90:LS90),-MAX(Minors!B90:LS90))*0+SMALL(Minors!B90:LS90,COUNTIF(Minors!B90:LS90,"&lt;0")+E90+1)</f>
        <v>603</v>
      </c>
      <c r="J90" s="6" t="n">
        <f aca="false">MAX(MAX(Minors!B90:LS90),-MIN(Minors!B90:LS90))</f>
        <v>2625003150</v>
      </c>
    </row>
    <row r="91" customFormat="false" ht="15" hidden="false" customHeight="true" outlineLevel="0" collapsed="false">
      <c r="A91" s="6" t="n">
        <v>90</v>
      </c>
      <c r="B91" s="6" t="s">
        <v>157</v>
      </c>
      <c r="C91" s="6" t="n">
        <f aca="false">COUNTIF(Minors!B91:LS91,"&gt;0")</f>
        <v>161</v>
      </c>
      <c r="D91" s="6" t="n">
        <f aca="false">COUNTIF(Minors!B91:LS91,"&lt;0")</f>
        <v>169</v>
      </c>
      <c r="E91" s="6" t="n">
        <f aca="false">COUNTIF(Minors!B91:LS91,0)</f>
        <v>0</v>
      </c>
      <c r="F91" s="6" t="n">
        <f aca="false">C91+D91</f>
        <v>330</v>
      </c>
      <c r="G91" s="6" t="n">
        <f aca="false">MIN(C91,D91)</f>
        <v>161</v>
      </c>
      <c r="H91" s="6" t="str">
        <f aca="false">IF(F91=0,"rank&lt;4",IF(G91=0,"YES","no"))</f>
        <v>no</v>
      </c>
      <c r="I91" s="6" t="n">
        <f aca="false">MIN(MIN(Minors!B91:LS91),-MAX(Minors!B91:LS91))*0+SMALL(Minors!B91:LS91,COUNTIF(Minors!B91:LS91,"&lt;0")+E91+1)</f>
        <v>7737</v>
      </c>
      <c r="J91" s="6" t="n">
        <f aca="false">MAX(MAX(Minors!B91:LS91),-MIN(Minors!B91:LS91))</f>
        <v>3164134772</v>
      </c>
    </row>
    <row r="92" customFormat="false" ht="15" hidden="false" customHeight="true" outlineLevel="0" collapsed="false">
      <c r="A92" s="6" t="n">
        <v>91</v>
      </c>
      <c r="B92" s="6" t="s">
        <v>158</v>
      </c>
      <c r="C92" s="6" t="n">
        <f aca="false">COUNTIF(Minors!B92:LS92,"&gt;0")</f>
        <v>157</v>
      </c>
      <c r="D92" s="6" t="n">
        <f aca="false">COUNTIF(Minors!B92:LS92,"&lt;0")</f>
        <v>173</v>
      </c>
      <c r="E92" s="6" t="n">
        <f aca="false">COUNTIF(Minors!B92:LS92,0)</f>
        <v>0</v>
      </c>
      <c r="F92" s="6" t="n">
        <f aca="false">C92+D92</f>
        <v>330</v>
      </c>
      <c r="G92" s="6" t="n">
        <f aca="false">MIN(C92,D92)</f>
        <v>157</v>
      </c>
      <c r="H92" s="6" t="str">
        <f aca="false">IF(F92=0,"rank&lt;4",IF(G92=0,"YES","no"))</f>
        <v>no</v>
      </c>
      <c r="I92" s="6" t="n">
        <f aca="false">MIN(MIN(Minors!B92:LS92),-MAX(Minors!B92:LS92))*0+SMALL(Minors!B92:LS92,COUNTIF(Minors!B92:LS92,"&lt;0")+E92+1)</f>
        <v>2400</v>
      </c>
      <c r="J92" s="6" t="n">
        <f aca="false">MAX(MAX(Minors!B92:LS92),-MIN(Minors!B92:LS92))</f>
        <v>9363620200</v>
      </c>
    </row>
    <row r="93" customFormat="false" ht="15" hidden="false" customHeight="true" outlineLevel="0" collapsed="false">
      <c r="A93" s="6" t="n">
        <v>92</v>
      </c>
      <c r="B93" s="6" t="s">
        <v>159</v>
      </c>
      <c r="C93" s="6" t="n">
        <f aca="false">COUNTIF(Minors!B93:LS93,"&gt;0")</f>
        <v>150</v>
      </c>
      <c r="D93" s="6" t="n">
        <f aca="false">COUNTIF(Minors!B93:LS93,"&lt;0")</f>
        <v>180</v>
      </c>
      <c r="E93" s="6" t="n">
        <f aca="false">COUNTIF(Minors!B93:LS93,0)</f>
        <v>0</v>
      </c>
      <c r="F93" s="6" t="n">
        <f aca="false">C93+D93</f>
        <v>330</v>
      </c>
      <c r="G93" s="6" t="n">
        <f aca="false">MIN(C93,D93)</f>
        <v>150</v>
      </c>
      <c r="H93" s="6" t="str">
        <f aca="false">IF(F93=0,"rank&lt;4",IF(G93=0,"YES","no"))</f>
        <v>no</v>
      </c>
      <c r="I93" s="6" t="n">
        <f aca="false">MIN(MIN(Minors!B93:LS93),-MAX(Minors!B93:LS93))*0+SMALL(Minors!B93:LS93,COUNTIF(Minors!B93:LS93,"&lt;0")+E93+1)</f>
        <v>860</v>
      </c>
      <c r="J93" s="6" t="n">
        <f aca="false">MAX(MAX(Minors!B93:LS93),-MIN(Minors!B93:LS93))</f>
        <v>3582073680</v>
      </c>
    </row>
    <row r="94" customFormat="false" ht="15" hidden="false" customHeight="true" outlineLevel="0" collapsed="false">
      <c r="A94" s="6" t="n">
        <v>93</v>
      </c>
      <c r="B94" s="6" t="s">
        <v>160</v>
      </c>
      <c r="C94" s="6" t="n">
        <f aca="false">COUNTIF(Minors!B94:LS94,"&gt;0")</f>
        <v>164</v>
      </c>
      <c r="D94" s="6" t="n">
        <f aca="false">COUNTIF(Minors!B94:LS94,"&lt;0")</f>
        <v>166</v>
      </c>
      <c r="E94" s="6" t="n">
        <f aca="false">COUNTIF(Minors!B94:LS94,0)</f>
        <v>0</v>
      </c>
      <c r="F94" s="6" t="n">
        <f aca="false">C94+D94</f>
        <v>330</v>
      </c>
      <c r="G94" s="6" t="n">
        <f aca="false">MIN(C94,D94)</f>
        <v>164</v>
      </c>
      <c r="H94" s="6" t="str">
        <f aca="false">IF(F94=0,"rank&lt;4",IF(G94=0,"YES","no"))</f>
        <v>no</v>
      </c>
      <c r="I94" s="6" t="n">
        <f aca="false">MIN(MIN(Minors!B94:LS94),-MAX(Minors!B94:LS94))*0+SMALL(Minors!B94:LS94,COUNTIF(Minors!B94:LS94,"&lt;0")+E94+1)</f>
        <v>168</v>
      </c>
      <c r="J94" s="6" t="n">
        <f aca="false">MAX(MAX(Minors!B94:LS94),-MIN(Minors!B94:LS94))</f>
        <v>1718869868</v>
      </c>
    </row>
    <row r="95" customFormat="false" ht="15" hidden="false" customHeight="true" outlineLevel="0" collapsed="false">
      <c r="A95" s="6" t="n">
        <v>94</v>
      </c>
      <c r="B95" s="6" t="s">
        <v>161</v>
      </c>
      <c r="C95" s="6" t="n">
        <f aca="false">COUNTIF(Minors!B95:LS95,"&gt;0")</f>
        <v>175</v>
      </c>
      <c r="D95" s="6" t="n">
        <f aca="false">COUNTIF(Minors!B95:LS95,"&lt;0")</f>
        <v>155</v>
      </c>
      <c r="E95" s="6" t="n">
        <f aca="false">COUNTIF(Minors!B95:LS95,0)</f>
        <v>0</v>
      </c>
      <c r="F95" s="6" t="n">
        <f aca="false">C95+D95</f>
        <v>330</v>
      </c>
      <c r="G95" s="6" t="n">
        <f aca="false">MIN(C95,D95)</f>
        <v>155</v>
      </c>
      <c r="H95" s="6" t="str">
        <f aca="false">IF(F95=0,"rank&lt;4",IF(G95=0,"YES","no"))</f>
        <v>no</v>
      </c>
      <c r="I95" s="6" t="n">
        <f aca="false">MIN(MIN(Minors!B95:LS95),-MAX(Minors!B95:LS95))*0+SMALL(Minors!B95:LS95,COUNTIF(Minors!B95:LS95,"&lt;0")+E95+1)</f>
        <v>451</v>
      </c>
      <c r="J95" s="6" t="n">
        <f aca="false">MAX(MAX(Minors!B95:LS95),-MIN(Minors!B95:LS95))</f>
        <v>5586914556</v>
      </c>
    </row>
    <row r="96" customFormat="false" ht="15" hidden="false" customHeight="true" outlineLevel="0" collapsed="false">
      <c r="A96" s="6" t="n">
        <v>95</v>
      </c>
      <c r="B96" s="6" t="s">
        <v>162</v>
      </c>
      <c r="C96" s="6" t="n">
        <f aca="false">COUNTIF(Minors!B96:LS96,"&gt;0")</f>
        <v>185</v>
      </c>
      <c r="D96" s="6" t="n">
        <f aca="false">COUNTIF(Minors!B96:LS96,"&lt;0")</f>
        <v>145</v>
      </c>
      <c r="E96" s="6" t="n">
        <f aca="false">COUNTIF(Minors!B96:LS96,0)</f>
        <v>0</v>
      </c>
      <c r="F96" s="6" t="n">
        <f aca="false">C96+D96</f>
        <v>330</v>
      </c>
      <c r="G96" s="6" t="n">
        <f aca="false">MIN(C96,D96)</f>
        <v>145</v>
      </c>
      <c r="H96" s="6" t="str">
        <f aca="false">IF(F96=0,"rank&lt;4",IF(G96=0,"YES","no"))</f>
        <v>no</v>
      </c>
      <c r="I96" s="6" t="n">
        <f aca="false">MIN(MIN(Minors!B96:LS96),-MAX(Minors!B96:LS96))*0+SMALL(Minors!B96:LS96,COUNTIF(Minors!B96:LS96,"&lt;0")+E96+1)</f>
        <v>2124</v>
      </c>
      <c r="J96" s="6" t="n">
        <f aca="false">MAX(MAX(Minors!B96:LS96),-MIN(Minors!B96:LS96))</f>
        <v>6894392112</v>
      </c>
    </row>
    <row r="97" customFormat="false" ht="15" hidden="false" customHeight="true" outlineLevel="0" collapsed="false">
      <c r="A97" s="6" t="n">
        <v>96</v>
      </c>
      <c r="B97" s="6" t="s">
        <v>163</v>
      </c>
      <c r="C97" s="6" t="n">
        <f aca="false">COUNTIF(Minors!B97:LS97,"&gt;0")</f>
        <v>153</v>
      </c>
      <c r="D97" s="6" t="n">
        <f aca="false">COUNTIF(Minors!B97:LS97,"&lt;0")</f>
        <v>177</v>
      </c>
      <c r="E97" s="6" t="n">
        <f aca="false">COUNTIF(Minors!B97:LS97,0)</f>
        <v>0</v>
      </c>
      <c r="F97" s="6" t="n">
        <f aca="false">C97+D97</f>
        <v>330</v>
      </c>
      <c r="G97" s="6" t="n">
        <f aca="false">MIN(C97,D97)</f>
        <v>153</v>
      </c>
      <c r="H97" s="6" t="str">
        <f aca="false">IF(F97=0,"rank&lt;4",IF(G97=0,"YES","no"))</f>
        <v>no</v>
      </c>
      <c r="I97" s="6" t="n">
        <f aca="false">MIN(MIN(Minors!B97:LS97),-MAX(Minors!B97:LS97))*0+SMALL(Minors!B97:LS97,COUNTIF(Minors!B97:LS97,"&lt;0")+E97+1)</f>
        <v>636</v>
      </c>
      <c r="J97" s="6" t="n">
        <f aca="false">MAX(MAX(Minors!B97:LS97),-MIN(Minors!B97:LS97))</f>
        <v>1250658308</v>
      </c>
    </row>
    <row r="98" customFormat="false" ht="15" hidden="false" customHeight="true" outlineLevel="0" collapsed="false">
      <c r="A98" s="6" t="n">
        <v>97</v>
      </c>
      <c r="B98" s="6" t="s">
        <v>164</v>
      </c>
      <c r="C98" s="6" t="n">
        <f aca="false">COUNTIF(Minors!B98:LS98,"&gt;0")</f>
        <v>182</v>
      </c>
      <c r="D98" s="6" t="n">
        <f aca="false">COUNTIF(Minors!B98:LS98,"&lt;0")</f>
        <v>148</v>
      </c>
      <c r="E98" s="6" t="n">
        <f aca="false">COUNTIF(Minors!B98:LS98,0)</f>
        <v>0</v>
      </c>
      <c r="F98" s="6" t="n">
        <f aca="false">C98+D98</f>
        <v>330</v>
      </c>
      <c r="G98" s="6" t="n">
        <f aca="false">MIN(C98,D98)</f>
        <v>148</v>
      </c>
      <c r="H98" s="6" t="str">
        <f aca="false">IF(F98=0,"rank&lt;4",IF(G98=0,"YES","no"))</f>
        <v>no</v>
      </c>
      <c r="I98" s="6" t="n">
        <f aca="false">MIN(MIN(Minors!B98:LS98),-MAX(Minors!B98:LS98))*0+SMALL(Minors!B98:LS98,COUNTIF(Minors!B98:LS98,"&lt;0")+E98+1)</f>
        <v>937</v>
      </c>
      <c r="J98" s="6" t="n">
        <f aca="false">MAX(MAX(Minors!B98:LS98),-MIN(Minors!B98:LS98))</f>
        <v>4153467924</v>
      </c>
    </row>
    <row r="99" customFormat="false" ht="15" hidden="false" customHeight="true" outlineLevel="0" collapsed="false">
      <c r="A99" s="6" t="n">
        <v>98</v>
      </c>
      <c r="B99" s="6" t="s">
        <v>165</v>
      </c>
      <c r="C99" s="6" t="n">
        <f aca="false">COUNTIF(Minors!B99:LS99,"&gt;0")</f>
        <v>182</v>
      </c>
      <c r="D99" s="6" t="n">
        <f aca="false">COUNTIF(Minors!B99:LS99,"&lt;0")</f>
        <v>148</v>
      </c>
      <c r="E99" s="6" t="n">
        <f aca="false">COUNTIF(Minors!B99:LS99,0)</f>
        <v>0</v>
      </c>
      <c r="F99" s="6" t="n">
        <f aca="false">C99+D99</f>
        <v>330</v>
      </c>
      <c r="G99" s="6" t="n">
        <f aca="false">MIN(C99,D99)</f>
        <v>148</v>
      </c>
      <c r="H99" s="6" t="str">
        <f aca="false">IF(F99=0,"rank&lt;4",IF(G99=0,"YES","no"))</f>
        <v>no</v>
      </c>
      <c r="I99" s="6" t="n">
        <f aca="false">MIN(MIN(Minors!B99:LS99),-MAX(Minors!B99:LS99))*0+SMALL(Minors!B99:LS99,COUNTIF(Minors!B99:LS99,"&lt;0")+E99+1)</f>
        <v>807</v>
      </c>
      <c r="J99" s="6" t="n">
        <f aca="false">MAX(MAX(Minors!B99:LS99),-MIN(Minors!B99:LS99))</f>
        <v>5051783184</v>
      </c>
    </row>
    <row r="100" customFormat="false" ht="15" hidden="false" customHeight="true" outlineLevel="0" collapsed="false">
      <c r="A100" s="6" t="n">
        <v>99</v>
      </c>
      <c r="B100" s="6" t="s">
        <v>166</v>
      </c>
      <c r="C100" s="6" t="n">
        <f aca="false">COUNTIF(Minors!B100:LS100,"&gt;0")</f>
        <v>179</v>
      </c>
      <c r="D100" s="6" t="n">
        <f aca="false">COUNTIF(Minors!B100:LS100,"&lt;0")</f>
        <v>151</v>
      </c>
      <c r="E100" s="6" t="n">
        <f aca="false">COUNTIF(Minors!B100:LS100,0)</f>
        <v>0</v>
      </c>
      <c r="F100" s="6" t="n">
        <f aca="false">C100+D100</f>
        <v>330</v>
      </c>
      <c r="G100" s="6" t="n">
        <f aca="false">MIN(C100,D100)</f>
        <v>151</v>
      </c>
      <c r="H100" s="6" t="str">
        <f aca="false">IF(F100=0,"rank&lt;4",IF(G100=0,"YES","no"))</f>
        <v>no</v>
      </c>
      <c r="I100" s="6" t="n">
        <f aca="false">MIN(MIN(Minors!B100:LS100),-MAX(Minors!B100:LS100))*0+SMALL(Minors!B100:LS100,COUNTIF(Minors!B100:LS100,"&lt;0")+E100+1)</f>
        <v>8306</v>
      </c>
      <c r="J100" s="6" t="n">
        <f aca="false">MAX(MAX(Minors!B100:LS100),-MIN(Minors!B100:LS100))</f>
        <v>3776567152</v>
      </c>
    </row>
    <row r="101" customFormat="false" ht="15" hidden="false" customHeight="true" outlineLevel="0" collapsed="false">
      <c r="A101" s="6" t="n">
        <v>100</v>
      </c>
      <c r="B101" s="6" t="s">
        <v>167</v>
      </c>
      <c r="C101" s="6" t="n">
        <f aca="false">COUNTIF(Minors!B101:LS101,"&gt;0")</f>
        <v>178</v>
      </c>
      <c r="D101" s="6" t="n">
        <f aca="false">COUNTIF(Minors!B101:LS101,"&lt;0")</f>
        <v>152</v>
      </c>
      <c r="E101" s="6" t="n">
        <f aca="false">COUNTIF(Minors!B101:LS101,0)</f>
        <v>0</v>
      </c>
      <c r="F101" s="6" t="n">
        <f aca="false">C101+D101</f>
        <v>330</v>
      </c>
      <c r="G101" s="6" t="n">
        <f aca="false">MIN(C101,D101)</f>
        <v>152</v>
      </c>
      <c r="H101" s="6" t="str">
        <f aca="false">IF(F101=0,"rank&lt;4",IF(G101=0,"YES","no"))</f>
        <v>no</v>
      </c>
      <c r="I101" s="6" t="n">
        <f aca="false">MIN(MIN(Minors!B101:LS101),-MAX(Minors!B101:LS101))*0+SMALL(Minors!B101:LS101,COUNTIF(Minors!B101:LS101,"&lt;0")+E101+1)</f>
        <v>17610</v>
      </c>
      <c r="J101" s="6" t="n">
        <f aca="false">MAX(MAX(Minors!B101:LS101),-MIN(Minors!B101:LS101))</f>
        <v>3793804720</v>
      </c>
    </row>
    <row r="102" customFormat="false" ht="15" hidden="false" customHeight="true" outlineLevel="0" collapsed="false">
      <c r="A102" s="6" t="n">
        <v>101</v>
      </c>
      <c r="B102" s="6" t="s">
        <v>168</v>
      </c>
      <c r="C102" s="6" t="n">
        <f aca="false">COUNTIF(Minors!B102:LS102,"&gt;0")</f>
        <v>163</v>
      </c>
      <c r="D102" s="6" t="n">
        <f aca="false">COUNTIF(Minors!B102:LS102,"&lt;0")</f>
        <v>167</v>
      </c>
      <c r="E102" s="6" t="n">
        <f aca="false">COUNTIF(Minors!B102:LS102,0)</f>
        <v>0</v>
      </c>
      <c r="F102" s="6" t="n">
        <f aca="false">C102+D102</f>
        <v>330</v>
      </c>
      <c r="G102" s="6" t="n">
        <f aca="false">MIN(C102,D102)</f>
        <v>163</v>
      </c>
      <c r="H102" s="6" t="str">
        <f aca="false">IF(F102=0,"rank&lt;4",IF(G102=0,"YES","no"))</f>
        <v>no</v>
      </c>
      <c r="I102" s="6" t="n">
        <f aca="false">MIN(MIN(Minors!B102:LS102),-MAX(Minors!B102:LS102))*0+SMALL(Minors!B102:LS102,COUNTIF(Minors!B102:LS102,"&lt;0")+E102+1)</f>
        <v>2820</v>
      </c>
      <c r="J102" s="6" t="n">
        <f aca="false">MAX(MAX(Minors!B102:LS102),-MIN(Minors!B102:LS102))</f>
        <v>5077708066</v>
      </c>
    </row>
    <row r="103" customFormat="false" ht="15" hidden="false" customHeight="true" outlineLevel="0" collapsed="false">
      <c r="A103" s="6" t="n">
        <v>102</v>
      </c>
      <c r="B103" s="6" t="s">
        <v>169</v>
      </c>
      <c r="C103" s="6" t="n">
        <f aca="false">COUNTIF(Minors!B103:LS103,"&gt;0")</f>
        <v>157</v>
      </c>
      <c r="D103" s="6" t="n">
        <f aca="false">COUNTIF(Minors!B103:LS103,"&lt;0")</f>
        <v>173</v>
      </c>
      <c r="E103" s="6" t="n">
        <f aca="false">COUNTIF(Minors!B103:LS103,0)</f>
        <v>0</v>
      </c>
      <c r="F103" s="6" t="n">
        <f aca="false">C103+D103</f>
        <v>330</v>
      </c>
      <c r="G103" s="6" t="n">
        <f aca="false">MIN(C103,D103)</f>
        <v>157</v>
      </c>
      <c r="H103" s="6" t="str">
        <f aca="false">IF(F103=0,"rank&lt;4",IF(G103=0,"YES","no"))</f>
        <v>no</v>
      </c>
      <c r="I103" s="6" t="n">
        <f aca="false">MIN(MIN(Minors!B103:LS103),-MAX(Minors!B103:LS103))*0+SMALL(Minors!B103:LS103,COUNTIF(Minors!B103:LS103,"&lt;0")+E103+1)</f>
        <v>24</v>
      </c>
      <c r="J103" s="6" t="n">
        <f aca="false">MAX(MAX(Minors!B103:LS103),-MIN(Minors!B103:LS103))</f>
        <v>1627907373</v>
      </c>
    </row>
    <row r="104" customFormat="false" ht="15" hidden="false" customHeight="true" outlineLevel="0" collapsed="false">
      <c r="A104" s="6" t="n">
        <v>103</v>
      </c>
      <c r="B104" s="6" t="s">
        <v>170</v>
      </c>
      <c r="C104" s="6" t="n">
        <f aca="false">COUNTIF(Minors!B104:LS104,"&gt;0")</f>
        <v>160</v>
      </c>
      <c r="D104" s="6" t="n">
        <f aca="false">COUNTIF(Minors!B104:LS104,"&lt;0")</f>
        <v>170</v>
      </c>
      <c r="E104" s="6" t="n">
        <f aca="false">COUNTIF(Minors!B104:LS104,0)</f>
        <v>0</v>
      </c>
      <c r="F104" s="6" t="n">
        <f aca="false">C104+D104</f>
        <v>330</v>
      </c>
      <c r="G104" s="6" t="n">
        <f aca="false">MIN(C104,D104)</f>
        <v>160</v>
      </c>
      <c r="H104" s="6" t="str">
        <f aca="false">IF(F104=0,"rank&lt;4",IF(G104=0,"YES","no"))</f>
        <v>no</v>
      </c>
      <c r="I104" s="6" t="n">
        <f aca="false">MIN(MIN(Minors!B104:LS104),-MAX(Minors!B104:LS104))*0+SMALL(Minors!B104:LS104,COUNTIF(Minors!B104:LS104,"&lt;0")+E104+1)</f>
        <v>1973</v>
      </c>
      <c r="J104" s="6" t="n">
        <f aca="false">MAX(MAX(Minors!B104:LS104),-MIN(Minors!B104:LS104))</f>
        <v>5455615020</v>
      </c>
    </row>
    <row r="105" customFormat="false" ht="15" hidden="false" customHeight="true" outlineLevel="0" collapsed="false">
      <c r="A105" s="6" t="n">
        <v>104</v>
      </c>
      <c r="B105" s="6" t="s">
        <v>171</v>
      </c>
      <c r="C105" s="6" t="n">
        <f aca="false">COUNTIF(Minors!B105:LS105,"&gt;0")</f>
        <v>157</v>
      </c>
      <c r="D105" s="6" t="n">
        <f aca="false">COUNTIF(Minors!B105:LS105,"&lt;0")</f>
        <v>173</v>
      </c>
      <c r="E105" s="6" t="n">
        <f aca="false">COUNTIF(Minors!B105:LS105,0)</f>
        <v>0</v>
      </c>
      <c r="F105" s="6" t="n">
        <f aca="false">C105+D105</f>
        <v>330</v>
      </c>
      <c r="G105" s="6" t="n">
        <f aca="false">MIN(C105,D105)</f>
        <v>157</v>
      </c>
      <c r="H105" s="6" t="str">
        <f aca="false">IF(F105=0,"rank&lt;4",IF(G105=0,"YES","no"))</f>
        <v>no</v>
      </c>
      <c r="I105" s="6" t="n">
        <f aca="false">MIN(MIN(Minors!B105:LS105),-MAX(Minors!B105:LS105))*0+SMALL(Minors!B105:LS105,COUNTIF(Minors!B105:LS105,"&lt;0")+E105+1)</f>
        <v>1378</v>
      </c>
      <c r="J105" s="6" t="n">
        <f aca="false">MAX(MAX(Minors!B105:LS105),-MIN(Minors!B105:LS105))</f>
        <v>8793028136</v>
      </c>
    </row>
    <row r="106" customFormat="false" ht="15" hidden="false" customHeight="true" outlineLevel="0" collapsed="false">
      <c r="A106" s="6" t="n">
        <v>105</v>
      </c>
      <c r="B106" s="6" t="s">
        <v>172</v>
      </c>
      <c r="C106" s="6" t="n">
        <f aca="false">COUNTIF(Minors!B106:LS106,"&gt;0")</f>
        <v>148</v>
      </c>
      <c r="D106" s="6" t="n">
        <f aca="false">COUNTIF(Minors!B106:LS106,"&lt;0")</f>
        <v>182</v>
      </c>
      <c r="E106" s="6" t="n">
        <f aca="false">COUNTIF(Minors!B106:LS106,0)</f>
        <v>0</v>
      </c>
      <c r="F106" s="6" t="n">
        <f aca="false">C106+D106</f>
        <v>330</v>
      </c>
      <c r="G106" s="6" t="n">
        <f aca="false">MIN(C106,D106)</f>
        <v>148</v>
      </c>
      <c r="H106" s="6" t="str">
        <f aca="false">IF(F106=0,"rank&lt;4",IF(G106=0,"YES","no"))</f>
        <v>no</v>
      </c>
      <c r="I106" s="6" t="n">
        <f aca="false">MIN(MIN(Minors!B106:LS106),-MAX(Minors!B106:LS106))*0+SMALL(Minors!B106:LS106,COUNTIF(Minors!B106:LS106,"&lt;0")+E106+1)</f>
        <v>672</v>
      </c>
      <c r="J106" s="6" t="n">
        <f aca="false">MAX(MAX(Minors!B106:LS106),-MIN(Minors!B106:LS106))</f>
        <v>3844099428</v>
      </c>
    </row>
    <row r="107" customFormat="false" ht="15" hidden="false" customHeight="true" outlineLevel="0" collapsed="false">
      <c r="A107" s="6" t="n">
        <v>106</v>
      </c>
      <c r="B107" s="6" t="s">
        <v>173</v>
      </c>
      <c r="C107" s="6" t="n">
        <f aca="false">COUNTIF(Minors!B107:LS107,"&gt;0")</f>
        <v>150</v>
      </c>
      <c r="D107" s="6" t="n">
        <f aca="false">COUNTIF(Minors!B107:LS107,"&lt;0")</f>
        <v>180</v>
      </c>
      <c r="E107" s="6" t="n">
        <f aca="false">COUNTIF(Minors!B107:LS107,0)</f>
        <v>0</v>
      </c>
      <c r="F107" s="6" t="n">
        <f aca="false">C107+D107</f>
        <v>330</v>
      </c>
      <c r="G107" s="6" t="n">
        <f aca="false">MIN(C107,D107)</f>
        <v>150</v>
      </c>
      <c r="H107" s="6" t="str">
        <f aca="false">IF(F107=0,"rank&lt;4",IF(G107=0,"YES","no"))</f>
        <v>no</v>
      </c>
      <c r="I107" s="6" t="n">
        <f aca="false">MIN(MIN(Minors!B107:LS107),-MAX(Minors!B107:LS107))*0+SMALL(Minors!B107:LS107,COUNTIF(Minors!B107:LS107,"&lt;0")+E107+1)</f>
        <v>65</v>
      </c>
      <c r="J107" s="6" t="n">
        <f aca="false">MAX(MAX(Minors!B107:LS107),-MIN(Minors!B107:LS107))</f>
        <v>4037267187</v>
      </c>
    </row>
    <row r="108" customFormat="false" ht="15" hidden="false" customHeight="true" outlineLevel="0" collapsed="false">
      <c r="A108" s="6" t="n">
        <v>107</v>
      </c>
      <c r="B108" s="6" t="s">
        <v>174</v>
      </c>
      <c r="C108" s="6" t="n">
        <f aca="false">COUNTIF(Minors!B108:LS108,"&gt;0")</f>
        <v>154</v>
      </c>
      <c r="D108" s="6" t="n">
        <f aca="false">COUNTIF(Minors!B108:LS108,"&lt;0")</f>
        <v>176</v>
      </c>
      <c r="E108" s="6" t="n">
        <f aca="false">COUNTIF(Minors!B108:LS108,0)</f>
        <v>0</v>
      </c>
      <c r="F108" s="6" t="n">
        <f aca="false">C108+D108</f>
        <v>330</v>
      </c>
      <c r="G108" s="6" t="n">
        <f aca="false">MIN(C108,D108)</f>
        <v>154</v>
      </c>
      <c r="H108" s="6" t="str">
        <f aca="false">IF(F108=0,"rank&lt;4",IF(G108=0,"YES","no"))</f>
        <v>no</v>
      </c>
      <c r="I108" s="6" t="n">
        <f aca="false">MIN(MIN(Minors!B108:LS108),-MAX(Minors!B108:LS108))*0+SMALL(Minors!B108:LS108,COUNTIF(Minors!B108:LS108,"&lt;0")+E108+1)</f>
        <v>4529</v>
      </c>
      <c r="J108" s="6" t="n">
        <f aca="false">MAX(MAX(Minors!B108:LS108),-MIN(Minors!B108:LS108))</f>
        <v>11153045584</v>
      </c>
    </row>
    <row r="109" customFormat="false" ht="15" hidden="false" customHeight="true" outlineLevel="0" collapsed="false">
      <c r="A109" s="6" t="n">
        <v>108</v>
      </c>
      <c r="B109" s="6" t="s">
        <v>175</v>
      </c>
      <c r="C109" s="6" t="n">
        <f aca="false">COUNTIF(Minors!B109:LS109,"&gt;0")</f>
        <v>161</v>
      </c>
      <c r="D109" s="6" t="n">
        <f aca="false">COUNTIF(Minors!B109:LS109,"&lt;0")</f>
        <v>169</v>
      </c>
      <c r="E109" s="6" t="n">
        <f aca="false">COUNTIF(Minors!B109:LS109,0)</f>
        <v>0</v>
      </c>
      <c r="F109" s="6" t="n">
        <f aca="false">C109+D109</f>
        <v>330</v>
      </c>
      <c r="G109" s="6" t="n">
        <f aca="false">MIN(C109,D109)</f>
        <v>161</v>
      </c>
      <c r="H109" s="6" t="str">
        <f aca="false">IF(F109=0,"rank&lt;4",IF(G109=0,"YES","no"))</f>
        <v>no</v>
      </c>
      <c r="I109" s="6" t="n">
        <f aca="false">MIN(MIN(Minors!B109:LS109),-MAX(Minors!B109:LS109))*0+SMALL(Minors!B109:LS109,COUNTIF(Minors!B109:LS109,"&lt;0")+E109+1)</f>
        <v>922</v>
      </c>
      <c r="J109" s="6" t="n">
        <f aca="false">MAX(MAX(Minors!B109:LS109),-MIN(Minors!B109:LS109))</f>
        <v>2877645479</v>
      </c>
    </row>
    <row r="110" customFormat="false" ht="15" hidden="false" customHeight="true" outlineLevel="0" collapsed="false">
      <c r="A110" s="6" t="n">
        <v>109</v>
      </c>
      <c r="B110" s="6" t="s">
        <v>176</v>
      </c>
      <c r="C110" s="6" t="n">
        <f aca="false">COUNTIF(Minors!B110:LS110,"&gt;0")</f>
        <v>162</v>
      </c>
      <c r="D110" s="6" t="n">
        <f aca="false">COUNTIF(Minors!B110:LS110,"&lt;0")</f>
        <v>168</v>
      </c>
      <c r="E110" s="6" t="n">
        <f aca="false">COUNTIF(Minors!B110:LS110,0)</f>
        <v>0</v>
      </c>
      <c r="F110" s="6" t="n">
        <f aca="false">C110+D110</f>
        <v>330</v>
      </c>
      <c r="G110" s="6" t="n">
        <f aca="false">MIN(C110,D110)</f>
        <v>162</v>
      </c>
      <c r="H110" s="6" t="str">
        <f aca="false">IF(F110=0,"rank&lt;4",IF(G110=0,"YES","no"))</f>
        <v>no</v>
      </c>
      <c r="I110" s="6" t="n">
        <f aca="false">MIN(MIN(Minors!B110:LS110),-MAX(Minors!B110:LS110))*0+SMALL(Minors!B110:LS110,COUNTIF(Minors!B110:LS110,"&lt;0")+E110+1)</f>
        <v>437</v>
      </c>
      <c r="J110" s="6" t="n">
        <f aca="false">MAX(MAX(Minors!B110:LS110),-MIN(Minors!B110:LS110))</f>
        <v>2858234861</v>
      </c>
    </row>
    <row r="111" customFormat="false" ht="15" hidden="false" customHeight="true" outlineLevel="0" collapsed="false">
      <c r="A111" s="6" t="n">
        <v>110</v>
      </c>
      <c r="B111" s="6" t="s">
        <v>177</v>
      </c>
      <c r="C111" s="6" t="n">
        <f aca="false">COUNTIF(Minors!B111:LS111,"&gt;0")</f>
        <v>158</v>
      </c>
      <c r="D111" s="6" t="n">
        <f aca="false">COUNTIF(Minors!B111:LS111,"&lt;0")</f>
        <v>172</v>
      </c>
      <c r="E111" s="6" t="n">
        <f aca="false">COUNTIF(Minors!B111:LS111,0)</f>
        <v>0</v>
      </c>
      <c r="F111" s="6" t="n">
        <f aca="false">C111+D111</f>
        <v>330</v>
      </c>
      <c r="G111" s="6" t="n">
        <f aca="false">MIN(C111,D111)</f>
        <v>158</v>
      </c>
      <c r="H111" s="6" t="str">
        <f aca="false">IF(F111=0,"rank&lt;4",IF(G111=0,"YES","no"))</f>
        <v>no</v>
      </c>
      <c r="I111" s="6" t="n">
        <f aca="false">MIN(MIN(Minors!B111:LS111),-MAX(Minors!B111:LS111))*0+SMALL(Minors!B111:LS111,COUNTIF(Minors!B111:LS111,"&lt;0")+E111+1)</f>
        <v>7282</v>
      </c>
      <c r="J111" s="6" t="n">
        <f aca="false">MAX(MAX(Minors!B111:LS111),-MIN(Minors!B111:LS111))</f>
        <v>9190339008</v>
      </c>
    </row>
    <row r="112" customFormat="false" ht="15" hidden="false" customHeight="true" outlineLevel="0" collapsed="false">
      <c r="A112" s="6" t="n">
        <v>111</v>
      </c>
      <c r="B112" s="6" t="s">
        <v>178</v>
      </c>
      <c r="C112" s="6" t="n">
        <f aca="false">COUNTIF(Minors!B112:LS112,"&gt;0")</f>
        <v>155</v>
      </c>
      <c r="D112" s="6" t="n">
        <f aca="false">COUNTIF(Minors!B112:LS112,"&lt;0")</f>
        <v>175</v>
      </c>
      <c r="E112" s="6" t="n">
        <f aca="false">COUNTIF(Minors!B112:LS112,0)</f>
        <v>0</v>
      </c>
      <c r="F112" s="6" t="n">
        <f aca="false">C112+D112</f>
        <v>330</v>
      </c>
      <c r="G112" s="6" t="n">
        <f aca="false">MIN(C112,D112)</f>
        <v>155</v>
      </c>
      <c r="H112" s="6" t="str">
        <f aca="false">IF(F112=0,"rank&lt;4",IF(G112=0,"YES","no"))</f>
        <v>no</v>
      </c>
      <c r="I112" s="6" t="n">
        <f aca="false">MIN(MIN(Minors!B112:LS112),-MAX(Minors!B112:LS112))*0+SMALL(Minors!B112:LS112,COUNTIF(Minors!B112:LS112,"&lt;0")+E112+1)</f>
        <v>450</v>
      </c>
      <c r="J112" s="6" t="n">
        <f aca="false">MAX(MAX(Minors!B112:LS112),-MIN(Minors!B112:LS112))</f>
        <v>6196923096</v>
      </c>
    </row>
    <row r="113" customFormat="false" ht="15" hidden="false" customHeight="true" outlineLevel="0" collapsed="false">
      <c r="A113" s="6" t="n">
        <v>112</v>
      </c>
      <c r="B113" s="6" t="s">
        <v>179</v>
      </c>
      <c r="C113" s="6" t="n">
        <f aca="false">COUNTIF(Minors!B113:LS113,"&gt;0")</f>
        <v>152</v>
      </c>
      <c r="D113" s="6" t="n">
        <f aca="false">COUNTIF(Minors!B113:LS113,"&lt;0")</f>
        <v>178</v>
      </c>
      <c r="E113" s="6" t="n">
        <f aca="false">COUNTIF(Minors!B113:LS113,0)</f>
        <v>0</v>
      </c>
      <c r="F113" s="6" t="n">
        <f aca="false">C113+D113</f>
        <v>330</v>
      </c>
      <c r="G113" s="6" t="n">
        <f aca="false">MIN(C113,D113)</f>
        <v>152</v>
      </c>
      <c r="H113" s="6" t="str">
        <f aca="false">IF(F113=0,"rank&lt;4",IF(G113=0,"YES","no"))</f>
        <v>no</v>
      </c>
      <c r="I113" s="6" t="n">
        <f aca="false">MIN(MIN(Minors!B113:LS113),-MAX(Minors!B113:LS113))*0+SMALL(Minors!B113:LS113,COUNTIF(Minors!B113:LS113,"&lt;0")+E113+1)</f>
        <v>56</v>
      </c>
      <c r="J113" s="6" t="n">
        <f aca="false">MAX(MAX(Minors!B113:LS113),-MIN(Minors!B113:LS113))</f>
        <v>2499946664</v>
      </c>
    </row>
    <row r="114" customFormat="false" ht="15" hidden="false" customHeight="true" outlineLevel="0" collapsed="false">
      <c r="A114" s="6" t="n">
        <v>113</v>
      </c>
      <c r="B114" s="6" t="s">
        <v>180</v>
      </c>
      <c r="C114" s="6" t="n">
        <f aca="false">COUNTIF(Minors!B114:LS114,"&gt;0")</f>
        <v>159</v>
      </c>
      <c r="D114" s="6" t="n">
        <f aca="false">COUNTIF(Minors!B114:LS114,"&lt;0")</f>
        <v>171</v>
      </c>
      <c r="E114" s="6" t="n">
        <f aca="false">COUNTIF(Minors!B114:LS114,0)</f>
        <v>0</v>
      </c>
      <c r="F114" s="6" t="n">
        <f aca="false">C114+D114</f>
        <v>330</v>
      </c>
      <c r="G114" s="6" t="n">
        <f aca="false">MIN(C114,D114)</f>
        <v>159</v>
      </c>
      <c r="H114" s="6" t="str">
        <f aca="false">IF(F114=0,"rank&lt;4",IF(G114=0,"YES","no"))</f>
        <v>no</v>
      </c>
      <c r="I114" s="6" t="n">
        <f aca="false">MIN(MIN(Minors!B114:LS114),-MAX(Minors!B114:LS114))*0+SMALL(Minors!B114:LS114,COUNTIF(Minors!B114:LS114,"&lt;0")+E114+1)</f>
        <v>1000</v>
      </c>
      <c r="J114" s="6" t="n">
        <f aca="false">MAX(MAX(Minors!B114:LS114),-MIN(Minors!B114:LS114))</f>
        <v>4315951904</v>
      </c>
    </row>
    <row r="115" customFormat="false" ht="15" hidden="false" customHeight="true" outlineLevel="0" collapsed="false">
      <c r="A115" s="6" t="n">
        <v>114</v>
      </c>
      <c r="B115" s="6" t="s">
        <v>181</v>
      </c>
      <c r="C115" s="6" t="n">
        <f aca="false">COUNTIF(Minors!B115:LS115,"&gt;0")</f>
        <v>156</v>
      </c>
      <c r="D115" s="6" t="n">
        <f aca="false">COUNTIF(Minors!B115:LS115,"&lt;0")</f>
        <v>174</v>
      </c>
      <c r="E115" s="6" t="n">
        <f aca="false">COUNTIF(Minors!B115:LS115,0)</f>
        <v>0</v>
      </c>
      <c r="F115" s="6" t="n">
        <f aca="false">C115+D115</f>
        <v>330</v>
      </c>
      <c r="G115" s="6" t="n">
        <f aca="false">MIN(C115,D115)</f>
        <v>156</v>
      </c>
      <c r="H115" s="6" t="str">
        <f aca="false">IF(F115=0,"rank&lt;4",IF(G115=0,"YES","no"))</f>
        <v>no</v>
      </c>
      <c r="I115" s="6" t="n">
        <f aca="false">MIN(MIN(Minors!B115:LS115),-MAX(Minors!B115:LS115))*0+SMALL(Minors!B115:LS115,COUNTIF(Minors!B115:LS115,"&lt;0")+E115+1)</f>
        <v>1940</v>
      </c>
      <c r="J115" s="6" t="n">
        <f aca="false">MAX(MAX(Minors!B115:LS115),-MIN(Minors!B115:LS115))</f>
        <v>6616328952</v>
      </c>
    </row>
    <row r="116" customFormat="false" ht="15" hidden="false" customHeight="true" outlineLevel="0" collapsed="false">
      <c r="A116" s="6" t="n">
        <v>115</v>
      </c>
      <c r="B116" s="6" t="s">
        <v>182</v>
      </c>
      <c r="C116" s="6" t="n">
        <f aca="false">COUNTIF(Minors!B116:LS116,"&gt;0")</f>
        <v>161</v>
      </c>
      <c r="D116" s="6" t="n">
        <f aca="false">COUNTIF(Minors!B116:LS116,"&lt;0")</f>
        <v>169</v>
      </c>
      <c r="E116" s="6" t="n">
        <f aca="false">COUNTIF(Minors!B116:LS116,0)</f>
        <v>0</v>
      </c>
      <c r="F116" s="6" t="n">
        <f aca="false">C116+D116</f>
        <v>330</v>
      </c>
      <c r="G116" s="6" t="n">
        <f aca="false">MIN(C116,D116)</f>
        <v>161</v>
      </c>
      <c r="H116" s="6" t="str">
        <f aca="false">IF(F116=0,"rank&lt;4",IF(G116=0,"YES","no"))</f>
        <v>no</v>
      </c>
      <c r="I116" s="6" t="n">
        <f aca="false">MIN(MIN(Minors!B116:LS116),-MAX(Minors!B116:LS116))*0+SMALL(Minors!B116:LS116,COUNTIF(Minors!B116:LS116,"&lt;0")+E116+1)</f>
        <v>372</v>
      </c>
      <c r="J116" s="6" t="n">
        <f aca="false">MAX(MAX(Minors!B116:LS116),-MIN(Minors!B116:LS116))</f>
        <v>2659493048</v>
      </c>
    </row>
    <row r="117" customFormat="false" ht="15" hidden="false" customHeight="true" outlineLevel="0" collapsed="false">
      <c r="A117" s="6" t="n">
        <v>116</v>
      </c>
      <c r="B117" s="6" t="s">
        <v>183</v>
      </c>
      <c r="C117" s="6" t="n">
        <f aca="false">COUNTIF(Minors!B117:LS117,"&gt;0")</f>
        <v>160</v>
      </c>
      <c r="D117" s="6" t="n">
        <f aca="false">COUNTIF(Minors!B117:LS117,"&lt;0")</f>
        <v>170</v>
      </c>
      <c r="E117" s="6" t="n">
        <f aca="false">COUNTIF(Minors!B117:LS117,0)</f>
        <v>0</v>
      </c>
      <c r="F117" s="6" t="n">
        <f aca="false">C117+D117</f>
        <v>330</v>
      </c>
      <c r="G117" s="6" t="n">
        <f aca="false">MIN(C117,D117)</f>
        <v>160</v>
      </c>
      <c r="H117" s="6" t="str">
        <f aca="false">IF(F117=0,"rank&lt;4",IF(G117=0,"YES","no"))</f>
        <v>no</v>
      </c>
      <c r="I117" s="6" t="n">
        <f aca="false">MIN(MIN(Minors!B117:LS117),-MAX(Minors!B117:LS117))*0+SMALL(Minors!B117:LS117,COUNTIF(Minors!B117:LS117,"&lt;0")+E117+1)</f>
        <v>672</v>
      </c>
      <c r="J117" s="6" t="n">
        <f aca="false">MAX(MAX(Minors!B117:LS117),-MIN(Minors!B117:LS117))</f>
        <v>5123355118</v>
      </c>
    </row>
    <row r="118" customFormat="false" ht="15" hidden="false" customHeight="true" outlineLevel="0" collapsed="false">
      <c r="A118" s="6" t="n">
        <v>117</v>
      </c>
      <c r="B118" s="6" t="s">
        <v>184</v>
      </c>
      <c r="C118" s="6" t="n">
        <f aca="false">COUNTIF(Minors!B118:LS118,"&gt;0")</f>
        <v>162</v>
      </c>
      <c r="D118" s="6" t="n">
        <f aca="false">COUNTIF(Minors!B118:LS118,"&lt;0")</f>
        <v>168</v>
      </c>
      <c r="E118" s="6" t="n">
        <f aca="false">COUNTIF(Minors!B118:LS118,0)</f>
        <v>0</v>
      </c>
      <c r="F118" s="6" t="n">
        <f aca="false">C118+D118</f>
        <v>330</v>
      </c>
      <c r="G118" s="6" t="n">
        <f aca="false">MIN(C118,D118)</f>
        <v>162</v>
      </c>
      <c r="H118" s="6" t="str">
        <f aca="false">IF(F118=0,"rank&lt;4",IF(G118=0,"YES","no"))</f>
        <v>no</v>
      </c>
      <c r="I118" s="6" t="n">
        <f aca="false">MIN(MIN(Minors!B118:LS118),-MAX(Minors!B118:LS118))*0+SMALL(Minors!B118:LS118,COUNTIF(Minors!B118:LS118,"&lt;0")+E118+1)</f>
        <v>1714</v>
      </c>
      <c r="J118" s="6" t="n">
        <f aca="false">MAX(MAX(Minors!B118:LS118),-MIN(Minors!B118:LS118))</f>
        <v>7790965554</v>
      </c>
    </row>
    <row r="119" customFormat="false" ht="15" hidden="false" customHeight="true" outlineLevel="0" collapsed="false">
      <c r="A119" s="6" t="n">
        <v>118</v>
      </c>
      <c r="B119" s="6" t="s">
        <v>185</v>
      </c>
      <c r="C119" s="6" t="n">
        <f aca="false">COUNTIF(Minors!B119:LS119,"&gt;0")</f>
        <v>177</v>
      </c>
      <c r="D119" s="6" t="n">
        <f aca="false">COUNTIF(Minors!B119:LS119,"&lt;0")</f>
        <v>153</v>
      </c>
      <c r="E119" s="6" t="n">
        <f aca="false">COUNTIF(Minors!B119:LS119,0)</f>
        <v>0</v>
      </c>
      <c r="F119" s="6" t="n">
        <f aca="false">C119+D119</f>
        <v>330</v>
      </c>
      <c r="G119" s="6" t="n">
        <f aca="false">MIN(C119,D119)</f>
        <v>153</v>
      </c>
      <c r="H119" s="6" t="str">
        <f aca="false">IF(F119=0,"rank&lt;4",IF(G119=0,"YES","no"))</f>
        <v>no</v>
      </c>
      <c r="I119" s="6" t="n">
        <f aca="false">MIN(MIN(Minors!B119:LS119),-MAX(Minors!B119:LS119))*0+SMALL(Minors!B119:LS119,COUNTIF(Minors!B119:LS119,"&lt;0")+E119+1)</f>
        <v>1727</v>
      </c>
      <c r="J119" s="6" t="n">
        <f aca="false">MAX(MAX(Minors!B119:LS119),-MIN(Minors!B119:LS119))</f>
        <v>3637475696</v>
      </c>
    </row>
    <row r="120" customFormat="false" ht="15" hidden="false" customHeight="true" outlineLevel="0" collapsed="false">
      <c r="A120" s="6" t="n">
        <v>119</v>
      </c>
      <c r="B120" s="6" t="s">
        <v>186</v>
      </c>
      <c r="C120" s="6" t="n">
        <f aca="false">COUNTIF(Minors!B120:LS120,"&gt;0")</f>
        <v>169</v>
      </c>
      <c r="D120" s="6" t="n">
        <f aca="false">COUNTIF(Minors!B120:LS120,"&lt;0")</f>
        <v>161</v>
      </c>
      <c r="E120" s="6" t="n">
        <f aca="false">COUNTIF(Minors!B120:LS120,0)</f>
        <v>0</v>
      </c>
      <c r="F120" s="6" t="n">
        <f aca="false">C120+D120</f>
        <v>330</v>
      </c>
      <c r="G120" s="6" t="n">
        <f aca="false">MIN(C120,D120)</f>
        <v>161</v>
      </c>
      <c r="H120" s="6" t="str">
        <f aca="false">IF(F120=0,"rank&lt;4",IF(G120=0,"YES","no"))</f>
        <v>no</v>
      </c>
      <c r="I120" s="6" t="n">
        <f aca="false">MIN(MIN(Minors!B120:LS120),-MAX(Minors!B120:LS120))*0+SMALL(Minors!B120:LS120,COUNTIF(Minors!B120:LS120,"&lt;0")+E120+1)</f>
        <v>2096</v>
      </c>
      <c r="J120" s="6" t="n">
        <f aca="false">MAX(MAX(Minors!B120:LS120),-MIN(Minors!B120:LS120))</f>
        <v>4245645226</v>
      </c>
    </row>
    <row r="121" customFormat="false" ht="15" hidden="false" customHeight="true" outlineLevel="0" collapsed="false">
      <c r="A121" s="6" t="n">
        <v>120</v>
      </c>
      <c r="B121" s="6" t="s">
        <v>187</v>
      </c>
      <c r="C121" s="6" t="n">
        <f aca="false">COUNTIF(Minors!B121:LS121,"&gt;0")</f>
        <v>170</v>
      </c>
      <c r="D121" s="6" t="n">
        <f aca="false">COUNTIF(Minors!B121:LS121,"&lt;0")</f>
        <v>160</v>
      </c>
      <c r="E121" s="6" t="n">
        <f aca="false">COUNTIF(Minors!B121:LS121,0)</f>
        <v>0</v>
      </c>
      <c r="F121" s="6" t="n">
        <f aca="false">C121+D121</f>
        <v>330</v>
      </c>
      <c r="G121" s="6" t="n">
        <f aca="false">MIN(C121,D121)</f>
        <v>160</v>
      </c>
      <c r="H121" s="6" t="str">
        <f aca="false">IF(F121=0,"rank&lt;4",IF(G121=0,"YES","no"))</f>
        <v>no</v>
      </c>
      <c r="I121" s="6" t="n">
        <f aca="false">MIN(MIN(Minors!B121:LS121),-MAX(Minors!B121:LS121))*0+SMALL(Minors!B121:LS121,COUNTIF(Minors!B121:LS121,"&lt;0")+E121+1)</f>
        <v>9691</v>
      </c>
      <c r="J121" s="6" t="n">
        <f aca="false">MAX(MAX(Minors!B121:LS121),-MIN(Minors!B121:LS121))</f>
        <v>6951005413</v>
      </c>
    </row>
    <row r="122" customFormat="false" ht="15" hidden="false" customHeight="true" outlineLevel="0" collapsed="false">
      <c r="A122" s="6" t="n">
        <v>121</v>
      </c>
      <c r="B122" s="6" t="s">
        <v>188</v>
      </c>
      <c r="C122" s="6" t="n">
        <f aca="false">COUNTIF(Minors!B122:LS122,"&gt;0")</f>
        <v>162</v>
      </c>
      <c r="D122" s="6" t="n">
        <f aca="false">COUNTIF(Minors!B122:LS122,"&lt;0")</f>
        <v>168</v>
      </c>
      <c r="E122" s="6" t="n">
        <f aca="false">COUNTIF(Minors!B122:LS122,0)</f>
        <v>0</v>
      </c>
      <c r="F122" s="6" t="n">
        <f aca="false">C122+D122</f>
        <v>330</v>
      </c>
      <c r="G122" s="6" t="n">
        <f aca="false">MIN(C122,D122)</f>
        <v>162</v>
      </c>
      <c r="H122" s="6" t="str">
        <f aca="false">IF(F122=0,"rank&lt;4",IF(G122=0,"YES","no"))</f>
        <v>no</v>
      </c>
      <c r="I122" s="6" t="n">
        <f aca="false">MIN(MIN(Minors!B122:LS122),-MAX(Minors!B122:LS122))*0+SMALL(Minors!B122:LS122,COUNTIF(Minors!B122:LS122,"&lt;0")+E122+1)</f>
        <v>219</v>
      </c>
      <c r="J122" s="6" t="n">
        <f aca="false">MAX(MAX(Minors!B122:LS122),-MIN(Minors!B122:LS122))</f>
        <v>6812079538</v>
      </c>
    </row>
    <row r="123" customFormat="false" ht="15" hidden="false" customHeight="true" outlineLevel="0" collapsed="false">
      <c r="A123" s="6" t="n">
        <v>122</v>
      </c>
      <c r="B123" s="6" t="s">
        <v>189</v>
      </c>
      <c r="C123" s="6" t="n">
        <f aca="false">COUNTIF(Minors!B123:LS123,"&gt;0")</f>
        <v>175</v>
      </c>
      <c r="D123" s="6" t="n">
        <f aca="false">COUNTIF(Minors!B123:LS123,"&lt;0")</f>
        <v>155</v>
      </c>
      <c r="E123" s="6" t="n">
        <f aca="false">COUNTIF(Minors!B123:LS123,0)</f>
        <v>0</v>
      </c>
      <c r="F123" s="6" t="n">
        <f aca="false">C123+D123</f>
        <v>330</v>
      </c>
      <c r="G123" s="6" t="n">
        <f aca="false">MIN(C123,D123)</f>
        <v>155</v>
      </c>
      <c r="H123" s="6" t="str">
        <f aca="false">IF(F123=0,"rank&lt;4",IF(G123=0,"YES","no"))</f>
        <v>no</v>
      </c>
      <c r="I123" s="6" t="n">
        <f aca="false">MIN(MIN(Minors!B123:LS123),-MAX(Minors!B123:LS123))*0+SMALL(Minors!B123:LS123,COUNTIF(Minors!B123:LS123,"&lt;0")+E123+1)</f>
        <v>201</v>
      </c>
      <c r="J123" s="6" t="n">
        <f aca="false">MAX(MAX(Minors!B123:LS123),-MIN(Minors!B123:LS123))</f>
        <v>3114943842</v>
      </c>
    </row>
    <row r="124" customFormat="false" ht="15" hidden="false" customHeight="true" outlineLevel="0" collapsed="false">
      <c r="A124" s="6" t="n">
        <v>123</v>
      </c>
      <c r="B124" s="6" t="s">
        <v>190</v>
      </c>
      <c r="C124" s="6" t="n">
        <f aca="false">COUNTIF(Minors!B124:LS124,"&gt;0")</f>
        <v>175</v>
      </c>
      <c r="D124" s="6" t="n">
        <f aca="false">COUNTIF(Minors!B124:LS124,"&lt;0")</f>
        <v>155</v>
      </c>
      <c r="E124" s="6" t="n">
        <f aca="false">COUNTIF(Minors!B124:LS124,0)</f>
        <v>0</v>
      </c>
      <c r="F124" s="6" t="n">
        <f aca="false">C124+D124</f>
        <v>330</v>
      </c>
      <c r="G124" s="6" t="n">
        <f aca="false">MIN(C124,D124)</f>
        <v>155</v>
      </c>
      <c r="H124" s="6" t="str">
        <f aca="false">IF(F124=0,"rank&lt;4",IF(G124=0,"YES","no"))</f>
        <v>no</v>
      </c>
      <c r="I124" s="6" t="n">
        <f aca="false">MIN(MIN(Minors!B124:LS124),-MAX(Minors!B124:LS124))*0+SMALL(Minors!B124:LS124,COUNTIF(Minors!B124:LS124,"&lt;0")+E124+1)</f>
        <v>231</v>
      </c>
      <c r="J124" s="6" t="n">
        <f aca="false">MAX(MAX(Minors!B124:LS124),-MIN(Minors!B124:LS124))</f>
        <v>5690820857</v>
      </c>
    </row>
    <row r="125" customFormat="false" ht="15" hidden="false" customHeight="true" outlineLevel="0" collapsed="false">
      <c r="A125" s="6" t="n">
        <v>124</v>
      </c>
      <c r="B125" s="6" t="s">
        <v>191</v>
      </c>
      <c r="C125" s="6" t="n">
        <f aca="false">COUNTIF(Minors!B125:LS125,"&gt;0")</f>
        <v>170</v>
      </c>
      <c r="D125" s="6" t="n">
        <f aca="false">COUNTIF(Minors!B125:LS125,"&lt;0")</f>
        <v>160</v>
      </c>
      <c r="E125" s="6" t="n">
        <f aca="false">COUNTIF(Minors!B125:LS125,0)</f>
        <v>0</v>
      </c>
      <c r="F125" s="6" t="n">
        <f aca="false">C125+D125</f>
        <v>330</v>
      </c>
      <c r="G125" s="6" t="n">
        <f aca="false">MIN(C125,D125)</f>
        <v>160</v>
      </c>
      <c r="H125" s="6" t="str">
        <f aca="false">IF(F125=0,"rank&lt;4",IF(G125=0,"YES","no"))</f>
        <v>no</v>
      </c>
      <c r="I125" s="6" t="n">
        <f aca="false">MIN(MIN(Minors!B125:LS125),-MAX(Minors!B125:LS125))*0+SMALL(Minors!B125:LS125,COUNTIF(Minors!B125:LS125,"&lt;0")+E125+1)</f>
        <v>1301</v>
      </c>
      <c r="J125" s="6" t="n">
        <f aca="false">MAX(MAX(Minors!B125:LS125),-MIN(Minors!B125:LS125))</f>
        <v>6032990277</v>
      </c>
    </row>
    <row r="126" customFormat="false" ht="15" hidden="false" customHeight="true" outlineLevel="0" collapsed="false">
      <c r="A126" s="6" t="n">
        <v>125</v>
      </c>
      <c r="B126" s="6" t="s">
        <v>192</v>
      </c>
      <c r="C126" s="6" t="n">
        <f aca="false">COUNTIF(Minors!B126:LS126,"&gt;0")</f>
        <v>160</v>
      </c>
      <c r="D126" s="6" t="n">
        <f aca="false">COUNTIF(Minors!B126:LS126,"&lt;0")</f>
        <v>170</v>
      </c>
      <c r="E126" s="6" t="n">
        <f aca="false">COUNTIF(Minors!B126:LS126,0)</f>
        <v>0</v>
      </c>
      <c r="F126" s="6" t="n">
        <f aca="false">C126+D126</f>
        <v>330</v>
      </c>
      <c r="G126" s="6" t="n">
        <f aca="false">MIN(C126,D126)</f>
        <v>160</v>
      </c>
      <c r="H126" s="6" t="str">
        <f aca="false">IF(F126=0,"rank&lt;4",IF(G126=0,"YES","no"))</f>
        <v>no</v>
      </c>
      <c r="I126" s="6" t="n">
        <f aca="false">MIN(MIN(Minors!B126:LS126),-MAX(Minors!B126:LS126))*0+SMALL(Minors!B126:LS126,COUNTIF(Minors!B126:LS126,"&lt;0")+E126+1)</f>
        <v>1980</v>
      </c>
      <c r="J126" s="6" t="n">
        <f aca="false">MAX(MAX(Minors!B126:LS126),-MIN(Minors!B126:LS126))</f>
        <v>6013277831</v>
      </c>
    </row>
    <row r="127" customFormat="false" ht="15" hidden="false" customHeight="true" outlineLevel="0" collapsed="false">
      <c r="A127" s="6" t="n">
        <v>126</v>
      </c>
      <c r="B127" s="6" t="s">
        <v>193</v>
      </c>
      <c r="C127" s="6" t="n">
        <f aca="false">COUNTIF(Minors!B127:LS127,"&gt;0")</f>
        <v>152</v>
      </c>
      <c r="D127" s="6" t="n">
        <f aca="false">COUNTIF(Minors!B127:LS127,"&lt;0")</f>
        <v>178</v>
      </c>
      <c r="E127" s="6" t="n">
        <f aca="false">COUNTIF(Minors!B127:LS127,0)</f>
        <v>0</v>
      </c>
      <c r="F127" s="6" t="n">
        <f aca="false">C127+D127</f>
        <v>330</v>
      </c>
      <c r="G127" s="6" t="n">
        <f aca="false">MIN(C127,D127)</f>
        <v>152</v>
      </c>
      <c r="H127" s="6" t="str">
        <f aca="false">IF(F127=0,"rank&lt;4",IF(G127=0,"YES","no"))</f>
        <v>no</v>
      </c>
      <c r="I127" s="6" t="n">
        <f aca="false">MIN(MIN(Minors!B127:LS127),-MAX(Minors!B127:LS127))*0+SMALL(Minors!B127:LS127,COUNTIF(Minors!B127:LS127,"&lt;0")+E127+1)</f>
        <v>650</v>
      </c>
      <c r="J127" s="6" t="n">
        <f aca="false">MAX(MAX(Minors!B127:LS127),-MIN(Minors!B127:LS127))</f>
        <v>6420364720</v>
      </c>
    </row>
    <row r="129" customFormat="false" ht="15" hidden="false" customHeight="true" outlineLevel="0" collapsed="false">
      <c r="B129" s="7" t="s">
        <v>194</v>
      </c>
      <c r="C129" s="7" t="n">
        <f aca="false">SUM(C2:C127)</f>
        <v>20720</v>
      </c>
      <c r="D129" s="7" t="n">
        <f aca="false">SUM(D2:D127)</f>
        <v>20859</v>
      </c>
      <c r="E129" s="7" t="n">
        <f aca="false">SUM(E2:E127)</f>
        <v>1</v>
      </c>
    </row>
    <row r="130" customFormat="false" ht="15" hidden="false" customHeight="true" outlineLevel="0" collapsed="false">
      <c r="B130" s="7" t="s">
        <v>195</v>
      </c>
      <c r="C130" s="7" t="n">
        <f aca="false">COUNTIF(H2:H127,"YES")</f>
        <v>0</v>
      </c>
      <c r="D130" s="7"/>
      <c r="E1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5" hidden="false" customHeight="true" outlineLevel="0" collapsed="false">
      <c r="A1" s="7" t="s">
        <v>196</v>
      </c>
    </row>
    <row r="2" customFormat="false" ht="15" hidden="false" customHeight="true" outlineLevel="0" collapsed="false">
      <c r="A2" s="7" t="s">
        <v>197</v>
      </c>
      <c r="B2" s="4" t="s">
        <v>198</v>
      </c>
      <c r="C2" s="4" t="s">
        <v>199</v>
      </c>
      <c r="D2" s="4" t="s">
        <v>200</v>
      </c>
      <c r="E2" s="4" t="s">
        <v>201</v>
      </c>
      <c r="F2" s="4" t="s">
        <v>202</v>
      </c>
      <c r="G2" s="4" t="s">
        <v>203</v>
      </c>
      <c r="H2" s="4" t="s">
        <v>204</v>
      </c>
      <c r="I2" s="4" t="s">
        <v>205</v>
      </c>
      <c r="J2" s="4" t="s">
        <v>206</v>
      </c>
      <c r="K2" s="4" t="s">
        <v>207</v>
      </c>
      <c r="L2" s="4" t="s">
        <v>208</v>
      </c>
      <c r="M2" s="7" t="s">
        <v>209</v>
      </c>
    </row>
    <row r="3" customFormat="false" ht="15" hidden="false" customHeight="true" outlineLevel="0" collapsed="false">
      <c r="A3" s="6" t="s">
        <v>210</v>
      </c>
      <c r="B3" s="8" t="n">
        <v>839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217</v>
      </c>
      <c r="I3" s="8" t="n">
        <v>0</v>
      </c>
      <c r="J3" s="8" t="n">
        <v>271</v>
      </c>
      <c r="K3" s="8" t="n">
        <v>0</v>
      </c>
      <c r="L3" s="8" t="n">
        <v>0</v>
      </c>
      <c r="M3" s="6" t="n">
        <f aca="false">SUM(B3:L3)</f>
        <v>1327</v>
      </c>
    </row>
    <row r="4" customFormat="false" ht="15" hidden="false" customHeight="true" outlineLevel="0" collapsed="false">
      <c r="A4" s="6" t="s">
        <v>211</v>
      </c>
      <c r="B4" s="8" t="n">
        <v>1321</v>
      </c>
      <c r="C4" s="8" t="n">
        <v>0</v>
      </c>
      <c r="D4" s="8" t="n">
        <v>0</v>
      </c>
      <c r="E4" s="8" t="n">
        <v>0</v>
      </c>
      <c r="F4" s="8" t="n">
        <v>191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6" t="n">
        <f aca="false">SUM(B4:L4)</f>
        <v>1512</v>
      </c>
    </row>
    <row r="5" customFormat="false" ht="15" hidden="false" customHeight="true" outlineLevel="0" collapsed="false">
      <c r="A5" s="6" t="s">
        <v>212</v>
      </c>
      <c r="B5" s="8" t="n">
        <v>414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6" t="n">
        <f aca="false">SUM(B5:L5)</f>
        <v>414</v>
      </c>
    </row>
    <row r="6" customFormat="false" ht="15" hidden="false" customHeight="true" outlineLevel="0" collapsed="false">
      <c r="A6" s="6" t="s">
        <v>213</v>
      </c>
      <c r="B6" s="8" t="n">
        <v>1002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211</v>
      </c>
      <c r="I6" s="8" t="n">
        <v>0</v>
      </c>
      <c r="J6" s="8" t="n">
        <v>0</v>
      </c>
      <c r="K6" s="8" t="n">
        <v>0</v>
      </c>
      <c r="L6" s="8" t="n">
        <v>0</v>
      </c>
      <c r="M6" s="6" t="n">
        <f aca="false">SUM(B6:L6)</f>
        <v>1213</v>
      </c>
    </row>
    <row r="7" customFormat="false" ht="15" hidden="false" customHeight="true" outlineLevel="0" collapsed="false">
      <c r="A7" s="6" t="s">
        <v>214</v>
      </c>
      <c r="B7" s="8" t="n">
        <v>1132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6" t="n">
        <f aca="false">SUM(B7:L7)</f>
        <v>1132</v>
      </c>
    </row>
    <row r="8" customFormat="false" ht="15" hidden="false" customHeight="true" outlineLevel="0" collapsed="false">
      <c r="A8" s="6" t="s">
        <v>215</v>
      </c>
      <c r="B8" s="8" t="n">
        <v>1239</v>
      </c>
      <c r="C8" s="8" t="n">
        <v>0</v>
      </c>
      <c r="D8" s="8" t="n">
        <v>0</v>
      </c>
      <c r="E8" s="8" t="n">
        <v>0</v>
      </c>
      <c r="F8" s="8" t="n">
        <v>186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6" t="n">
        <f aca="false">SUM(B8:L8)</f>
        <v>1425</v>
      </c>
    </row>
    <row r="9" customFormat="false" ht="15" hidden="false" customHeight="true" outlineLevel="0" collapsed="false">
      <c r="A9" s="6" t="s">
        <v>216</v>
      </c>
      <c r="B9" s="8" t="n">
        <v>874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6" t="n">
        <f aca="false">SUM(B9:L9)</f>
        <v>874</v>
      </c>
    </row>
    <row r="10" customFormat="false" ht="15" hidden="false" customHeight="true" outlineLevel="0" collapsed="false">
      <c r="A10" s="6" t="s">
        <v>217</v>
      </c>
      <c r="B10" s="8" t="n">
        <v>693</v>
      </c>
      <c r="C10" s="8" t="n">
        <v>0</v>
      </c>
      <c r="D10" s="8" t="n">
        <v>0</v>
      </c>
      <c r="E10" s="8" t="n">
        <v>0</v>
      </c>
      <c r="F10" s="8" t="n">
        <v>188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6" t="n">
        <f aca="false">SUM(B10:L10)</f>
        <v>881</v>
      </c>
    </row>
    <row r="11" customFormat="false" ht="15" hidden="false" customHeight="true" outlineLevel="0" collapsed="false">
      <c r="A11" s="6" t="s">
        <v>218</v>
      </c>
      <c r="B11" s="8" t="n">
        <v>549</v>
      </c>
      <c r="C11" s="8" t="n">
        <v>0</v>
      </c>
      <c r="D11" s="8" t="n">
        <v>171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297</v>
      </c>
      <c r="M11" s="6" t="n">
        <f aca="false">SUM(B11:L11)</f>
        <v>1017</v>
      </c>
    </row>
    <row r="12" customFormat="false" ht="15" hidden="false" customHeight="true" outlineLevel="0" collapsed="false">
      <c r="A12" s="7" t="s">
        <v>219</v>
      </c>
      <c r="B12" s="7" t="n">
        <f aca="false">SUM(B3:B11)</f>
        <v>8063</v>
      </c>
      <c r="C12" s="7" t="n">
        <f aca="false">SUM(C3:C11)</f>
        <v>0</v>
      </c>
      <c r="D12" s="7" t="n">
        <f aca="false">SUM(D3:D11)</f>
        <v>171</v>
      </c>
      <c r="E12" s="7" t="n">
        <f aca="false">SUM(E3:E11)</f>
        <v>0</v>
      </c>
      <c r="F12" s="7" t="n">
        <f aca="false">SUM(F3:F11)</f>
        <v>565</v>
      </c>
      <c r="G12" s="7" t="n">
        <f aca="false">SUM(G3:G11)</f>
        <v>0</v>
      </c>
      <c r="H12" s="7" t="n">
        <f aca="false">SUM(H3:H11)</f>
        <v>428</v>
      </c>
      <c r="I12" s="7" t="n">
        <f aca="false">SUM(I3:I11)</f>
        <v>0</v>
      </c>
      <c r="J12" s="7" t="n">
        <f aca="false">SUM(J3:J11)</f>
        <v>271</v>
      </c>
      <c r="K12" s="7" t="n">
        <f aca="false">SUM(K3:K11)</f>
        <v>0</v>
      </c>
      <c r="L12" s="7" t="n">
        <f aca="false">SUM(L3:L11)</f>
        <v>297</v>
      </c>
      <c r="M12" s="7" t="n">
        <f aca="false">SUM(M3:M11)</f>
        <v>9795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5" hidden="false" customHeight="true" outlineLevel="0" collapsed="false">
      <c r="A1" s="7" t="s">
        <v>220</v>
      </c>
    </row>
    <row r="2" customFormat="false" ht="15" hidden="false" customHeight="true" outlineLevel="0" collapsed="false">
      <c r="A2" s="7" t="s">
        <v>197</v>
      </c>
      <c r="B2" s="4" t="s">
        <v>198</v>
      </c>
      <c r="C2" s="4" t="s">
        <v>199</v>
      </c>
      <c r="D2" s="4" t="s">
        <v>200</v>
      </c>
      <c r="E2" s="4" t="s">
        <v>201</v>
      </c>
      <c r="F2" s="4" t="s">
        <v>202</v>
      </c>
      <c r="G2" s="4" t="s">
        <v>203</v>
      </c>
      <c r="H2" s="4" t="s">
        <v>204</v>
      </c>
      <c r="I2" s="4" t="s">
        <v>205</v>
      </c>
      <c r="J2" s="4" t="s">
        <v>206</v>
      </c>
      <c r="K2" s="4" t="s">
        <v>207</v>
      </c>
      <c r="L2" s="4" t="s">
        <v>208</v>
      </c>
      <c r="M2" s="7" t="s">
        <v>209</v>
      </c>
    </row>
    <row r="3" customFormat="false" ht="15" hidden="false" customHeight="true" outlineLevel="0" collapsed="false">
      <c r="A3" s="6" t="s">
        <v>210</v>
      </c>
      <c r="B3" s="8" t="n">
        <v>329</v>
      </c>
      <c r="C3" s="8" t="n">
        <v>0</v>
      </c>
      <c r="D3" s="8" t="n">
        <v>60</v>
      </c>
      <c r="E3" s="8" t="n">
        <v>0</v>
      </c>
      <c r="F3" s="8" t="n">
        <v>144</v>
      </c>
      <c r="G3" s="8" t="n">
        <v>0</v>
      </c>
      <c r="H3" s="8" t="n">
        <v>191</v>
      </c>
      <c r="I3" s="8" t="n">
        <v>0</v>
      </c>
      <c r="J3" s="8" t="n">
        <v>0</v>
      </c>
      <c r="K3" s="8" t="n">
        <v>0</v>
      </c>
      <c r="L3" s="8" t="n">
        <v>56</v>
      </c>
      <c r="M3" s="6" t="n">
        <f aca="false">SUM(B3:L3)</f>
        <v>780</v>
      </c>
    </row>
    <row r="4" customFormat="false" ht="15" hidden="false" customHeight="true" outlineLevel="0" collapsed="false">
      <c r="A4" s="6" t="s">
        <v>211</v>
      </c>
      <c r="B4" s="8" t="n">
        <v>235</v>
      </c>
      <c r="C4" s="8" t="n">
        <v>0</v>
      </c>
      <c r="D4" s="8" t="n">
        <v>61</v>
      </c>
      <c r="E4" s="8" t="n">
        <v>0</v>
      </c>
      <c r="F4" s="8" t="n">
        <v>65</v>
      </c>
      <c r="G4" s="8" t="n">
        <v>0</v>
      </c>
      <c r="H4" s="8" t="n">
        <v>151</v>
      </c>
      <c r="I4" s="8" t="n">
        <v>0</v>
      </c>
      <c r="J4" s="8" t="n">
        <v>56</v>
      </c>
      <c r="K4" s="8" t="n">
        <v>0</v>
      </c>
      <c r="L4" s="8" t="n">
        <v>56</v>
      </c>
      <c r="M4" s="6" t="n">
        <f aca="false">SUM(B4:L4)</f>
        <v>624</v>
      </c>
    </row>
    <row r="5" customFormat="false" ht="15" hidden="false" customHeight="true" outlineLevel="0" collapsed="false">
      <c r="A5" s="6" t="s">
        <v>212</v>
      </c>
      <c r="B5" s="8" t="n">
        <v>624</v>
      </c>
      <c r="C5" s="8" t="n">
        <v>0</v>
      </c>
      <c r="D5" s="8" t="n">
        <v>85</v>
      </c>
      <c r="E5" s="8" t="n">
        <v>0</v>
      </c>
      <c r="F5" s="8" t="n">
        <v>99</v>
      </c>
      <c r="G5" s="8" t="n">
        <v>0</v>
      </c>
      <c r="H5" s="8" t="n">
        <v>300</v>
      </c>
      <c r="I5" s="8" t="n">
        <v>0</v>
      </c>
      <c r="J5" s="8" t="n">
        <v>66</v>
      </c>
      <c r="K5" s="8" t="n">
        <v>0</v>
      </c>
      <c r="L5" s="8" t="n">
        <v>79</v>
      </c>
      <c r="M5" s="6" t="n">
        <f aca="false">SUM(B5:L5)</f>
        <v>1253</v>
      </c>
    </row>
    <row r="6" customFormat="false" ht="15" hidden="false" customHeight="true" outlineLevel="0" collapsed="false">
      <c r="A6" s="6" t="s">
        <v>213</v>
      </c>
      <c r="B6" s="8" t="n">
        <v>288</v>
      </c>
      <c r="C6" s="8" t="n">
        <v>0</v>
      </c>
      <c r="D6" s="8" t="n">
        <v>61</v>
      </c>
      <c r="E6" s="8" t="n">
        <v>0</v>
      </c>
      <c r="F6" s="8" t="n">
        <v>162</v>
      </c>
      <c r="G6" s="8" t="n">
        <v>0</v>
      </c>
      <c r="H6" s="8" t="n">
        <v>85</v>
      </c>
      <c r="I6" s="8" t="n">
        <v>0</v>
      </c>
      <c r="J6" s="8" t="n">
        <v>188</v>
      </c>
      <c r="K6" s="8" t="n">
        <v>0</v>
      </c>
      <c r="L6" s="8" t="n">
        <v>95</v>
      </c>
      <c r="M6" s="6" t="n">
        <f aca="false">SUM(B6:L6)</f>
        <v>879</v>
      </c>
    </row>
    <row r="7" customFormat="false" ht="15" hidden="false" customHeight="true" outlineLevel="0" collapsed="false">
      <c r="A7" s="6" t="s">
        <v>214</v>
      </c>
      <c r="B7" s="8" t="n">
        <v>291</v>
      </c>
      <c r="C7" s="8" t="n">
        <v>0</v>
      </c>
      <c r="D7" s="8" t="n">
        <v>79</v>
      </c>
      <c r="E7" s="8" t="n">
        <v>0</v>
      </c>
      <c r="F7" s="8" t="n">
        <v>109</v>
      </c>
      <c r="G7" s="8" t="n">
        <v>0</v>
      </c>
      <c r="H7" s="8" t="n">
        <v>159</v>
      </c>
      <c r="I7" s="8" t="n">
        <v>0</v>
      </c>
      <c r="J7" s="8" t="n">
        <v>58</v>
      </c>
      <c r="K7" s="8" t="n">
        <v>0</v>
      </c>
      <c r="L7" s="8" t="n">
        <v>121</v>
      </c>
      <c r="M7" s="6" t="n">
        <f aca="false">SUM(B7:L7)</f>
        <v>817</v>
      </c>
    </row>
    <row r="8" customFormat="false" ht="15" hidden="false" customHeight="true" outlineLevel="0" collapsed="false">
      <c r="A8" s="6" t="s">
        <v>215</v>
      </c>
      <c r="B8" s="8" t="n">
        <v>212</v>
      </c>
      <c r="C8" s="8" t="n">
        <v>0</v>
      </c>
      <c r="D8" s="8" t="n">
        <v>63</v>
      </c>
      <c r="E8" s="8" t="n">
        <v>0</v>
      </c>
      <c r="F8" s="8" t="n">
        <v>69</v>
      </c>
      <c r="G8" s="8" t="n">
        <v>0</v>
      </c>
      <c r="H8" s="8" t="n">
        <v>197</v>
      </c>
      <c r="I8" s="8" t="n">
        <v>0</v>
      </c>
      <c r="J8" s="8" t="n">
        <v>118</v>
      </c>
      <c r="K8" s="8" t="n">
        <v>0</v>
      </c>
      <c r="L8" s="8" t="n">
        <v>92</v>
      </c>
      <c r="M8" s="6" t="n">
        <f aca="false">SUM(B8:L8)</f>
        <v>751</v>
      </c>
    </row>
    <row r="9" customFormat="false" ht="15" hidden="false" customHeight="true" outlineLevel="0" collapsed="false">
      <c r="A9" s="6" t="s">
        <v>216</v>
      </c>
      <c r="B9" s="8" t="n">
        <v>526</v>
      </c>
      <c r="C9" s="8" t="n">
        <v>0</v>
      </c>
      <c r="D9" s="8" t="n">
        <v>60</v>
      </c>
      <c r="E9" s="8" t="n">
        <v>0</v>
      </c>
      <c r="F9" s="8" t="n">
        <v>169</v>
      </c>
      <c r="G9" s="8" t="n">
        <v>0</v>
      </c>
      <c r="H9" s="8" t="n">
        <v>265</v>
      </c>
      <c r="I9" s="8" t="n">
        <v>0</v>
      </c>
      <c r="J9" s="8" t="n">
        <v>68</v>
      </c>
      <c r="K9" s="8" t="n">
        <v>0</v>
      </c>
      <c r="L9" s="8" t="n">
        <v>63</v>
      </c>
      <c r="M9" s="6" t="n">
        <f aca="false">SUM(B9:L9)</f>
        <v>1151</v>
      </c>
    </row>
    <row r="10" customFormat="false" ht="15" hidden="false" customHeight="true" outlineLevel="0" collapsed="false">
      <c r="A10" s="6" t="s">
        <v>217</v>
      </c>
      <c r="B10" s="8" t="n">
        <v>268</v>
      </c>
      <c r="C10" s="8" t="n">
        <v>0</v>
      </c>
      <c r="D10" s="8" t="n">
        <v>78</v>
      </c>
      <c r="E10" s="8" t="n">
        <v>0</v>
      </c>
      <c r="F10" s="8" t="n">
        <v>100</v>
      </c>
      <c r="G10" s="8" t="n">
        <v>0</v>
      </c>
      <c r="H10" s="8" t="n">
        <v>256</v>
      </c>
      <c r="I10" s="8" t="n">
        <v>0</v>
      </c>
      <c r="J10" s="8" t="n">
        <v>94</v>
      </c>
      <c r="K10" s="8" t="n">
        <v>0</v>
      </c>
      <c r="L10" s="8" t="n">
        <v>105</v>
      </c>
      <c r="M10" s="6" t="n">
        <f aca="false">SUM(B10:L10)</f>
        <v>901</v>
      </c>
    </row>
    <row r="11" customFormat="false" ht="15" hidden="false" customHeight="true" outlineLevel="0" collapsed="false">
      <c r="A11" s="6" t="s">
        <v>218</v>
      </c>
      <c r="B11" s="8" t="n">
        <v>389</v>
      </c>
      <c r="C11" s="8" t="n">
        <v>0</v>
      </c>
      <c r="D11" s="8" t="n">
        <v>0</v>
      </c>
      <c r="E11" s="8" t="n">
        <v>0</v>
      </c>
      <c r="F11" s="8" t="n">
        <v>157</v>
      </c>
      <c r="G11" s="8" t="n">
        <v>0</v>
      </c>
      <c r="H11" s="8" t="n">
        <v>44</v>
      </c>
      <c r="I11" s="8" t="n">
        <v>0</v>
      </c>
      <c r="J11" s="8" t="n">
        <v>94</v>
      </c>
      <c r="K11" s="8" t="n">
        <v>0</v>
      </c>
      <c r="L11" s="8" t="n">
        <v>0</v>
      </c>
      <c r="M11" s="6" t="n">
        <f aca="false">SUM(B11:L11)</f>
        <v>684</v>
      </c>
    </row>
    <row r="12" customFormat="false" ht="15" hidden="false" customHeight="true" outlineLevel="0" collapsed="false">
      <c r="A12" s="7" t="s">
        <v>219</v>
      </c>
      <c r="B12" s="7" t="n">
        <f aca="false">SUM(B3:B11)</f>
        <v>3162</v>
      </c>
      <c r="C12" s="7" t="n">
        <f aca="false">SUM(C3:C11)</f>
        <v>0</v>
      </c>
      <c r="D12" s="7" t="n">
        <f aca="false">SUM(D3:D11)</f>
        <v>547</v>
      </c>
      <c r="E12" s="7" t="n">
        <f aca="false">SUM(E3:E11)</f>
        <v>0</v>
      </c>
      <c r="F12" s="7" t="n">
        <f aca="false">SUM(F3:F11)</f>
        <v>1074</v>
      </c>
      <c r="G12" s="7" t="n">
        <f aca="false">SUM(G3:G11)</f>
        <v>0</v>
      </c>
      <c r="H12" s="7" t="n">
        <f aca="false">SUM(H3:H11)</f>
        <v>1648</v>
      </c>
      <c r="I12" s="7" t="n">
        <f aca="false">SUM(I3:I11)</f>
        <v>0</v>
      </c>
      <c r="J12" s="7" t="n">
        <f aca="false">SUM(J3:J11)</f>
        <v>742</v>
      </c>
      <c r="K12" s="7" t="n">
        <f aca="false">SUM(K3:K11)</f>
        <v>0</v>
      </c>
      <c r="L12" s="7" t="n">
        <f aca="false">SUM(L3:L11)</f>
        <v>667</v>
      </c>
      <c r="M12" s="7" t="n">
        <f aca="false">SUM(M3:M11)</f>
        <v>7840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5" hidden="false" customHeight="true" outlineLevel="0" collapsed="false">
      <c r="A1" s="7" t="s">
        <v>221</v>
      </c>
    </row>
    <row r="2" customFormat="false" ht="15" hidden="false" customHeight="true" outlineLevel="0" collapsed="false">
      <c r="A2" s="7" t="s">
        <v>197</v>
      </c>
      <c r="B2" s="4" t="s">
        <v>198</v>
      </c>
      <c r="C2" s="4" t="s">
        <v>199</v>
      </c>
      <c r="D2" s="4" t="s">
        <v>200</v>
      </c>
      <c r="E2" s="4" t="s">
        <v>201</v>
      </c>
      <c r="F2" s="4" t="s">
        <v>202</v>
      </c>
      <c r="G2" s="4" t="s">
        <v>203</v>
      </c>
      <c r="H2" s="4" t="s">
        <v>204</v>
      </c>
      <c r="I2" s="4" t="s">
        <v>205</v>
      </c>
      <c r="J2" s="4" t="s">
        <v>206</v>
      </c>
      <c r="K2" s="4" t="s">
        <v>207</v>
      </c>
      <c r="L2" s="4" t="s">
        <v>208</v>
      </c>
      <c r="M2" s="7" t="s">
        <v>209</v>
      </c>
    </row>
    <row r="3" customFormat="false" ht="15" hidden="false" customHeight="true" outlineLevel="0" collapsed="false">
      <c r="A3" s="6" t="s">
        <v>210</v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6" t="n">
        <f aca="false">SUM(B3:L3)</f>
        <v>0</v>
      </c>
    </row>
    <row r="4" customFormat="false" ht="15" hidden="false" customHeight="true" outlineLevel="0" collapsed="false">
      <c r="A4" s="6" t="s">
        <v>211</v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6" t="n">
        <f aca="false">SUM(B4:L4)</f>
        <v>0</v>
      </c>
    </row>
    <row r="5" customFormat="false" ht="15" hidden="false" customHeight="true" outlineLevel="0" collapsed="false">
      <c r="A5" s="6" t="s">
        <v>212</v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6" t="n">
        <f aca="false">SUM(B5:L5)</f>
        <v>0</v>
      </c>
    </row>
    <row r="6" customFormat="false" ht="15" hidden="false" customHeight="true" outlineLevel="0" collapsed="false">
      <c r="A6" s="6" t="s">
        <v>213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6" t="n">
        <f aca="false">SUM(B6:L6)</f>
        <v>0</v>
      </c>
    </row>
    <row r="7" customFormat="false" ht="15" hidden="false" customHeight="true" outlineLevel="0" collapsed="false">
      <c r="A7" s="6" t="s">
        <v>214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6" t="n">
        <f aca="false">SUM(B7:L7)</f>
        <v>0</v>
      </c>
    </row>
    <row r="8" customFormat="false" ht="15" hidden="false" customHeight="true" outlineLevel="0" collapsed="false">
      <c r="A8" s="6" t="s">
        <v>215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6" t="n">
        <f aca="false">SUM(B8:L8)</f>
        <v>0</v>
      </c>
    </row>
    <row r="9" customFormat="false" ht="15" hidden="false" customHeight="true" outlineLevel="0" collapsed="false">
      <c r="A9" s="6" t="s">
        <v>216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6" t="n">
        <f aca="false">SUM(B9:L9)</f>
        <v>0</v>
      </c>
    </row>
    <row r="10" customFormat="false" ht="15" hidden="false" customHeight="true" outlineLevel="0" collapsed="false">
      <c r="A10" s="6" t="s">
        <v>217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6" t="n">
        <f aca="false">SUM(B10:L10)</f>
        <v>0</v>
      </c>
    </row>
    <row r="11" customFormat="false" ht="15" hidden="false" customHeight="true" outlineLevel="0" collapsed="false">
      <c r="A11" s="6" t="s">
        <v>218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216</v>
      </c>
      <c r="I11" s="8" t="n">
        <v>0</v>
      </c>
      <c r="J11" s="8" t="n">
        <v>0</v>
      </c>
      <c r="K11" s="8" t="n">
        <v>0</v>
      </c>
      <c r="L11" s="8" t="n">
        <v>0</v>
      </c>
      <c r="M11" s="6" t="n">
        <f aca="false">SUM(B11:L11)</f>
        <v>216</v>
      </c>
    </row>
    <row r="12" customFormat="false" ht="15" hidden="false" customHeight="true" outlineLevel="0" collapsed="false">
      <c r="A12" s="7" t="s">
        <v>219</v>
      </c>
      <c r="B12" s="7" t="n">
        <f aca="false">SUM(B3:B11)</f>
        <v>0</v>
      </c>
      <c r="C12" s="7" t="n">
        <f aca="false">SUM(C3:C11)</f>
        <v>0</v>
      </c>
      <c r="D12" s="7" t="n">
        <f aca="false">SUM(D3:D11)</f>
        <v>0</v>
      </c>
      <c r="E12" s="7" t="n">
        <f aca="false">SUM(E3:E11)</f>
        <v>0</v>
      </c>
      <c r="F12" s="7" t="n">
        <f aca="false">SUM(F3:F11)</f>
        <v>0</v>
      </c>
      <c r="G12" s="7" t="n">
        <f aca="false">SUM(G3:G11)</f>
        <v>0</v>
      </c>
      <c r="H12" s="7" t="n">
        <f aca="false">SUM(H3:H11)</f>
        <v>216</v>
      </c>
      <c r="I12" s="7" t="n">
        <f aca="false">SUM(I3:I11)</f>
        <v>0</v>
      </c>
      <c r="J12" s="7" t="n">
        <f aca="false">SUM(J3:J11)</f>
        <v>0</v>
      </c>
      <c r="K12" s="7" t="n">
        <f aca="false">SUM(K3:K11)</f>
        <v>0</v>
      </c>
      <c r="L12" s="7" t="n">
        <f aca="false">SUM(L3:L11)</f>
        <v>0</v>
      </c>
      <c r="M12" s="7" t="n">
        <f aca="false">SUM(M3:M11)</f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5" hidden="false" customHeight="true" outlineLevel="0" collapsed="false">
      <c r="A1" s="7" t="s">
        <v>222</v>
      </c>
    </row>
    <row r="2" customFormat="false" ht="15" hidden="false" customHeight="true" outlineLevel="0" collapsed="false">
      <c r="A2" s="7" t="s">
        <v>197</v>
      </c>
      <c r="B2" s="4" t="s">
        <v>198</v>
      </c>
      <c r="C2" s="4" t="s">
        <v>199</v>
      </c>
      <c r="D2" s="4" t="s">
        <v>200</v>
      </c>
      <c r="E2" s="4" t="s">
        <v>201</v>
      </c>
      <c r="F2" s="4" t="s">
        <v>202</v>
      </c>
      <c r="G2" s="4" t="s">
        <v>203</v>
      </c>
      <c r="H2" s="4" t="s">
        <v>204</v>
      </c>
      <c r="I2" s="4" t="s">
        <v>205</v>
      </c>
      <c r="J2" s="4" t="s">
        <v>206</v>
      </c>
      <c r="K2" s="4" t="s">
        <v>207</v>
      </c>
      <c r="L2" s="4" t="s">
        <v>208</v>
      </c>
      <c r="M2" s="7" t="s">
        <v>209</v>
      </c>
    </row>
    <row r="3" customFormat="false" ht="15" hidden="false" customHeight="true" outlineLevel="0" collapsed="false">
      <c r="A3" s="6" t="s">
        <v>210</v>
      </c>
      <c r="B3" s="8" t="n">
        <v>0</v>
      </c>
      <c r="C3" s="8" t="n">
        <v>164</v>
      </c>
      <c r="D3" s="8" t="n">
        <v>0</v>
      </c>
      <c r="E3" s="8" t="n">
        <v>63</v>
      </c>
      <c r="F3" s="8" t="n">
        <v>0</v>
      </c>
      <c r="G3" s="8" t="n">
        <v>65</v>
      </c>
      <c r="H3" s="8" t="n">
        <v>0</v>
      </c>
      <c r="I3" s="8" t="n">
        <v>439</v>
      </c>
      <c r="J3" s="8" t="n">
        <v>0</v>
      </c>
      <c r="K3" s="8" t="n">
        <v>121</v>
      </c>
      <c r="L3" s="8" t="n">
        <v>0</v>
      </c>
      <c r="M3" s="6" t="n">
        <f aca="false">SUM(B3:L3)</f>
        <v>852</v>
      </c>
    </row>
    <row r="4" customFormat="false" ht="15" hidden="false" customHeight="true" outlineLevel="0" collapsed="false">
      <c r="A4" s="6" t="s">
        <v>211</v>
      </c>
      <c r="B4" s="8" t="n">
        <v>0</v>
      </c>
      <c r="C4" s="8" t="n">
        <v>165</v>
      </c>
      <c r="D4" s="8" t="n">
        <v>0</v>
      </c>
      <c r="E4" s="8" t="n">
        <v>63</v>
      </c>
      <c r="F4" s="8" t="n">
        <v>0</v>
      </c>
      <c r="G4" s="8" t="n">
        <v>66</v>
      </c>
      <c r="H4" s="8" t="n">
        <v>0</v>
      </c>
      <c r="I4" s="8" t="n">
        <v>446</v>
      </c>
      <c r="J4" s="8" t="n">
        <v>0</v>
      </c>
      <c r="K4" s="8" t="n">
        <v>123</v>
      </c>
      <c r="L4" s="8" t="n">
        <v>0</v>
      </c>
      <c r="M4" s="6" t="n">
        <f aca="false">SUM(B4:L4)</f>
        <v>863</v>
      </c>
    </row>
    <row r="5" customFormat="false" ht="15" hidden="false" customHeight="true" outlineLevel="0" collapsed="false">
      <c r="A5" s="6" t="s">
        <v>212</v>
      </c>
      <c r="B5" s="8" t="n">
        <v>0</v>
      </c>
      <c r="C5" s="8" t="n">
        <v>166</v>
      </c>
      <c r="D5" s="8" t="n">
        <v>0</v>
      </c>
      <c r="E5" s="8" t="n">
        <v>63</v>
      </c>
      <c r="F5" s="8" t="n">
        <v>0</v>
      </c>
      <c r="G5" s="8" t="n">
        <v>66</v>
      </c>
      <c r="H5" s="8" t="n">
        <v>0</v>
      </c>
      <c r="I5" s="8" t="n">
        <v>451</v>
      </c>
      <c r="J5" s="8" t="n">
        <v>0</v>
      </c>
      <c r="K5" s="8" t="n">
        <v>134</v>
      </c>
      <c r="L5" s="8" t="n">
        <v>0</v>
      </c>
      <c r="M5" s="6" t="n">
        <f aca="false">SUM(B5:L5)</f>
        <v>880</v>
      </c>
    </row>
    <row r="6" customFormat="false" ht="15" hidden="false" customHeight="true" outlineLevel="0" collapsed="false">
      <c r="A6" s="6" t="s">
        <v>213</v>
      </c>
      <c r="B6" s="8" t="n">
        <v>0</v>
      </c>
      <c r="C6" s="8" t="n">
        <v>170</v>
      </c>
      <c r="D6" s="8" t="n">
        <v>0</v>
      </c>
      <c r="E6" s="8" t="n">
        <v>64</v>
      </c>
      <c r="F6" s="8" t="n">
        <v>0</v>
      </c>
      <c r="G6" s="8" t="n">
        <v>66</v>
      </c>
      <c r="H6" s="8" t="n">
        <v>0</v>
      </c>
      <c r="I6" s="8" t="n">
        <v>454</v>
      </c>
      <c r="J6" s="8" t="n">
        <v>0</v>
      </c>
      <c r="K6" s="8" t="n">
        <v>171</v>
      </c>
      <c r="L6" s="8" t="n">
        <v>0</v>
      </c>
      <c r="M6" s="6" t="n">
        <f aca="false">SUM(B6:L6)</f>
        <v>925</v>
      </c>
    </row>
    <row r="7" customFormat="false" ht="15" hidden="false" customHeight="true" outlineLevel="0" collapsed="false">
      <c r="A7" s="6" t="s">
        <v>214</v>
      </c>
      <c r="B7" s="8" t="n">
        <v>0</v>
      </c>
      <c r="C7" s="8" t="n">
        <v>171</v>
      </c>
      <c r="D7" s="8" t="n">
        <v>0</v>
      </c>
      <c r="E7" s="8" t="n">
        <v>64</v>
      </c>
      <c r="F7" s="8" t="n">
        <v>0</v>
      </c>
      <c r="G7" s="8" t="n">
        <v>67</v>
      </c>
      <c r="H7" s="8" t="n">
        <v>0</v>
      </c>
      <c r="I7" s="8" t="n">
        <v>459</v>
      </c>
      <c r="J7" s="8" t="n">
        <v>0</v>
      </c>
      <c r="K7" s="8" t="n">
        <v>186</v>
      </c>
      <c r="L7" s="8" t="n">
        <v>0</v>
      </c>
      <c r="M7" s="6" t="n">
        <f aca="false">SUM(B7:L7)</f>
        <v>947</v>
      </c>
    </row>
    <row r="8" customFormat="false" ht="15" hidden="false" customHeight="true" outlineLevel="0" collapsed="false">
      <c r="A8" s="6" t="s">
        <v>215</v>
      </c>
      <c r="B8" s="8" t="n">
        <v>0</v>
      </c>
      <c r="C8" s="8" t="n">
        <v>173</v>
      </c>
      <c r="D8" s="8" t="n">
        <v>0</v>
      </c>
      <c r="E8" s="8" t="n">
        <v>65</v>
      </c>
      <c r="F8" s="8" t="n">
        <v>0</v>
      </c>
      <c r="G8" s="8" t="n">
        <v>68</v>
      </c>
      <c r="H8" s="8" t="n">
        <v>0</v>
      </c>
      <c r="I8" s="8" t="n">
        <v>460</v>
      </c>
      <c r="J8" s="8" t="n">
        <v>0</v>
      </c>
      <c r="K8" s="8" t="n">
        <v>188</v>
      </c>
      <c r="L8" s="8" t="n">
        <v>0</v>
      </c>
      <c r="M8" s="6" t="n">
        <f aca="false">SUM(B8:L8)</f>
        <v>954</v>
      </c>
    </row>
    <row r="9" customFormat="false" ht="15" hidden="false" customHeight="true" outlineLevel="0" collapsed="false">
      <c r="A9" s="6" t="s">
        <v>216</v>
      </c>
      <c r="B9" s="8" t="n">
        <v>0</v>
      </c>
      <c r="C9" s="8" t="n">
        <v>174</v>
      </c>
      <c r="D9" s="8" t="n">
        <v>0</v>
      </c>
      <c r="E9" s="8" t="n">
        <v>65</v>
      </c>
      <c r="F9" s="8" t="n">
        <v>0</v>
      </c>
      <c r="G9" s="8" t="n">
        <v>68</v>
      </c>
      <c r="H9" s="8" t="n">
        <v>0</v>
      </c>
      <c r="I9" s="8" t="n">
        <v>465</v>
      </c>
      <c r="J9" s="8" t="n">
        <v>0</v>
      </c>
      <c r="K9" s="8" t="n">
        <v>211</v>
      </c>
      <c r="L9" s="8" t="n">
        <v>0</v>
      </c>
      <c r="M9" s="6" t="n">
        <f aca="false">SUM(B9:L9)</f>
        <v>983</v>
      </c>
    </row>
    <row r="10" customFormat="false" ht="15" hidden="false" customHeight="true" outlineLevel="0" collapsed="false">
      <c r="A10" s="6" t="s">
        <v>217</v>
      </c>
      <c r="B10" s="8" t="n">
        <v>0</v>
      </c>
      <c r="C10" s="8" t="n">
        <v>178</v>
      </c>
      <c r="D10" s="8" t="n">
        <v>0</v>
      </c>
      <c r="E10" s="8" t="n">
        <v>65</v>
      </c>
      <c r="F10" s="8" t="n">
        <v>0</v>
      </c>
      <c r="G10" s="8" t="n">
        <v>69</v>
      </c>
      <c r="H10" s="8" t="n">
        <v>0</v>
      </c>
      <c r="I10" s="8" t="n">
        <v>478</v>
      </c>
      <c r="J10" s="8" t="n">
        <v>0</v>
      </c>
      <c r="K10" s="8" t="n">
        <v>271</v>
      </c>
      <c r="L10" s="8" t="n">
        <v>0</v>
      </c>
      <c r="M10" s="6" t="n">
        <f aca="false">SUM(B10:L10)</f>
        <v>1061</v>
      </c>
    </row>
    <row r="11" customFormat="false" ht="15" hidden="false" customHeight="true" outlineLevel="0" collapsed="false">
      <c r="A11" s="6" t="s">
        <v>218</v>
      </c>
      <c r="B11" s="8" t="n">
        <v>0</v>
      </c>
      <c r="C11" s="8" t="n">
        <v>181</v>
      </c>
      <c r="D11" s="8" t="n">
        <v>0</v>
      </c>
      <c r="E11" s="8" t="n">
        <v>65</v>
      </c>
      <c r="F11" s="8" t="n">
        <v>0</v>
      </c>
      <c r="G11" s="8" t="n">
        <v>69</v>
      </c>
      <c r="H11" s="8" t="n">
        <v>0</v>
      </c>
      <c r="I11" s="8" t="n">
        <v>483</v>
      </c>
      <c r="J11" s="8" t="n">
        <v>0</v>
      </c>
      <c r="K11" s="8" t="n">
        <v>297</v>
      </c>
      <c r="L11" s="8" t="n">
        <v>0</v>
      </c>
      <c r="M11" s="6" t="n">
        <f aca="false">SUM(B11:L11)</f>
        <v>1095</v>
      </c>
    </row>
    <row r="12" customFormat="false" ht="15" hidden="false" customHeight="true" outlineLevel="0" collapsed="false">
      <c r="A12" s="7" t="s">
        <v>219</v>
      </c>
      <c r="B12" s="7" t="n">
        <f aca="false">SUM(B3:B11)</f>
        <v>0</v>
      </c>
      <c r="C12" s="7" t="n">
        <f aca="false">SUM(C3:C11)</f>
        <v>1542</v>
      </c>
      <c r="D12" s="7" t="n">
        <f aca="false">SUM(D3:D11)</f>
        <v>0</v>
      </c>
      <c r="E12" s="7" t="n">
        <f aca="false">SUM(E3:E11)</f>
        <v>577</v>
      </c>
      <c r="F12" s="7" t="n">
        <f aca="false">SUM(F3:F11)</f>
        <v>0</v>
      </c>
      <c r="G12" s="7" t="n">
        <f aca="false">SUM(G3:G11)</f>
        <v>604</v>
      </c>
      <c r="H12" s="7" t="n">
        <f aca="false">SUM(H3:H11)</f>
        <v>0</v>
      </c>
      <c r="I12" s="7" t="n">
        <f aca="false">SUM(I3:I11)</f>
        <v>4135</v>
      </c>
      <c r="J12" s="7" t="n">
        <f aca="false">SUM(J3:J11)</f>
        <v>0</v>
      </c>
      <c r="K12" s="7" t="n">
        <f aca="false">SUM(K3:K11)</f>
        <v>1702</v>
      </c>
      <c r="L12" s="7" t="n">
        <f aca="false">SUM(L3:L11)</f>
        <v>0</v>
      </c>
      <c r="M12" s="7" t="n">
        <f aca="false">SUM(M3:M11)</f>
        <v>8560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5" hidden="false" customHeight="true" outlineLevel="0" collapsed="false">
      <c r="A1" s="7" t="s">
        <v>223</v>
      </c>
    </row>
    <row r="2" customFormat="false" ht="15" hidden="false" customHeight="true" outlineLevel="0" collapsed="false">
      <c r="A2" s="7" t="s">
        <v>197</v>
      </c>
      <c r="B2" s="4" t="s">
        <v>198</v>
      </c>
      <c r="C2" s="4" t="s">
        <v>199</v>
      </c>
      <c r="D2" s="4" t="s">
        <v>200</v>
      </c>
      <c r="E2" s="4" t="s">
        <v>201</v>
      </c>
      <c r="F2" s="4" t="s">
        <v>202</v>
      </c>
      <c r="G2" s="4" t="s">
        <v>203</v>
      </c>
      <c r="H2" s="4" t="s">
        <v>204</v>
      </c>
      <c r="I2" s="4" t="s">
        <v>205</v>
      </c>
      <c r="J2" s="4" t="s">
        <v>206</v>
      </c>
      <c r="K2" s="4" t="s">
        <v>207</v>
      </c>
      <c r="L2" s="4" t="s">
        <v>208</v>
      </c>
      <c r="M2" s="7" t="s">
        <v>209</v>
      </c>
    </row>
    <row r="3" customFormat="false" ht="15" hidden="false" customHeight="true" outlineLevel="0" collapsed="false">
      <c r="A3" s="6" t="s">
        <v>210</v>
      </c>
      <c r="B3" s="9" t="n">
        <f aca="false">Z_Grey!B3+Z_White!B3+Z_S3!B3+Z_Blue!B3</f>
        <v>1168</v>
      </c>
      <c r="C3" s="9" t="n">
        <f aca="false">Z_Grey!C3+Z_White!C3+Z_S3!C3+Z_Blue!C3</f>
        <v>164</v>
      </c>
      <c r="D3" s="9" t="n">
        <f aca="false">Z_Grey!D3+Z_White!D3+Z_S3!D3+Z_Blue!D3</f>
        <v>60</v>
      </c>
      <c r="E3" s="9" t="n">
        <f aca="false">Z_Grey!E3+Z_White!E3+Z_S3!E3+Z_Blue!E3</f>
        <v>63</v>
      </c>
      <c r="F3" s="9" t="n">
        <f aca="false">Z_Grey!F3+Z_White!F3+Z_S3!F3+Z_Blue!F3</f>
        <v>144</v>
      </c>
      <c r="G3" s="9" t="n">
        <f aca="false">Z_Grey!G3+Z_White!G3+Z_S3!G3+Z_Blue!G3</f>
        <v>65</v>
      </c>
      <c r="H3" s="9" t="n">
        <f aca="false">Z_Grey!H3+Z_White!H3+Z_S3!H3+Z_Blue!H3</f>
        <v>408</v>
      </c>
      <c r="I3" s="9" t="n">
        <f aca="false">Z_Grey!I3+Z_White!I3+Z_S3!I3+Z_Blue!I3</f>
        <v>439</v>
      </c>
      <c r="J3" s="9" t="n">
        <f aca="false">Z_Grey!J3+Z_White!J3+Z_S3!J3+Z_Blue!J3</f>
        <v>271</v>
      </c>
      <c r="K3" s="9" t="n">
        <f aca="false">Z_Grey!K3+Z_White!K3+Z_S3!K3+Z_Blue!K3</f>
        <v>121</v>
      </c>
      <c r="L3" s="9" t="n">
        <f aca="false">Z_Grey!L3+Z_White!L3+Z_S3!L3+Z_Blue!L3</f>
        <v>56</v>
      </c>
      <c r="M3" s="6" t="n">
        <f aca="false">SUM(B3:L3)</f>
        <v>2959</v>
      </c>
    </row>
    <row r="4" customFormat="false" ht="15" hidden="false" customHeight="true" outlineLevel="0" collapsed="false">
      <c r="A4" s="6" t="s">
        <v>211</v>
      </c>
      <c r="B4" s="9" t="n">
        <f aca="false">Z_Grey!B4+Z_White!B4+Z_S3!B4+Z_Blue!B4</f>
        <v>1556</v>
      </c>
      <c r="C4" s="9" t="n">
        <f aca="false">Z_Grey!C4+Z_White!C4+Z_S3!C4+Z_Blue!C4</f>
        <v>165</v>
      </c>
      <c r="D4" s="9" t="n">
        <f aca="false">Z_Grey!D4+Z_White!D4+Z_S3!D4+Z_Blue!D4</f>
        <v>61</v>
      </c>
      <c r="E4" s="9" t="n">
        <f aca="false">Z_Grey!E4+Z_White!E4+Z_S3!E4+Z_Blue!E4</f>
        <v>63</v>
      </c>
      <c r="F4" s="9" t="n">
        <f aca="false">Z_Grey!F4+Z_White!F4+Z_S3!F4+Z_Blue!F4</f>
        <v>256</v>
      </c>
      <c r="G4" s="9" t="n">
        <f aca="false">Z_Grey!G4+Z_White!G4+Z_S3!G4+Z_Blue!G4</f>
        <v>66</v>
      </c>
      <c r="H4" s="9" t="n">
        <f aca="false">Z_Grey!H4+Z_White!H4+Z_S3!H4+Z_Blue!H4</f>
        <v>151</v>
      </c>
      <c r="I4" s="9" t="n">
        <f aca="false">Z_Grey!I4+Z_White!I4+Z_S3!I4+Z_Blue!I4</f>
        <v>446</v>
      </c>
      <c r="J4" s="9" t="n">
        <f aca="false">Z_Grey!J4+Z_White!J4+Z_S3!J4+Z_Blue!J4</f>
        <v>56</v>
      </c>
      <c r="K4" s="9" t="n">
        <f aca="false">Z_Grey!K4+Z_White!K4+Z_S3!K4+Z_Blue!K4</f>
        <v>123</v>
      </c>
      <c r="L4" s="9" t="n">
        <f aca="false">Z_Grey!L4+Z_White!L4+Z_S3!L4+Z_Blue!L4</f>
        <v>56</v>
      </c>
      <c r="M4" s="6" t="n">
        <f aca="false">SUM(B4:L4)</f>
        <v>2999</v>
      </c>
    </row>
    <row r="5" customFormat="false" ht="15" hidden="false" customHeight="true" outlineLevel="0" collapsed="false">
      <c r="A5" s="6" t="s">
        <v>212</v>
      </c>
      <c r="B5" s="9" t="n">
        <f aca="false">Z_Grey!B5+Z_White!B5+Z_S3!B5+Z_Blue!B5</f>
        <v>1038</v>
      </c>
      <c r="C5" s="9" t="n">
        <f aca="false">Z_Grey!C5+Z_White!C5+Z_S3!C5+Z_Blue!C5</f>
        <v>166</v>
      </c>
      <c r="D5" s="9" t="n">
        <f aca="false">Z_Grey!D5+Z_White!D5+Z_S3!D5+Z_Blue!D5</f>
        <v>85</v>
      </c>
      <c r="E5" s="9" t="n">
        <f aca="false">Z_Grey!E5+Z_White!E5+Z_S3!E5+Z_Blue!E5</f>
        <v>63</v>
      </c>
      <c r="F5" s="9" t="n">
        <f aca="false">Z_Grey!F5+Z_White!F5+Z_S3!F5+Z_Blue!F5</f>
        <v>99</v>
      </c>
      <c r="G5" s="9" t="n">
        <f aca="false">Z_Grey!G5+Z_White!G5+Z_S3!G5+Z_Blue!G5</f>
        <v>66</v>
      </c>
      <c r="H5" s="9" t="n">
        <f aca="false">Z_Grey!H5+Z_White!H5+Z_S3!H5+Z_Blue!H5</f>
        <v>300</v>
      </c>
      <c r="I5" s="9" t="n">
        <f aca="false">Z_Grey!I5+Z_White!I5+Z_S3!I5+Z_Blue!I5</f>
        <v>451</v>
      </c>
      <c r="J5" s="9" t="n">
        <f aca="false">Z_Grey!J5+Z_White!J5+Z_S3!J5+Z_Blue!J5</f>
        <v>66</v>
      </c>
      <c r="K5" s="9" t="n">
        <f aca="false">Z_Grey!K5+Z_White!K5+Z_S3!K5+Z_Blue!K5</f>
        <v>134</v>
      </c>
      <c r="L5" s="9" t="n">
        <f aca="false">Z_Grey!L5+Z_White!L5+Z_S3!L5+Z_Blue!L5</f>
        <v>79</v>
      </c>
      <c r="M5" s="6" t="n">
        <f aca="false">SUM(B5:L5)</f>
        <v>2547</v>
      </c>
    </row>
    <row r="6" customFormat="false" ht="15" hidden="false" customHeight="true" outlineLevel="0" collapsed="false">
      <c r="A6" s="6" t="s">
        <v>213</v>
      </c>
      <c r="B6" s="9" t="n">
        <f aca="false">Z_Grey!B6+Z_White!B6+Z_S3!B6+Z_Blue!B6</f>
        <v>1290</v>
      </c>
      <c r="C6" s="9" t="n">
        <f aca="false">Z_Grey!C6+Z_White!C6+Z_S3!C6+Z_Blue!C6</f>
        <v>170</v>
      </c>
      <c r="D6" s="9" t="n">
        <f aca="false">Z_Grey!D6+Z_White!D6+Z_S3!D6+Z_Blue!D6</f>
        <v>61</v>
      </c>
      <c r="E6" s="9" t="n">
        <f aca="false">Z_Grey!E6+Z_White!E6+Z_S3!E6+Z_Blue!E6</f>
        <v>64</v>
      </c>
      <c r="F6" s="9" t="n">
        <f aca="false">Z_Grey!F6+Z_White!F6+Z_S3!F6+Z_Blue!F6</f>
        <v>162</v>
      </c>
      <c r="G6" s="9" t="n">
        <f aca="false">Z_Grey!G6+Z_White!G6+Z_S3!G6+Z_Blue!G6</f>
        <v>66</v>
      </c>
      <c r="H6" s="9" t="n">
        <f aca="false">Z_Grey!H6+Z_White!H6+Z_S3!H6+Z_Blue!H6</f>
        <v>296</v>
      </c>
      <c r="I6" s="9" t="n">
        <f aca="false">Z_Grey!I6+Z_White!I6+Z_S3!I6+Z_Blue!I6</f>
        <v>454</v>
      </c>
      <c r="J6" s="9" t="n">
        <f aca="false">Z_Grey!J6+Z_White!J6+Z_S3!J6+Z_Blue!J6</f>
        <v>188</v>
      </c>
      <c r="K6" s="9" t="n">
        <f aca="false">Z_Grey!K6+Z_White!K6+Z_S3!K6+Z_Blue!K6</f>
        <v>171</v>
      </c>
      <c r="L6" s="9" t="n">
        <f aca="false">Z_Grey!L6+Z_White!L6+Z_S3!L6+Z_Blue!L6</f>
        <v>95</v>
      </c>
      <c r="M6" s="6" t="n">
        <f aca="false">SUM(B6:L6)</f>
        <v>3017</v>
      </c>
    </row>
    <row r="7" customFormat="false" ht="15" hidden="false" customHeight="true" outlineLevel="0" collapsed="false">
      <c r="A7" s="6" t="s">
        <v>214</v>
      </c>
      <c r="B7" s="9" t="n">
        <f aca="false">Z_Grey!B7+Z_White!B7+Z_S3!B7+Z_Blue!B7</f>
        <v>1423</v>
      </c>
      <c r="C7" s="9" t="n">
        <f aca="false">Z_Grey!C7+Z_White!C7+Z_S3!C7+Z_Blue!C7</f>
        <v>171</v>
      </c>
      <c r="D7" s="9" t="n">
        <f aca="false">Z_Grey!D7+Z_White!D7+Z_S3!D7+Z_Blue!D7</f>
        <v>79</v>
      </c>
      <c r="E7" s="9" t="n">
        <f aca="false">Z_Grey!E7+Z_White!E7+Z_S3!E7+Z_Blue!E7</f>
        <v>64</v>
      </c>
      <c r="F7" s="9" t="n">
        <f aca="false">Z_Grey!F7+Z_White!F7+Z_S3!F7+Z_Blue!F7</f>
        <v>109</v>
      </c>
      <c r="G7" s="9" t="n">
        <f aca="false">Z_Grey!G7+Z_White!G7+Z_S3!G7+Z_Blue!G7</f>
        <v>67</v>
      </c>
      <c r="H7" s="9" t="n">
        <f aca="false">Z_Grey!H7+Z_White!H7+Z_S3!H7+Z_Blue!H7</f>
        <v>159</v>
      </c>
      <c r="I7" s="9" t="n">
        <f aca="false">Z_Grey!I7+Z_White!I7+Z_S3!I7+Z_Blue!I7</f>
        <v>459</v>
      </c>
      <c r="J7" s="9" t="n">
        <f aca="false">Z_Grey!J7+Z_White!J7+Z_S3!J7+Z_Blue!J7</f>
        <v>58</v>
      </c>
      <c r="K7" s="9" t="n">
        <f aca="false">Z_Grey!K7+Z_White!K7+Z_S3!K7+Z_Blue!K7</f>
        <v>186</v>
      </c>
      <c r="L7" s="9" t="n">
        <f aca="false">Z_Grey!L7+Z_White!L7+Z_S3!L7+Z_Blue!L7</f>
        <v>121</v>
      </c>
      <c r="M7" s="6" t="n">
        <f aca="false">SUM(B7:L7)</f>
        <v>2896</v>
      </c>
    </row>
    <row r="8" customFormat="false" ht="15" hidden="false" customHeight="true" outlineLevel="0" collapsed="false">
      <c r="A8" s="6" t="s">
        <v>215</v>
      </c>
      <c r="B8" s="9" t="n">
        <f aca="false">Z_Grey!B8+Z_White!B8+Z_S3!B8+Z_Blue!B8</f>
        <v>1451</v>
      </c>
      <c r="C8" s="9" t="n">
        <f aca="false">Z_Grey!C8+Z_White!C8+Z_S3!C8+Z_Blue!C8</f>
        <v>173</v>
      </c>
      <c r="D8" s="9" t="n">
        <f aca="false">Z_Grey!D8+Z_White!D8+Z_S3!D8+Z_Blue!D8</f>
        <v>63</v>
      </c>
      <c r="E8" s="9" t="n">
        <f aca="false">Z_Grey!E8+Z_White!E8+Z_S3!E8+Z_Blue!E8</f>
        <v>65</v>
      </c>
      <c r="F8" s="9" t="n">
        <f aca="false">Z_Grey!F8+Z_White!F8+Z_S3!F8+Z_Blue!F8</f>
        <v>255</v>
      </c>
      <c r="G8" s="9" t="n">
        <f aca="false">Z_Grey!G8+Z_White!G8+Z_S3!G8+Z_Blue!G8</f>
        <v>68</v>
      </c>
      <c r="H8" s="9" t="n">
        <f aca="false">Z_Grey!H8+Z_White!H8+Z_S3!H8+Z_Blue!H8</f>
        <v>197</v>
      </c>
      <c r="I8" s="9" t="n">
        <f aca="false">Z_Grey!I8+Z_White!I8+Z_S3!I8+Z_Blue!I8</f>
        <v>460</v>
      </c>
      <c r="J8" s="9" t="n">
        <f aca="false">Z_Grey!J8+Z_White!J8+Z_S3!J8+Z_Blue!J8</f>
        <v>118</v>
      </c>
      <c r="K8" s="9" t="n">
        <f aca="false">Z_Grey!K8+Z_White!K8+Z_S3!K8+Z_Blue!K8</f>
        <v>188</v>
      </c>
      <c r="L8" s="9" t="n">
        <f aca="false">Z_Grey!L8+Z_White!L8+Z_S3!L8+Z_Blue!L8</f>
        <v>92</v>
      </c>
      <c r="M8" s="6" t="n">
        <f aca="false">SUM(B8:L8)</f>
        <v>3130</v>
      </c>
    </row>
    <row r="9" customFormat="false" ht="15" hidden="false" customHeight="true" outlineLevel="0" collapsed="false">
      <c r="A9" s="6" t="s">
        <v>216</v>
      </c>
      <c r="B9" s="9" t="n">
        <f aca="false">Z_Grey!B9+Z_White!B9+Z_S3!B9+Z_Blue!B9</f>
        <v>1400</v>
      </c>
      <c r="C9" s="9" t="n">
        <f aca="false">Z_Grey!C9+Z_White!C9+Z_S3!C9+Z_Blue!C9</f>
        <v>174</v>
      </c>
      <c r="D9" s="9" t="n">
        <f aca="false">Z_Grey!D9+Z_White!D9+Z_S3!D9+Z_Blue!D9</f>
        <v>60</v>
      </c>
      <c r="E9" s="9" t="n">
        <f aca="false">Z_Grey!E9+Z_White!E9+Z_S3!E9+Z_Blue!E9</f>
        <v>65</v>
      </c>
      <c r="F9" s="9" t="n">
        <f aca="false">Z_Grey!F9+Z_White!F9+Z_S3!F9+Z_Blue!F9</f>
        <v>169</v>
      </c>
      <c r="G9" s="9" t="n">
        <f aca="false">Z_Grey!G9+Z_White!G9+Z_S3!G9+Z_Blue!G9</f>
        <v>68</v>
      </c>
      <c r="H9" s="9" t="n">
        <f aca="false">Z_Grey!H9+Z_White!H9+Z_S3!H9+Z_Blue!H9</f>
        <v>265</v>
      </c>
      <c r="I9" s="9" t="n">
        <f aca="false">Z_Grey!I9+Z_White!I9+Z_S3!I9+Z_Blue!I9</f>
        <v>465</v>
      </c>
      <c r="J9" s="9" t="n">
        <f aca="false">Z_Grey!J9+Z_White!J9+Z_S3!J9+Z_Blue!J9</f>
        <v>68</v>
      </c>
      <c r="K9" s="9" t="n">
        <f aca="false">Z_Grey!K9+Z_White!K9+Z_S3!K9+Z_Blue!K9</f>
        <v>211</v>
      </c>
      <c r="L9" s="9" t="n">
        <f aca="false">Z_Grey!L9+Z_White!L9+Z_S3!L9+Z_Blue!L9</f>
        <v>63</v>
      </c>
      <c r="M9" s="6" t="n">
        <f aca="false">SUM(B9:L9)</f>
        <v>3008</v>
      </c>
    </row>
    <row r="10" customFormat="false" ht="15" hidden="false" customHeight="true" outlineLevel="0" collapsed="false">
      <c r="A10" s="6" t="s">
        <v>217</v>
      </c>
      <c r="B10" s="9" t="n">
        <f aca="false">Z_Grey!B10+Z_White!B10+Z_S3!B10+Z_Blue!B10</f>
        <v>961</v>
      </c>
      <c r="C10" s="9" t="n">
        <f aca="false">Z_Grey!C10+Z_White!C10+Z_S3!C10+Z_Blue!C10</f>
        <v>178</v>
      </c>
      <c r="D10" s="9" t="n">
        <f aca="false">Z_Grey!D10+Z_White!D10+Z_S3!D10+Z_Blue!D10</f>
        <v>78</v>
      </c>
      <c r="E10" s="9" t="n">
        <f aca="false">Z_Grey!E10+Z_White!E10+Z_S3!E10+Z_Blue!E10</f>
        <v>65</v>
      </c>
      <c r="F10" s="9" t="n">
        <f aca="false">Z_Grey!F10+Z_White!F10+Z_S3!F10+Z_Blue!F10</f>
        <v>288</v>
      </c>
      <c r="G10" s="9" t="n">
        <f aca="false">Z_Grey!G10+Z_White!G10+Z_S3!G10+Z_Blue!G10</f>
        <v>69</v>
      </c>
      <c r="H10" s="9" t="n">
        <f aca="false">Z_Grey!H10+Z_White!H10+Z_S3!H10+Z_Blue!H10</f>
        <v>256</v>
      </c>
      <c r="I10" s="9" t="n">
        <f aca="false">Z_Grey!I10+Z_White!I10+Z_S3!I10+Z_Blue!I10</f>
        <v>478</v>
      </c>
      <c r="J10" s="9" t="n">
        <f aca="false">Z_Grey!J10+Z_White!J10+Z_S3!J10+Z_Blue!J10</f>
        <v>94</v>
      </c>
      <c r="K10" s="9" t="n">
        <f aca="false">Z_Grey!K10+Z_White!K10+Z_S3!K10+Z_Blue!K10</f>
        <v>271</v>
      </c>
      <c r="L10" s="9" t="n">
        <f aca="false">Z_Grey!L10+Z_White!L10+Z_S3!L10+Z_Blue!L10</f>
        <v>105</v>
      </c>
      <c r="M10" s="6" t="n">
        <f aca="false">SUM(B10:L10)</f>
        <v>2843</v>
      </c>
    </row>
    <row r="11" customFormat="false" ht="15" hidden="false" customHeight="true" outlineLevel="0" collapsed="false">
      <c r="A11" s="6" t="s">
        <v>218</v>
      </c>
      <c r="B11" s="9" t="n">
        <f aca="false">Z_Grey!B11+Z_White!B11+Z_S3!B11+Z_Blue!B11</f>
        <v>938</v>
      </c>
      <c r="C11" s="9" t="n">
        <f aca="false">Z_Grey!C11+Z_White!C11+Z_S3!C11+Z_Blue!C11</f>
        <v>181</v>
      </c>
      <c r="D11" s="9" t="n">
        <f aca="false">Z_Grey!D11+Z_White!D11+Z_S3!D11+Z_Blue!D11</f>
        <v>171</v>
      </c>
      <c r="E11" s="9" t="n">
        <f aca="false">Z_Grey!E11+Z_White!E11+Z_S3!E11+Z_Blue!E11</f>
        <v>65</v>
      </c>
      <c r="F11" s="9" t="n">
        <f aca="false">Z_Grey!F11+Z_White!F11+Z_S3!F11+Z_Blue!F11</f>
        <v>157</v>
      </c>
      <c r="G11" s="9" t="n">
        <f aca="false">Z_Grey!G11+Z_White!G11+Z_S3!G11+Z_Blue!G11</f>
        <v>69</v>
      </c>
      <c r="H11" s="9" t="n">
        <f aca="false">Z_Grey!H11+Z_White!H11+Z_S3!H11+Z_Blue!H11</f>
        <v>260</v>
      </c>
      <c r="I11" s="9" t="n">
        <f aca="false">Z_Grey!I11+Z_White!I11+Z_S3!I11+Z_Blue!I11</f>
        <v>483</v>
      </c>
      <c r="J11" s="9" t="n">
        <f aca="false">Z_Grey!J11+Z_White!J11+Z_S3!J11+Z_Blue!J11</f>
        <v>94</v>
      </c>
      <c r="K11" s="9" t="n">
        <f aca="false">Z_Grey!K11+Z_White!K11+Z_S3!K11+Z_Blue!K11</f>
        <v>297</v>
      </c>
      <c r="L11" s="9" t="n">
        <f aca="false">Z_Grey!L11+Z_White!L11+Z_S3!L11+Z_Blue!L11</f>
        <v>297</v>
      </c>
      <c r="M11" s="6" t="n">
        <f aca="false">SUM(B11:L11)</f>
        <v>3012</v>
      </c>
    </row>
    <row r="12" customFormat="false" ht="15" hidden="false" customHeight="true" outlineLevel="0" collapsed="false">
      <c r="A12" s="7" t="s">
        <v>219</v>
      </c>
      <c r="B12" s="7" t="n">
        <f aca="false">SUM(B3:B11)</f>
        <v>11225</v>
      </c>
      <c r="C12" s="7" t="n">
        <f aca="false">SUM(C3:C11)</f>
        <v>1542</v>
      </c>
      <c r="D12" s="7" t="n">
        <f aca="false">SUM(D3:D11)</f>
        <v>718</v>
      </c>
      <c r="E12" s="7" t="n">
        <f aca="false">SUM(E3:E11)</f>
        <v>577</v>
      </c>
      <c r="F12" s="7" t="n">
        <f aca="false">SUM(F3:F11)</f>
        <v>1639</v>
      </c>
      <c r="G12" s="7" t="n">
        <f aca="false">SUM(G3:G11)</f>
        <v>604</v>
      </c>
      <c r="H12" s="7" t="n">
        <f aca="false">SUM(H3:H11)</f>
        <v>2292</v>
      </c>
      <c r="I12" s="7" t="n">
        <f aca="false">SUM(I3:I11)</f>
        <v>4135</v>
      </c>
      <c r="J12" s="7" t="n">
        <f aca="false">SUM(J3:J11)</f>
        <v>1013</v>
      </c>
      <c r="K12" s="7" t="n">
        <f aca="false">SUM(K3:K11)</f>
        <v>1702</v>
      </c>
      <c r="L12" s="7" t="n">
        <f aca="false">SUM(L3:L11)</f>
        <v>964</v>
      </c>
      <c r="M12" s="7" t="n">
        <f aca="false">SUM(M3:M11)</f>
        <v>26411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S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</cols>
  <sheetData>
    <row r="1" customFormat="false" ht="15" hidden="false" customHeight="true" outlineLevel="0" collapsed="false">
      <c r="A1" s="7" t="s">
        <v>224</v>
      </c>
      <c r="B1" s="10" t="s">
        <v>225</v>
      </c>
      <c r="C1" s="10" t="s">
        <v>226</v>
      </c>
      <c r="D1" s="10" t="s">
        <v>227</v>
      </c>
      <c r="E1" s="10" t="s">
        <v>228</v>
      </c>
      <c r="F1" s="10" t="s">
        <v>229</v>
      </c>
      <c r="G1" s="10" t="s">
        <v>230</v>
      </c>
      <c r="H1" s="10" t="s">
        <v>231</v>
      </c>
      <c r="I1" s="10" t="s">
        <v>232</v>
      </c>
      <c r="J1" s="10" t="s">
        <v>233</v>
      </c>
      <c r="K1" s="10" t="s">
        <v>234</v>
      </c>
      <c r="L1" s="10" t="s">
        <v>235</v>
      </c>
      <c r="M1" s="10" t="s">
        <v>236</v>
      </c>
      <c r="N1" s="10" t="s">
        <v>237</v>
      </c>
      <c r="O1" s="10" t="s">
        <v>238</v>
      </c>
      <c r="P1" s="10" t="s">
        <v>239</v>
      </c>
      <c r="Q1" s="10" t="s">
        <v>240</v>
      </c>
      <c r="R1" s="10" t="s">
        <v>241</v>
      </c>
      <c r="S1" s="10" t="s">
        <v>242</v>
      </c>
      <c r="T1" s="10" t="s">
        <v>243</v>
      </c>
      <c r="U1" s="10" t="s">
        <v>244</v>
      </c>
      <c r="V1" s="10" t="s">
        <v>245</v>
      </c>
      <c r="W1" s="10" t="s">
        <v>246</v>
      </c>
      <c r="X1" s="10" t="s">
        <v>247</v>
      </c>
      <c r="Y1" s="10" t="s">
        <v>248</v>
      </c>
      <c r="Z1" s="10" t="s">
        <v>249</v>
      </c>
      <c r="AA1" s="10" t="s">
        <v>250</v>
      </c>
      <c r="AB1" s="10" t="s">
        <v>251</v>
      </c>
      <c r="AC1" s="10" t="s">
        <v>252</v>
      </c>
      <c r="AD1" s="10" t="s">
        <v>253</v>
      </c>
      <c r="AE1" s="10" t="s">
        <v>254</v>
      </c>
      <c r="AF1" s="10" t="s">
        <v>255</v>
      </c>
      <c r="AG1" s="10" t="s">
        <v>256</v>
      </c>
      <c r="AH1" s="10" t="s">
        <v>257</v>
      </c>
      <c r="AI1" s="10" t="s">
        <v>258</v>
      </c>
      <c r="AJ1" s="10" t="s">
        <v>259</v>
      </c>
      <c r="AK1" s="10" t="s">
        <v>260</v>
      </c>
      <c r="AL1" s="10" t="s">
        <v>261</v>
      </c>
      <c r="AM1" s="10" t="s">
        <v>262</v>
      </c>
      <c r="AN1" s="10" t="s">
        <v>263</v>
      </c>
      <c r="AO1" s="10" t="s">
        <v>264</v>
      </c>
      <c r="AP1" s="10" t="s">
        <v>265</v>
      </c>
      <c r="AQ1" s="10" t="s">
        <v>266</v>
      </c>
      <c r="AR1" s="10" t="s">
        <v>267</v>
      </c>
      <c r="AS1" s="10" t="s">
        <v>268</v>
      </c>
      <c r="AT1" s="10" t="s">
        <v>269</v>
      </c>
      <c r="AU1" s="10" t="s">
        <v>270</v>
      </c>
      <c r="AV1" s="10" t="s">
        <v>271</v>
      </c>
      <c r="AW1" s="10" t="s">
        <v>272</v>
      </c>
      <c r="AX1" s="10" t="s">
        <v>273</v>
      </c>
      <c r="AY1" s="10" t="s">
        <v>274</v>
      </c>
      <c r="AZ1" s="10" t="s">
        <v>275</v>
      </c>
      <c r="BA1" s="10" t="s">
        <v>276</v>
      </c>
      <c r="BB1" s="10" t="s">
        <v>277</v>
      </c>
      <c r="BC1" s="10" t="s">
        <v>278</v>
      </c>
      <c r="BD1" s="10" t="s">
        <v>279</v>
      </c>
      <c r="BE1" s="10" t="s">
        <v>280</v>
      </c>
      <c r="BF1" s="10" t="s">
        <v>281</v>
      </c>
      <c r="BG1" s="10" t="s">
        <v>282</v>
      </c>
      <c r="BH1" s="10" t="s">
        <v>283</v>
      </c>
      <c r="BI1" s="10" t="s">
        <v>284</v>
      </c>
      <c r="BJ1" s="10" t="s">
        <v>285</v>
      </c>
      <c r="BK1" s="10" t="s">
        <v>286</v>
      </c>
      <c r="BL1" s="10" t="s">
        <v>287</v>
      </c>
      <c r="BM1" s="10" t="s">
        <v>288</v>
      </c>
      <c r="BN1" s="10" t="s">
        <v>289</v>
      </c>
      <c r="BO1" s="10" t="s">
        <v>290</v>
      </c>
      <c r="BP1" s="10" t="s">
        <v>291</v>
      </c>
      <c r="BQ1" s="10" t="s">
        <v>292</v>
      </c>
      <c r="BR1" s="10" t="s">
        <v>293</v>
      </c>
      <c r="BS1" s="10" t="s">
        <v>294</v>
      </c>
      <c r="BT1" s="10" t="s">
        <v>295</v>
      </c>
      <c r="BU1" s="10" t="s">
        <v>296</v>
      </c>
      <c r="BV1" s="10" t="s">
        <v>297</v>
      </c>
      <c r="BW1" s="10" t="s">
        <v>298</v>
      </c>
      <c r="BX1" s="10" t="s">
        <v>299</v>
      </c>
      <c r="BY1" s="10" t="s">
        <v>300</v>
      </c>
      <c r="BZ1" s="10" t="s">
        <v>301</v>
      </c>
      <c r="CA1" s="10" t="s">
        <v>302</v>
      </c>
      <c r="CB1" s="10" t="s">
        <v>303</v>
      </c>
      <c r="CC1" s="10" t="s">
        <v>304</v>
      </c>
      <c r="CD1" s="10" t="s">
        <v>305</v>
      </c>
      <c r="CE1" s="10" t="s">
        <v>306</v>
      </c>
      <c r="CF1" s="10" t="s">
        <v>307</v>
      </c>
      <c r="CG1" s="10" t="s">
        <v>308</v>
      </c>
      <c r="CH1" s="10" t="s">
        <v>309</v>
      </c>
      <c r="CI1" s="10" t="s">
        <v>310</v>
      </c>
      <c r="CJ1" s="10" t="s">
        <v>311</v>
      </c>
      <c r="CK1" s="10" t="s">
        <v>312</v>
      </c>
      <c r="CL1" s="10" t="s">
        <v>313</v>
      </c>
      <c r="CM1" s="10" t="s">
        <v>314</v>
      </c>
      <c r="CN1" s="10" t="s">
        <v>315</v>
      </c>
      <c r="CO1" s="10" t="s">
        <v>316</v>
      </c>
      <c r="CP1" s="10" t="s">
        <v>317</v>
      </c>
      <c r="CQ1" s="10" t="s">
        <v>318</v>
      </c>
      <c r="CR1" s="10" t="s">
        <v>319</v>
      </c>
      <c r="CS1" s="10" t="s">
        <v>320</v>
      </c>
      <c r="CT1" s="10" t="s">
        <v>321</v>
      </c>
      <c r="CU1" s="10" t="s">
        <v>322</v>
      </c>
      <c r="CV1" s="10" t="s">
        <v>323</v>
      </c>
      <c r="CW1" s="10" t="s">
        <v>324</v>
      </c>
      <c r="CX1" s="10" t="s">
        <v>325</v>
      </c>
      <c r="CY1" s="10" t="s">
        <v>326</v>
      </c>
      <c r="CZ1" s="10" t="s">
        <v>327</v>
      </c>
      <c r="DA1" s="10" t="s">
        <v>328</v>
      </c>
      <c r="DB1" s="10" t="s">
        <v>329</v>
      </c>
      <c r="DC1" s="10" t="s">
        <v>330</v>
      </c>
      <c r="DD1" s="10" t="s">
        <v>331</v>
      </c>
      <c r="DE1" s="10" t="s">
        <v>332</v>
      </c>
      <c r="DF1" s="10" t="s">
        <v>333</v>
      </c>
      <c r="DG1" s="10" t="s">
        <v>334</v>
      </c>
      <c r="DH1" s="10" t="s">
        <v>335</v>
      </c>
      <c r="DI1" s="10" t="s">
        <v>336</v>
      </c>
      <c r="DJ1" s="10" t="s">
        <v>337</v>
      </c>
      <c r="DK1" s="10" t="s">
        <v>338</v>
      </c>
      <c r="DL1" s="10" t="s">
        <v>339</v>
      </c>
      <c r="DM1" s="10" t="s">
        <v>340</v>
      </c>
      <c r="DN1" s="10" t="s">
        <v>341</v>
      </c>
      <c r="DO1" s="10" t="s">
        <v>342</v>
      </c>
      <c r="DP1" s="10" t="s">
        <v>343</v>
      </c>
      <c r="DQ1" s="10" t="s">
        <v>344</v>
      </c>
      <c r="DR1" s="10" t="s">
        <v>345</v>
      </c>
      <c r="DS1" s="10" t="s">
        <v>346</v>
      </c>
      <c r="DT1" s="10" t="s">
        <v>347</v>
      </c>
      <c r="DU1" s="10" t="s">
        <v>348</v>
      </c>
      <c r="DV1" s="10" t="s">
        <v>349</v>
      </c>
      <c r="DW1" s="10" t="s">
        <v>350</v>
      </c>
      <c r="DX1" s="10" t="s">
        <v>351</v>
      </c>
      <c r="DY1" s="10" t="s">
        <v>352</v>
      </c>
      <c r="DZ1" s="10" t="s">
        <v>353</v>
      </c>
      <c r="EA1" s="10" t="s">
        <v>354</v>
      </c>
      <c r="EB1" s="10" t="s">
        <v>355</v>
      </c>
      <c r="EC1" s="10" t="s">
        <v>356</v>
      </c>
      <c r="ED1" s="10" t="s">
        <v>357</v>
      </c>
      <c r="EE1" s="10" t="s">
        <v>358</v>
      </c>
      <c r="EF1" s="10" t="s">
        <v>359</v>
      </c>
      <c r="EG1" s="10" t="s">
        <v>360</v>
      </c>
      <c r="EH1" s="10" t="s">
        <v>361</v>
      </c>
      <c r="EI1" s="10" t="s">
        <v>362</v>
      </c>
      <c r="EJ1" s="10" t="s">
        <v>363</v>
      </c>
      <c r="EK1" s="10" t="s">
        <v>364</v>
      </c>
      <c r="EL1" s="10" t="s">
        <v>365</v>
      </c>
      <c r="EM1" s="10" t="s">
        <v>366</v>
      </c>
      <c r="EN1" s="10" t="s">
        <v>367</v>
      </c>
      <c r="EO1" s="10" t="s">
        <v>368</v>
      </c>
      <c r="EP1" s="10" t="s">
        <v>369</v>
      </c>
      <c r="EQ1" s="10" t="s">
        <v>370</v>
      </c>
      <c r="ER1" s="10" t="s">
        <v>371</v>
      </c>
      <c r="ES1" s="10" t="s">
        <v>372</v>
      </c>
      <c r="ET1" s="10" t="s">
        <v>373</v>
      </c>
      <c r="EU1" s="10" t="s">
        <v>374</v>
      </c>
      <c r="EV1" s="10" t="s">
        <v>375</v>
      </c>
      <c r="EW1" s="10" t="s">
        <v>376</v>
      </c>
      <c r="EX1" s="10" t="s">
        <v>377</v>
      </c>
      <c r="EY1" s="10" t="s">
        <v>378</v>
      </c>
      <c r="EZ1" s="10" t="s">
        <v>379</v>
      </c>
      <c r="FA1" s="10" t="s">
        <v>380</v>
      </c>
      <c r="FB1" s="10" t="s">
        <v>381</v>
      </c>
      <c r="FC1" s="10" t="s">
        <v>382</v>
      </c>
      <c r="FD1" s="10" t="s">
        <v>383</v>
      </c>
      <c r="FE1" s="10" t="s">
        <v>384</v>
      </c>
      <c r="FF1" s="10" t="s">
        <v>385</v>
      </c>
      <c r="FG1" s="10" t="s">
        <v>386</v>
      </c>
      <c r="FH1" s="10" t="s">
        <v>387</v>
      </c>
      <c r="FI1" s="10" t="s">
        <v>388</v>
      </c>
      <c r="FJ1" s="10" t="s">
        <v>389</v>
      </c>
      <c r="FK1" s="10" t="s">
        <v>390</v>
      </c>
      <c r="FL1" s="10" t="s">
        <v>391</v>
      </c>
      <c r="FM1" s="10" t="s">
        <v>392</v>
      </c>
      <c r="FN1" s="10" t="s">
        <v>393</v>
      </c>
      <c r="FO1" s="10" t="s">
        <v>394</v>
      </c>
      <c r="FP1" s="10" t="s">
        <v>395</v>
      </c>
      <c r="FQ1" s="10" t="s">
        <v>396</v>
      </c>
      <c r="FR1" s="10" t="s">
        <v>397</v>
      </c>
      <c r="FS1" s="10" t="s">
        <v>398</v>
      </c>
      <c r="FT1" s="10" t="s">
        <v>399</v>
      </c>
      <c r="FU1" s="10" t="s">
        <v>400</v>
      </c>
      <c r="FV1" s="10" t="s">
        <v>401</v>
      </c>
      <c r="FW1" s="10" t="s">
        <v>402</v>
      </c>
      <c r="FX1" s="10" t="s">
        <v>403</v>
      </c>
      <c r="FY1" s="10" t="s">
        <v>404</v>
      </c>
      <c r="FZ1" s="10" t="s">
        <v>405</v>
      </c>
      <c r="GA1" s="10" t="s">
        <v>406</v>
      </c>
      <c r="GB1" s="10" t="s">
        <v>407</v>
      </c>
      <c r="GC1" s="10" t="s">
        <v>408</v>
      </c>
      <c r="GD1" s="10" t="s">
        <v>409</v>
      </c>
      <c r="GE1" s="10" t="s">
        <v>410</v>
      </c>
      <c r="GF1" s="10" t="s">
        <v>411</v>
      </c>
      <c r="GG1" s="10" t="s">
        <v>412</v>
      </c>
      <c r="GH1" s="10" t="s">
        <v>413</v>
      </c>
      <c r="GI1" s="10" t="s">
        <v>414</v>
      </c>
      <c r="GJ1" s="10" t="s">
        <v>415</v>
      </c>
      <c r="GK1" s="10" t="s">
        <v>416</v>
      </c>
      <c r="GL1" s="10" t="s">
        <v>417</v>
      </c>
      <c r="GM1" s="10" t="s">
        <v>418</v>
      </c>
      <c r="GN1" s="10" t="s">
        <v>419</v>
      </c>
      <c r="GO1" s="10" t="s">
        <v>420</v>
      </c>
      <c r="GP1" s="10" t="s">
        <v>421</v>
      </c>
      <c r="GQ1" s="10" t="s">
        <v>422</v>
      </c>
      <c r="GR1" s="10" t="s">
        <v>423</v>
      </c>
      <c r="GS1" s="10" t="s">
        <v>424</v>
      </c>
      <c r="GT1" s="10" t="s">
        <v>425</v>
      </c>
      <c r="GU1" s="10" t="s">
        <v>426</v>
      </c>
      <c r="GV1" s="10" t="s">
        <v>427</v>
      </c>
      <c r="GW1" s="10" t="s">
        <v>428</v>
      </c>
      <c r="GX1" s="10" t="s">
        <v>429</v>
      </c>
      <c r="GY1" s="10" t="s">
        <v>430</v>
      </c>
      <c r="GZ1" s="10" t="s">
        <v>431</v>
      </c>
      <c r="HA1" s="10" t="s">
        <v>432</v>
      </c>
      <c r="HB1" s="10" t="s">
        <v>433</v>
      </c>
      <c r="HC1" s="10" t="s">
        <v>434</v>
      </c>
      <c r="HD1" s="10" t="s">
        <v>435</v>
      </c>
      <c r="HE1" s="10" t="s">
        <v>436</v>
      </c>
      <c r="HF1" s="10" t="s">
        <v>437</v>
      </c>
      <c r="HG1" s="10" t="s">
        <v>438</v>
      </c>
      <c r="HH1" s="10" t="s">
        <v>439</v>
      </c>
      <c r="HI1" s="10" t="s">
        <v>440</v>
      </c>
      <c r="HJ1" s="10" t="s">
        <v>441</v>
      </c>
      <c r="HK1" s="10" t="s">
        <v>442</v>
      </c>
      <c r="HL1" s="10" t="s">
        <v>443</v>
      </c>
      <c r="HM1" s="10" t="s">
        <v>444</v>
      </c>
      <c r="HN1" s="10" t="s">
        <v>445</v>
      </c>
      <c r="HO1" s="10" t="s">
        <v>446</v>
      </c>
      <c r="HP1" s="10" t="s">
        <v>447</v>
      </c>
      <c r="HQ1" s="10" t="s">
        <v>448</v>
      </c>
      <c r="HR1" s="10" t="s">
        <v>449</v>
      </c>
      <c r="HS1" s="10" t="s">
        <v>450</v>
      </c>
      <c r="HT1" s="10" t="s">
        <v>451</v>
      </c>
      <c r="HU1" s="10" t="s">
        <v>452</v>
      </c>
      <c r="HV1" s="10" t="s">
        <v>453</v>
      </c>
      <c r="HW1" s="10" t="s">
        <v>454</v>
      </c>
      <c r="HX1" s="10" t="s">
        <v>455</v>
      </c>
      <c r="HY1" s="10" t="s">
        <v>456</v>
      </c>
      <c r="HZ1" s="10" t="s">
        <v>457</v>
      </c>
      <c r="IA1" s="10" t="s">
        <v>458</v>
      </c>
      <c r="IB1" s="10" t="s">
        <v>459</v>
      </c>
      <c r="IC1" s="10" t="s">
        <v>460</v>
      </c>
      <c r="ID1" s="10" t="s">
        <v>461</v>
      </c>
      <c r="IE1" s="10" t="s">
        <v>462</v>
      </c>
      <c r="IF1" s="10" t="s">
        <v>463</v>
      </c>
      <c r="IG1" s="10" t="s">
        <v>464</v>
      </c>
      <c r="IH1" s="10" t="s">
        <v>465</v>
      </c>
      <c r="II1" s="10" t="s">
        <v>466</v>
      </c>
      <c r="IJ1" s="10" t="s">
        <v>467</v>
      </c>
      <c r="IK1" s="10" t="s">
        <v>468</v>
      </c>
      <c r="IL1" s="10" t="s">
        <v>469</v>
      </c>
      <c r="IM1" s="10" t="s">
        <v>470</v>
      </c>
      <c r="IN1" s="10" t="s">
        <v>471</v>
      </c>
      <c r="IO1" s="10" t="s">
        <v>472</v>
      </c>
      <c r="IP1" s="10" t="s">
        <v>473</v>
      </c>
      <c r="IQ1" s="10" t="s">
        <v>474</v>
      </c>
      <c r="IR1" s="10" t="s">
        <v>475</v>
      </c>
      <c r="IS1" s="10" t="s">
        <v>476</v>
      </c>
      <c r="IT1" s="10" t="s">
        <v>477</v>
      </c>
      <c r="IU1" s="10" t="s">
        <v>478</v>
      </c>
      <c r="IV1" s="10" t="s">
        <v>479</v>
      </c>
      <c r="IW1" s="10" t="s">
        <v>480</v>
      </c>
      <c r="IX1" s="10" t="s">
        <v>481</v>
      </c>
      <c r="IY1" s="10" t="s">
        <v>482</v>
      </c>
      <c r="IZ1" s="10" t="s">
        <v>483</v>
      </c>
      <c r="JA1" s="10" t="s">
        <v>484</v>
      </c>
      <c r="JB1" s="10" t="s">
        <v>485</v>
      </c>
      <c r="JC1" s="10" t="s">
        <v>486</v>
      </c>
      <c r="JD1" s="10" t="s">
        <v>487</v>
      </c>
      <c r="JE1" s="10" t="s">
        <v>488</v>
      </c>
      <c r="JF1" s="10" t="s">
        <v>489</v>
      </c>
      <c r="JG1" s="10" t="s">
        <v>490</v>
      </c>
      <c r="JH1" s="10" t="s">
        <v>491</v>
      </c>
      <c r="JI1" s="10" t="s">
        <v>492</v>
      </c>
      <c r="JJ1" s="10" t="s">
        <v>493</v>
      </c>
      <c r="JK1" s="10" t="s">
        <v>494</v>
      </c>
      <c r="JL1" s="10" t="s">
        <v>495</v>
      </c>
      <c r="JM1" s="10" t="s">
        <v>496</v>
      </c>
      <c r="JN1" s="10" t="s">
        <v>497</v>
      </c>
      <c r="JO1" s="10" t="s">
        <v>498</v>
      </c>
      <c r="JP1" s="10" t="s">
        <v>499</v>
      </c>
      <c r="JQ1" s="10" t="s">
        <v>500</v>
      </c>
      <c r="JR1" s="10" t="s">
        <v>501</v>
      </c>
      <c r="JS1" s="10" t="s">
        <v>502</v>
      </c>
      <c r="JT1" s="10" t="s">
        <v>503</v>
      </c>
      <c r="JU1" s="10" t="s">
        <v>504</v>
      </c>
      <c r="JV1" s="10" t="s">
        <v>505</v>
      </c>
      <c r="JW1" s="10" t="s">
        <v>506</v>
      </c>
      <c r="JX1" s="10" t="s">
        <v>507</v>
      </c>
      <c r="JY1" s="10" t="s">
        <v>508</v>
      </c>
      <c r="JZ1" s="10" t="s">
        <v>509</v>
      </c>
      <c r="KA1" s="10" t="s">
        <v>510</v>
      </c>
      <c r="KB1" s="10" t="s">
        <v>511</v>
      </c>
      <c r="KC1" s="10" t="s">
        <v>512</v>
      </c>
      <c r="KD1" s="10" t="s">
        <v>513</v>
      </c>
      <c r="KE1" s="10" t="s">
        <v>514</v>
      </c>
      <c r="KF1" s="10" t="s">
        <v>515</v>
      </c>
      <c r="KG1" s="10" t="s">
        <v>516</v>
      </c>
      <c r="KH1" s="10" t="s">
        <v>517</v>
      </c>
      <c r="KI1" s="10" t="s">
        <v>518</v>
      </c>
      <c r="KJ1" s="10" t="s">
        <v>519</v>
      </c>
      <c r="KK1" s="10" t="s">
        <v>520</v>
      </c>
      <c r="KL1" s="10" t="s">
        <v>521</v>
      </c>
      <c r="KM1" s="10" t="s">
        <v>522</v>
      </c>
      <c r="KN1" s="10" t="s">
        <v>523</v>
      </c>
      <c r="KO1" s="10" t="s">
        <v>524</v>
      </c>
      <c r="KP1" s="10" t="s">
        <v>525</v>
      </c>
      <c r="KQ1" s="10" t="s">
        <v>526</v>
      </c>
      <c r="KR1" s="10" t="s">
        <v>527</v>
      </c>
      <c r="KS1" s="10" t="s">
        <v>528</v>
      </c>
      <c r="KT1" s="10" t="s">
        <v>529</v>
      </c>
      <c r="KU1" s="10" t="s">
        <v>530</v>
      </c>
      <c r="KV1" s="10" t="s">
        <v>531</v>
      </c>
      <c r="KW1" s="10" t="s">
        <v>532</v>
      </c>
      <c r="KX1" s="10" t="s">
        <v>533</v>
      </c>
      <c r="KY1" s="10" t="s">
        <v>534</v>
      </c>
      <c r="KZ1" s="10" t="s">
        <v>535</v>
      </c>
      <c r="LA1" s="10" t="s">
        <v>536</v>
      </c>
      <c r="LB1" s="10" t="s">
        <v>537</v>
      </c>
      <c r="LC1" s="10" t="s">
        <v>538</v>
      </c>
      <c r="LD1" s="10" t="s">
        <v>539</v>
      </c>
      <c r="LE1" s="10" t="s">
        <v>540</v>
      </c>
      <c r="LF1" s="10" t="s">
        <v>541</v>
      </c>
      <c r="LG1" s="10" t="s">
        <v>542</v>
      </c>
      <c r="LH1" s="10" t="s">
        <v>543</v>
      </c>
      <c r="LI1" s="10" t="s">
        <v>544</v>
      </c>
      <c r="LJ1" s="10" t="s">
        <v>545</v>
      </c>
      <c r="LK1" s="10" t="s">
        <v>546</v>
      </c>
      <c r="LL1" s="10" t="s">
        <v>547</v>
      </c>
      <c r="LM1" s="10" t="s">
        <v>548</v>
      </c>
      <c r="LN1" s="10" t="s">
        <v>549</v>
      </c>
      <c r="LO1" s="10" t="s">
        <v>550</v>
      </c>
      <c r="LP1" s="10" t="s">
        <v>551</v>
      </c>
      <c r="LQ1" s="10" t="s">
        <v>552</v>
      </c>
      <c r="LR1" s="10" t="s">
        <v>553</v>
      </c>
      <c r="LS1" s="10" t="s">
        <v>554</v>
      </c>
    </row>
    <row r="2" customFormat="false" ht="15" hidden="false" customHeight="true" outlineLevel="0" collapsed="false">
      <c r="A2" s="7" t="s">
        <v>68</v>
      </c>
      <c r="B2" s="11" t="n">
        <v>1950988</v>
      </c>
      <c r="C2" s="11" t="n">
        <v>16300976</v>
      </c>
      <c r="D2" s="11" t="n">
        <v>2265844</v>
      </c>
      <c r="E2" s="11" t="n">
        <v>129147952</v>
      </c>
      <c r="F2" s="11" t="n">
        <v>2314972</v>
      </c>
      <c r="G2" s="11" t="n">
        <v>97284236</v>
      </c>
      <c r="H2" s="11" t="n">
        <v>-70360588</v>
      </c>
      <c r="I2" s="11" t="n">
        <v>-58516544</v>
      </c>
      <c r="J2" s="11" t="n">
        <v>-235802</v>
      </c>
      <c r="K2" s="11" t="n">
        <v>-119182</v>
      </c>
      <c r="L2" s="11" t="n">
        <v>12001120</v>
      </c>
      <c r="M2" s="11" t="n">
        <v>-745724</v>
      </c>
      <c r="N2" s="11" t="n">
        <v>19486410</v>
      </c>
      <c r="O2" s="11" t="n">
        <v>1667880</v>
      </c>
      <c r="P2" s="11" t="n">
        <v>415484</v>
      </c>
      <c r="Q2" s="11" t="n">
        <v>-721938</v>
      </c>
      <c r="R2" s="11" t="n">
        <v>115881448</v>
      </c>
      <c r="S2" s="11" t="n">
        <v>-5950910</v>
      </c>
      <c r="T2" s="11" t="n">
        <v>174571714</v>
      </c>
      <c r="U2" s="11" t="n">
        <v>5431558</v>
      </c>
      <c r="V2" s="11" t="n">
        <v>-3601008</v>
      </c>
      <c r="W2" s="11" t="n">
        <v>21827288</v>
      </c>
      <c r="X2" s="11" t="n">
        <v>-724654</v>
      </c>
      <c r="Y2" s="11" t="n">
        <v>28574084</v>
      </c>
      <c r="Z2" s="11" t="n">
        <v>-2361142</v>
      </c>
      <c r="AA2" s="11" t="n">
        <v>-3092124</v>
      </c>
      <c r="AB2" s="11" t="n">
        <v>-63604176</v>
      </c>
      <c r="AC2" s="11" t="n">
        <v>691501000</v>
      </c>
      <c r="AD2" s="11" t="n">
        <v>543216640</v>
      </c>
      <c r="AE2" s="11" t="n">
        <v>387456496</v>
      </c>
      <c r="AF2" s="11" t="n">
        <v>60306718</v>
      </c>
      <c r="AG2" s="11" t="n">
        <v>-24914804</v>
      </c>
      <c r="AH2" s="11" t="n">
        <v>-21873716</v>
      </c>
      <c r="AI2" s="11" t="n">
        <v>785926770</v>
      </c>
      <c r="AJ2" s="11" t="n">
        <v>605179228</v>
      </c>
      <c r="AK2" s="11" t="n">
        <v>35041156</v>
      </c>
      <c r="AL2" s="11" t="n">
        <v>-8803310</v>
      </c>
      <c r="AM2" s="11" t="n">
        <v>-177646</v>
      </c>
      <c r="AN2" s="11" t="n">
        <v>-31970972</v>
      </c>
      <c r="AO2" s="11" t="n">
        <v>3894848</v>
      </c>
      <c r="AP2" s="11" t="n">
        <v>-20044470</v>
      </c>
      <c r="AQ2" s="11" t="n">
        <v>29517992</v>
      </c>
      <c r="AR2" s="11" t="n">
        <v>23724972</v>
      </c>
      <c r="AS2" s="11" t="n">
        <v>8739738</v>
      </c>
      <c r="AT2" s="11" t="n">
        <v>315620296</v>
      </c>
      <c r="AU2" s="11" t="n">
        <v>42988086</v>
      </c>
      <c r="AV2" s="11" t="n">
        <v>271492630</v>
      </c>
      <c r="AW2" s="11" t="n">
        <v>-70853326</v>
      </c>
      <c r="AX2" s="11" t="n">
        <v>-65812336</v>
      </c>
      <c r="AY2" s="11" t="n">
        <v>-25371052</v>
      </c>
      <c r="AZ2" s="11" t="n">
        <v>4734198</v>
      </c>
      <c r="BA2" s="11" t="n">
        <v>-14421148</v>
      </c>
      <c r="BB2" s="11" t="n">
        <v>27875050</v>
      </c>
      <c r="BC2" s="11" t="n">
        <v>22225588</v>
      </c>
      <c r="BD2" s="11" t="n">
        <v>295759660</v>
      </c>
      <c r="BE2" s="11" t="n">
        <v>267336004</v>
      </c>
      <c r="BF2" s="11" t="n">
        <v>800974596</v>
      </c>
      <c r="BG2" s="11" t="n">
        <v>611587952</v>
      </c>
      <c r="BH2" s="11" t="n">
        <v>-217997086</v>
      </c>
      <c r="BI2" s="11" t="n">
        <v>175489096</v>
      </c>
      <c r="BJ2" s="11" t="n">
        <v>144970492</v>
      </c>
      <c r="BK2" s="11" t="n">
        <v>749002354</v>
      </c>
      <c r="BL2" s="11" t="n">
        <v>581824524</v>
      </c>
      <c r="BM2" s="11" t="n">
        <v>29722324</v>
      </c>
      <c r="BN2" s="11" t="n">
        <v>-516306</v>
      </c>
      <c r="BO2" s="11" t="n">
        <v>58015938</v>
      </c>
      <c r="BP2" s="11" t="n">
        <v>-3835622</v>
      </c>
      <c r="BQ2" s="11" t="n">
        <v>90349830</v>
      </c>
      <c r="BR2" s="11" t="n">
        <v>3958232</v>
      </c>
      <c r="BS2" s="11" t="n">
        <v>-992708</v>
      </c>
      <c r="BT2" s="11" t="n">
        <v>3045798</v>
      </c>
      <c r="BU2" s="11" t="n">
        <v>-305830</v>
      </c>
      <c r="BV2" s="11" t="n">
        <v>2998800</v>
      </c>
      <c r="BW2" s="11" t="n">
        <v>-1651328</v>
      </c>
      <c r="BX2" s="11" t="n">
        <v>-1411480</v>
      </c>
      <c r="BY2" s="11" t="n">
        <v>11738164</v>
      </c>
      <c r="BZ2" s="11" t="n">
        <v>196025490</v>
      </c>
      <c r="CA2" s="11" t="n">
        <v>208905800</v>
      </c>
      <c r="CB2" s="11" t="n">
        <v>152748076</v>
      </c>
      <c r="CC2" s="11" t="n">
        <v>-31240050</v>
      </c>
      <c r="CD2" s="11" t="n">
        <v>-14612296</v>
      </c>
      <c r="CE2" s="11" t="n">
        <v>-9897820</v>
      </c>
      <c r="CF2" s="11" t="n">
        <v>311960640</v>
      </c>
      <c r="CG2" s="11" t="n">
        <v>241233000</v>
      </c>
      <c r="CH2" s="11" t="n">
        <v>13996064</v>
      </c>
      <c r="CI2" s="11" t="n">
        <v>-76107822</v>
      </c>
      <c r="CJ2" s="11" t="n">
        <v>1286712</v>
      </c>
      <c r="CK2" s="11" t="n">
        <v>-105620172</v>
      </c>
      <c r="CL2" s="11" t="n">
        <v>225834</v>
      </c>
      <c r="CM2" s="11" t="n">
        <v>4845372</v>
      </c>
      <c r="CN2" s="11" t="n">
        <v>420818338</v>
      </c>
      <c r="CO2" s="11" t="n">
        <v>-1450061454</v>
      </c>
      <c r="CP2" s="11" t="n">
        <v>-608852866</v>
      </c>
      <c r="CQ2" s="11" t="n">
        <v>-398128160</v>
      </c>
      <c r="CR2" s="11" t="n">
        <v>-559483804</v>
      </c>
      <c r="CS2" s="11" t="n">
        <v>11542222</v>
      </c>
      <c r="CT2" s="11" t="n">
        <v>33522148</v>
      </c>
      <c r="CU2" s="11" t="n">
        <v>-849250654</v>
      </c>
      <c r="CV2" s="11" t="n">
        <v>-644827964</v>
      </c>
      <c r="CW2" s="11" t="n">
        <v>-37580996</v>
      </c>
      <c r="CX2" s="11" t="n">
        <v>37491314</v>
      </c>
      <c r="CY2" s="11" t="n">
        <v>181027476</v>
      </c>
      <c r="CZ2" s="11" t="n">
        <v>242087314</v>
      </c>
      <c r="DA2" s="11" t="n">
        <v>179480084</v>
      </c>
      <c r="DB2" s="11" t="n">
        <v>-55089860</v>
      </c>
      <c r="DC2" s="11" t="n">
        <v>-3981586</v>
      </c>
      <c r="DD2" s="11" t="n">
        <v>-647500</v>
      </c>
      <c r="DE2" s="11" t="n">
        <v>336498736</v>
      </c>
      <c r="DF2" s="11" t="n">
        <v>260602160</v>
      </c>
      <c r="DG2" s="11" t="n">
        <v>14879816</v>
      </c>
      <c r="DH2" s="11" t="n">
        <v>-1715255902</v>
      </c>
      <c r="DI2" s="11" t="n">
        <v>-1638484348</v>
      </c>
      <c r="DJ2" s="11" t="n">
        <v>-1188509356</v>
      </c>
      <c r="DK2" s="11" t="n">
        <v>3164226470</v>
      </c>
      <c r="DL2" s="11" t="n">
        <v>2472610708</v>
      </c>
      <c r="DM2" s="11" t="n">
        <v>169433132</v>
      </c>
      <c r="DN2" s="11" t="n">
        <v>2225433722</v>
      </c>
      <c r="DO2" s="11" t="n">
        <v>1716775940</v>
      </c>
      <c r="DP2" s="11" t="n">
        <v>97922244</v>
      </c>
      <c r="DQ2" s="11" t="n">
        <v>41022088</v>
      </c>
      <c r="DR2" s="11" t="n">
        <v>-585253</v>
      </c>
      <c r="DS2" s="11" t="n">
        <v>-5179</v>
      </c>
      <c r="DT2" s="11" t="n">
        <v>1178948</v>
      </c>
      <c r="DU2" s="11" t="n">
        <v>-23238</v>
      </c>
      <c r="DV2" s="11" t="n">
        <v>979205</v>
      </c>
      <c r="DW2" s="11" t="n">
        <v>61722</v>
      </c>
      <c r="DX2" s="11" t="n">
        <v>60076</v>
      </c>
      <c r="DY2" s="11" t="n">
        <v>636431</v>
      </c>
      <c r="DZ2" s="11" t="n">
        <v>48591908</v>
      </c>
      <c r="EA2" s="11" t="n">
        <v>500281</v>
      </c>
      <c r="EB2" s="11" t="n">
        <v>37364601</v>
      </c>
      <c r="EC2" s="11" t="n">
        <v>-20590909</v>
      </c>
      <c r="ED2" s="11" t="n">
        <v>-17051712</v>
      </c>
      <c r="EE2" s="11" t="n">
        <v>1712040</v>
      </c>
      <c r="EF2" s="11" t="n">
        <v>-20843</v>
      </c>
      <c r="EG2" s="11" t="n">
        <v>1395478</v>
      </c>
      <c r="EH2" s="11" t="n">
        <v>-115093</v>
      </c>
      <c r="EI2" s="11" t="n">
        <v>-85564</v>
      </c>
      <c r="EJ2" s="11" t="n">
        <v>-2937164</v>
      </c>
      <c r="EK2" s="11" t="n">
        <v>6032464</v>
      </c>
      <c r="EL2" s="11" t="n">
        <v>46603436</v>
      </c>
      <c r="EM2" s="11" t="n">
        <v>39337328</v>
      </c>
      <c r="EN2" s="11" t="n">
        <v>2320631</v>
      </c>
      <c r="EO2" s="11" t="n">
        <v>-764820</v>
      </c>
      <c r="EP2" s="11" t="n">
        <v>-625700</v>
      </c>
      <c r="EQ2" s="11" t="n">
        <v>38391839</v>
      </c>
      <c r="ER2" s="11" t="n">
        <v>32365212</v>
      </c>
      <c r="ES2" s="11" t="n">
        <v>-315340</v>
      </c>
      <c r="ET2" s="11" t="n">
        <v>-35126</v>
      </c>
      <c r="EU2" s="11" t="n">
        <v>3457578</v>
      </c>
      <c r="EV2" s="11" t="n">
        <v>-220892</v>
      </c>
      <c r="EW2" s="11" t="n">
        <v>5727140</v>
      </c>
      <c r="EX2" s="11" t="n">
        <v>492867</v>
      </c>
      <c r="EY2" s="11" t="n">
        <v>117375</v>
      </c>
      <c r="EZ2" s="11" t="n">
        <v>-40162</v>
      </c>
      <c r="FA2" s="11" t="n">
        <v>-560</v>
      </c>
      <c r="FB2" s="11" t="n">
        <v>-8090</v>
      </c>
      <c r="FC2" s="11" t="n">
        <v>657</v>
      </c>
      <c r="FD2" s="11" t="n">
        <v>-2567</v>
      </c>
      <c r="FE2" s="11" t="n">
        <v>307684</v>
      </c>
      <c r="FF2" s="11" t="n">
        <v>-5751910</v>
      </c>
      <c r="FG2" s="11" t="n">
        <v>-628200</v>
      </c>
      <c r="FH2" s="11" t="n">
        <v>118476</v>
      </c>
      <c r="FI2" s="11" t="n">
        <v>-142180</v>
      </c>
      <c r="FJ2" s="11" t="n">
        <v>-3726</v>
      </c>
      <c r="FK2" s="11" t="n">
        <v>-18014</v>
      </c>
      <c r="FL2" s="11" t="n">
        <v>-220635</v>
      </c>
      <c r="FM2" s="11" t="n">
        <v>391505</v>
      </c>
      <c r="FN2" s="11" t="n">
        <v>38214</v>
      </c>
      <c r="FO2" s="11" t="n">
        <v>-6676342</v>
      </c>
      <c r="FP2" s="11" t="n">
        <v>210182</v>
      </c>
      <c r="FQ2" s="11" t="n">
        <v>-8470522</v>
      </c>
      <c r="FR2" s="11" t="n">
        <v>699869</v>
      </c>
      <c r="FS2" s="11" t="n">
        <v>895779</v>
      </c>
      <c r="FT2" s="11" t="n">
        <v>21295618</v>
      </c>
      <c r="FU2" s="11" t="n">
        <v>-254764414</v>
      </c>
      <c r="FV2" s="11" t="n">
        <v>-162569046</v>
      </c>
      <c r="FW2" s="11" t="n">
        <v>-110484012</v>
      </c>
      <c r="FX2" s="11" t="n">
        <v>-18998144</v>
      </c>
      <c r="FY2" s="11" t="n">
        <v>7350317</v>
      </c>
      <c r="FZ2" s="11" t="n">
        <v>6335493</v>
      </c>
      <c r="GA2" s="11" t="n">
        <v>-232963859</v>
      </c>
      <c r="GB2" s="11" t="n">
        <v>-174357435</v>
      </c>
      <c r="GC2" s="11" t="n">
        <v>-10230393</v>
      </c>
      <c r="GD2" s="11" t="n">
        <v>346754</v>
      </c>
      <c r="GE2" s="11" t="n">
        <v>-8147284</v>
      </c>
      <c r="GF2" s="11" t="n">
        <v>675334</v>
      </c>
      <c r="GG2" s="11" t="n">
        <v>1512112</v>
      </c>
      <c r="GH2" s="11" t="n">
        <v>-183450</v>
      </c>
      <c r="GI2" s="11" t="n">
        <v>15089</v>
      </c>
      <c r="GJ2" s="11" t="n">
        <v>-1079</v>
      </c>
      <c r="GK2" s="11" t="n">
        <v>2756</v>
      </c>
      <c r="GL2" s="11" t="n">
        <v>825334</v>
      </c>
      <c r="GM2" s="11" t="n">
        <v>-67901</v>
      </c>
      <c r="GN2" s="11" t="n">
        <v>12755618</v>
      </c>
      <c r="GO2" s="11" t="n">
        <v>-10597588</v>
      </c>
      <c r="GP2" s="11" t="n">
        <v>-10561492</v>
      </c>
      <c r="GQ2" s="11" t="n">
        <v>224156770</v>
      </c>
      <c r="GR2" s="11" t="n">
        <v>192527128</v>
      </c>
      <c r="GS2" s="11" t="n">
        <v>25644132</v>
      </c>
      <c r="GT2" s="11" t="n">
        <v>5051587</v>
      </c>
      <c r="GU2" s="11" t="n">
        <v>5627243</v>
      </c>
      <c r="GV2" s="11" t="n">
        <v>-492560</v>
      </c>
      <c r="GW2" s="11" t="n">
        <v>22642343</v>
      </c>
      <c r="GX2" s="11" t="n">
        <v>-29921</v>
      </c>
      <c r="GY2" s="11" t="n">
        <v>-14910267</v>
      </c>
      <c r="GZ2" s="11" t="n">
        <v>1273223</v>
      </c>
      <c r="HA2" s="11" t="n">
        <v>-10431295</v>
      </c>
      <c r="HB2" s="11" t="n">
        <v>8576237</v>
      </c>
      <c r="HC2" s="11" t="n">
        <v>6845887</v>
      </c>
      <c r="HD2" s="11" t="n">
        <v>-192217</v>
      </c>
      <c r="HE2" s="11" t="n">
        <v>12455</v>
      </c>
      <c r="HF2" s="11" t="n">
        <v>-142370</v>
      </c>
      <c r="HG2" s="11" t="n">
        <v>72737</v>
      </c>
      <c r="HH2" s="11" t="n">
        <v>57509</v>
      </c>
      <c r="HI2" s="11" t="n">
        <v>-1972786</v>
      </c>
      <c r="HJ2" s="11" t="n">
        <v>-3933775</v>
      </c>
      <c r="HK2" s="11" t="n">
        <v>-18848650</v>
      </c>
      <c r="HL2" s="11" t="n">
        <v>-15321056</v>
      </c>
      <c r="HM2" s="11" t="n">
        <v>1716085</v>
      </c>
      <c r="HN2" s="11" t="n">
        <v>474804</v>
      </c>
      <c r="HO2" s="11" t="n">
        <v>402518</v>
      </c>
      <c r="HP2" s="11" t="n">
        <v>-15449275</v>
      </c>
      <c r="HQ2" s="11" t="n">
        <v>-12524835</v>
      </c>
      <c r="HR2" s="11" t="n">
        <v>158366</v>
      </c>
      <c r="HS2" s="11" t="n">
        <v>13729853</v>
      </c>
      <c r="HT2" s="11" t="n">
        <v>-1410138</v>
      </c>
      <c r="HU2" s="11" t="n">
        <v>9433208</v>
      </c>
      <c r="HV2" s="11" t="n">
        <v>-8273486</v>
      </c>
      <c r="HW2" s="11" t="n">
        <v>-6572765</v>
      </c>
      <c r="HX2" s="11" t="n">
        <v>-118457587</v>
      </c>
      <c r="HY2" s="11" t="n">
        <v>-85842619</v>
      </c>
      <c r="HZ2" s="11" t="n">
        <v>-187474081</v>
      </c>
      <c r="IA2" s="11" t="n">
        <v>-133974764</v>
      </c>
      <c r="IB2" s="11" t="n">
        <v>90203806</v>
      </c>
      <c r="IC2" s="11" t="n">
        <v>-52126768</v>
      </c>
      <c r="ID2" s="11" t="n">
        <v>-42948091</v>
      </c>
      <c r="IE2" s="11" t="n">
        <v>-180533594</v>
      </c>
      <c r="IF2" s="11" t="n">
        <v>-133143099</v>
      </c>
      <c r="IG2" s="11" t="n">
        <v>-9015737</v>
      </c>
      <c r="IH2" s="11" t="n">
        <v>-3343711</v>
      </c>
      <c r="II2" s="11" t="n">
        <v>-4728994</v>
      </c>
      <c r="IJ2" s="11" t="n">
        <v>-19773281</v>
      </c>
      <c r="IK2" s="11" t="n">
        <v>-15835268</v>
      </c>
      <c r="IL2" s="11" t="n">
        <v>2783020</v>
      </c>
      <c r="IM2" s="11" t="n">
        <v>15944</v>
      </c>
      <c r="IN2" s="11" t="n">
        <v>25673</v>
      </c>
      <c r="IO2" s="11" t="n">
        <v>-16435044</v>
      </c>
      <c r="IP2" s="11" t="n">
        <v>-13143618</v>
      </c>
      <c r="IQ2" s="11" t="n">
        <v>76311</v>
      </c>
      <c r="IR2" s="11" t="n">
        <v>19894773</v>
      </c>
      <c r="IS2" s="11" t="n">
        <v>124942052</v>
      </c>
      <c r="IT2" s="11" t="n">
        <v>103994904</v>
      </c>
      <c r="IU2" s="11" t="n">
        <v>59055725</v>
      </c>
      <c r="IV2" s="11" t="n">
        <v>52861092</v>
      </c>
      <c r="IW2" s="11" t="n">
        <v>23276408</v>
      </c>
      <c r="IX2" s="11" t="n">
        <v>-103896248</v>
      </c>
      <c r="IY2" s="11" t="n">
        <v>-86403741</v>
      </c>
      <c r="IZ2" s="11" t="n">
        <v>463420</v>
      </c>
      <c r="JA2" s="11" t="n">
        <v>19574667</v>
      </c>
      <c r="JB2" s="11" t="n">
        <v>-1071660</v>
      </c>
      <c r="JC2" s="11" t="n">
        <v>87710</v>
      </c>
      <c r="JD2" s="11" t="n">
        <v>-918870</v>
      </c>
      <c r="JE2" s="11" t="n">
        <v>489535</v>
      </c>
      <c r="JF2" s="11" t="n">
        <v>404879</v>
      </c>
      <c r="JG2" s="11" t="n">
        <v>-1894410</v>
      </c>
      <c r="JH2" s="11" t="n">
        <v>-84281790</v>
      </c>
      <c r="JI2" s="11" t="n">
        <v>-63223575</v>
      </c>
      <c r="JJ2" s="11" t="n">
        <v>-43434687</v>
      </c>
      <c r="JK2" s="11" t="n">
        <v>8522360</v>
      </c>
      <c r="JL2" s="11" t="n">
        <v>4309165</v>
      </c>
      <c r="JM2" s="11" t="n">
        <v>2839193</v>
      </c>
      <c r="JN2" s="11" t="n">
        <v>-92709565</v>
      </c>
      <c r="JO2" s="11" t="n">
        <v>-69084185</v>
      </c>
      <c r="JP2" s="11" t="n">
        <v>-4045218</v>
      </c>
      <c r="JQ2" s="11" t="n">
        <v>117370</v>
      </c>
      <c r="JR2" s="11" t="n">
        <v>-803790</v>
      </c>
      <c r="JS2" s="11" t="n">
        <v>539675</v>
      </c>
      <c r="JT2" s="11" t="n">
        <v>541243</v>
      </c>
      <c r="JU2" s="11" t="n">
        <v>-34850</v>
      </c>
      <c r="JV2" s="11" t="n">
        <v>9445</v>
      </c>
      <c r="JW2" s="11" t="n">
        <v>45</v>
      </c>
      <c r="JX2" s="11" t="n">
        <v>95560</v>
      </c>
      <c r="JY2" s="11" t="n">
        <v>160400</v>
      </c>
      <c r="JZ2" s="11" t="n">
        <v>-43348</v>
      </c>
      <c r="KA2" s="11" t="n">
        <v>-10651570</v>
      </c>
      <c r="KB2" s="11" t="n">
        <v>-5970350</v>
      </c>
      <c r="KC2" s="11" t="n">
        <v>-3800266</v>
      </c>
      <c r="KD2" s="11" t="n">
        <v>89863625</v>
      </c>
      <c r="KE2" s="11" t="n">
        <v>75144445</v>
      </c>
      <c r="KF2" s="11" t="n">
        <v>10057950</v>
      </c>
      <c r="KG2" s="11" t="n">
        <v>2629895</v>
      </c>
      <c r="KH2" s="11" t="n">
        <v>1132475</v>
      </c>
      <c r="KI2" s="11" t="n">
        <v>-303526</v>
      </c>
      <c r="KJ2" s="11" t="n">
        <v>8999020</v>
      </c>
      <c r="KK2" s="11" t="n">
        <v>10258450</v>
      </c>
      <c r="KL2" s="11" t="n">
        <v>83779230</v>
      </c>
      <c r="KM2" s="11" t="n">
        <v>71692805</v>
      </c>
      <c r="KN2" s="11" t="n">
        <v>49625353</v>
      </c>
      <c r="KO2" s="11" t="n">
        <v>-15652780</v>
      </c>
      <c r="KP2" s="11" t="n">
        <v>-1181630</v>
      </c>
      <c r="KQ2" s="11" t="n">
        <v>-185888</v>
      </c>
      <c r="KR2" s="11" t="n">
        <v>99741740</v>
      </c>
      <c r="KS2" s="11" t="n">
        <v>74202358</v>
      </c>
      <c r="KT2" s="11" t="n">
        <v>4417039</v>
      </c>
      <c r="KU2" s="11" t="n">
        <v>-658686820</v>
      </c>
      <c r="KV2" s="11" t="n">
        <v>-478472945</v>
      </c>
      <c r="KW2" s="11" t="n">
        <v>-328053487</v>
      </c>
      <c r="KX2" s="11" t="n">
        <v>695720195</v>
      </c>
      <c r="KY2" s="11" t="n">
        <v>507240121</v>
      </c>
      <c r="KZ2" s="11" t="n">
        <v>21963759</v>
      </c>
      <c r="LA2" s="11" t="n">
        <v>654202890</v>
      </c>
      <c r="LB2" s="11" t="n">
        <v>488622266</v>
      </c>
      <c r="LC2" s="11" t="n">
        <v>29117017</v>
      </c>
      <c r="LD2" s="11" t="n">
        <v>-12306949</v>
      </c>
      <c r="LE2" s="11" t="n">
        <v>-16869910</v>
      </c>
      <c r="LF2" s="11" t="n">
        <v>-2685885</v>
      </c>
      <c r="LG2" s="11" t="n">
        <v>-254011</v>
      </c>
      <c r="LH2" s="11" t="n">
        <v>95962820</v>
      </c>
      <c r="LI2" s="11" t="n">
        <v>79533886</v>
      </c>
      <c r="LJ2" s="11" t="n">
        <v>11217799</v>
      </c>
      <c r="LK2" s="11" t="n">
        <v>2155060</v>
      </c>
      <c r="LL2" s="11" t="n">
        <v>81890</v>
      </c>
      <c r="LM2" s="11" t="n">
        <v>-19411</v>
      </c>
      <c r="LN2" s="11" t="n">
        <v>9694296</v>
      </c>
      <c r="LO2" s="11" t="n">
        <v>-614385065</v>
      </c>
      <c r="LP2" s="11" t="n">
        <v>-523170567</v>
      </c>
      <c r="LQ2" s="11" t="n">
        <v>-74043988</v>
      </c>
      <c r="LR2" s="11" t="n">
        <v>79460485</v>
      </c>
      <c r="LS2" s="11" t="n">
        <v>63850487</v>
      </c>
    </row>
    <row r="3" customFormat="false" ht="15" hidden="false" customHeight="true" outlineLevel="0" collapsed="false">
      <c r="A3" s="7" t="s">
        <v>69</v>
      </c>
      <c r="B3" s="11" t="n">
        <v>1350157</v>
      </c>
      <c r="C3" s="11" t="n">
        <v>149919352</v>
      </c>
      <c r="D3" s="11" t="n">
        <v>2121599</v>
      </c>
      <c r="E3" s="11" t="n">
        <v>-18522492</v>
      </c>
      <c r="F3" s="11" t="n">
        <v>9961681</v>
      </c>
      <c r="G3" s="11" t="n">
        <v>-126809271</v>
      </c>
      <c r="H3" s="11" t="n">
        <v>-78492405</v>
      </c>
      <c r="I3" s="11" t="n">
        <v>-73820528</v>
      </c>
      <c r="J3" s="11" t="n">
        <v>-5332187</v>
      </c>
      <c r="K3" s="11" t="n">
        <v>-103117</v>
      </c>
      <c r="L3" s="11" t="n">
        <v>12328090</v>
      </c>
      <c r="M3" s="11" t="n">
        <v>-827750</v>
      </c>
      <c r="N3" s="11" t="n">
        <v>20723415</v>
      </c>
      <c r="O3" s="11" t="n">
        <v>2265309</v>
      </c>
      <c r="P3" s="11" t="n">
        <v>1530017</v>
      </c>
      <c r="Q3" s="11" t="n">
        <v>-3071103</v>
      </c>
      <c r="R3" s="11" t="n">
        <v>1295741068</v>
      </c>
      <c r="S3" s="11" t="n">
        <v>-52570329</v>
      </c>
      <c r="T3" s="11" t="n">
        <v>1800287079</v>
      </c>
      <c r="U3" s="11" t="n">
        <v>-58454331</v>
      </c>
      <c r="V3" s="11" t="n">
        <v>-121649336</v>
      </c>
      <c r="W3" s="11" t="n">
        <v>17957378</v>
      </c>
      <c r="X3" s="11" t="n">
        <v>-539889</v>
      </c>
      <c r="Y3" s="11" t="n">
        <v>22879254</v>
      </c>
      <c r="Z3" s="11" t="n">
        <v>-2435142</v>
      </c>
      <c r="AA3" s="11" t="n">
        <v>-3233749</v>
      </c>
      <c r="AB3" s="11" t="n">
        <v>-79602970</v>
      </c>
      <c r="AC3" s="11" t="n">
        <v>873577530</v>
      </c>
      <c r="AD3" s="11" t="n">
        <v>685625646</v>
      </c>
      <c r="AE3" s="11" t="n">
        <v>653054708</v>
      </c>
      <c r="AF3" s="11" t="n">
        <v>75156945</v>
      </c>
      <c r="AG3" s="11" t="n">
        <v>-31408053</v>
      </c>
      <c r="AH3" s="11" t="n">
        <v>-33968939</v>
      </c>
      <c r="AI3" s="11" t="n">
        <v>992009448</v>
      </c>
      <c r="AJ3" s="11" t="n">
        <v>989361309</v>
      </c>
      <c r="AK3" s="11" t="n">
        <v>34908231</v>
      </c>
      <c r="AL3" s="11" t="n">
        <v>-62175335</v>
      </c>
      <c r="AM3" s="11" t="n">
        <v>-346864</v>
      </c>
      <c r="AN3" s="11" t="n">
        <v>21522517</v>
      </c>
      <c r="AO3" s="11" t="n">
        <v>-686323</v>
      </c>
      <c r="AP3" s="11" t="n">
        <v>64660920</v>
      </c>
      <c r="AQ3" s="11" t="n">
        <v>32482583</v>
      </c>
      <c r="AR3" s="11" t="n">
        <v>29899413</v>
      </c>
      <c r="AS3" s="11" t="n">
        <v>59185341</v>
      </c>
      <c r="AT3" s="11" t="n">
        <v>1536858052</v>
      </c>
      <c r="AU3" s="11" t="n">
        <v>382531627</v>
      </c>
      <c r="AV3" s="11" t="n">
        <v>1340225115</v>
      </c>
      <c r="AW3" s="11" t="n">
        <v>-7794487</v>
      </c>
      <c r="AX3" s="11" t="n">
        <v>-79483672</v>
      </c>
      <c r="AY3" s="11" t="n">
        <v>29061335</v>
      </c>
      <c r="AZ3" s="11" t="n">
        <v>1480751</v>
      </c>
      <c r="BA3" s="11" t="n">
        <v>69028248</v>
      </c>
      <c r="BB3" s="11" t="n">
        <v>30877021</v>
      </c>
      <c r="BC3" s="11" t="n">
        <v>28018135</v>
      </c>
      <c r="BD3" s="11" t="n">
        <v>-149381173</v>
      </c>
      <c r="BE3" s="11" t="n">
        <v>1134366831</v>
      </c>
      <c r="BF3" s="11" t="n">
        <v>805606857</v>
      </c>
      <c r="BG3" s="11" t="n">
        <v>766571540</v>
      </c>
      <c r="BH3" s="11" t="n">
        <v>412618191</v>
      </c>
      <c r="BI3" s="11" t="n">
        <v>199761944</v>
      </c>
      <c r="BJ3" s="11" t="n">
        <v>183077737</v>
      </c>
      <c r="BK3" s="11" t="n">
        <v>708286851</v>
      </c>
      <c r="BL3" s="11" t="n">
        <v>727160241</v>
      </c>
      <c r="BM3" s="11" t="n">
        <v>37776787</v>
      </c>
      <c r="BN3" s="11" t="n">
        <v>-3378711</v>
      </c>
      <c r="BO3" s="11" t="n">
        <v>482715003</v>
      </c>
      <c r="BP3" s="11" t="n">
        <v>-35407757</v>
      </c>
      <c r="BQ3" s="11" t="n">
        <v>698956605</v>
      </c>
      <c r="BR3" s="11" t="n">
        <v>-23965258</v>
      </c>
      <c r="BS3" s="11" t="n">
        <v>-47624048</v>
      </c>
      <c r="BT3" s="11" t="n">
        <v>1523403</v>
      </c>
      <c r="BU3" s="11" t="n">
        <v>-160237</v>
      </c>
      <c r="BV3" s="11" t="n">
        <v>385560</v>
      </c>
      <c r="BW3" s="11" t="n">
        <v>-1898855</v>
      </c>
      <c r="BX3" s="11" t="n">
        <v>-1890469</v>
      </c>
      <c r="BY3" s="11" t="n">
        <v>6928240</v>
      </c>
      <c r="BZ3" s="11" t="n">
        <v>260062785</v>
      </c>
      <c r="CA3" s="11" t="n">
        <v>260483081</v>
      </c>
      <c r="CB3" s="11" t="n">
        <v>248617633</v>
      </c>
      <c r="CC3" s="11" t="n">
        <v>-29107815</v>
      </c>
      <c r="CD3" s="11" t="n">
        <v>-18762799</v>
      </c>
      <c r="CE3" s="11" t="n">
        <v>-17552887</v>
      </c>
      <c r="CF3" s="11" t="n">
        <v>390082845</v>
      </c>
      <c r="CG3" s="11" t="n">
        <v>385648215</v>
      </c>
      <c r="CH3" s="11" t="n">
        <v>13355858</v>
      </c>
      <c r="CI3" s="11" t="n">
        <v>-543016797</v>
      </c>
      <c r="CJ3" s="11" t="n">
        <v>12917604</v>
      </c>
      <c r="CK3" s="11" t="n">
        <v>-738174042</v>
      </c>
      <c r="CL3" s="11" t="n">
        <v>23236341</v>
      </c>
      <c r="CM3" s="11" t="n">
        <v>49653096</v>
      </c>
      <c r="CN3" s="11" t="n">
        <v>3845101147</v>
      </c>
      <c r="CO3" s="11" t="n">
        <v>-6871701069</v>
      </c>
      <c r="CP3" s="11" t="n">
        <v>531861773</v>
      </c>
      <c r="CQ3" s="11" t="n">
        <v>560084488</v>
      </c>
      <c r="CR3" s="11" t="n">
        <v>-5063541234</v>
      </c>
      <c r="CS3" s="11" t="n">
        <v>151884255</v>
      </c>
      <c r="CT3" s="11" t="n">
        <v>338269880</v>
      </c>
      <c r="CU3" s="11" t="n">
        <v>428961621</v>
      </c>
      <c r="CV3" s="11" t="n">
        <v>133031976</v>
      </c>
      <c r="CW3" s="11" t="n">
        <v>24666400</v>
      </c>
      <c r="CX3" s="11" t="n">
        <v>19928507</v>
      </c>
      <c r="CY3" s="11" t="n">
        <v>270863946</v>
      </c>
      <c r="CZ3" s="11" t="n">
        <v>294701692</v>
      </c>
      <c r="DA3" s="11" t="n">
        <v>281443055</v>
      </c>
      <c r="DB3" s="11" t="n">
        <v>-33534174</v>
      </c>
      <c r="DC3" s="11" t="n">
        <v>-6157773</v>
      </c>
      <c r="DD3" s="11" t="n">
        <v>-4872884</v>
      </c>
      <c r="DE3" s="11" t="n">
        <v>412206450</v>
      </c>
      <c r="DF3" s="11" t="n">
        <v>407359758</v>
      </c>
      <c r="DG3" s="11" t="n">
        <v>14904041</v>
      </c>
      <c r="DH3" s="11" t="n">
        <v>-2170175985</v>
      </c>
      <c r="DI3" s="11" t="n">
        <v>-2067263129</v>
      </c>
      <c r="DJ3" s="11" t="n">
        <v>-1972342977</v>
      </c>
      <c r="DK3" s="11" t="n">
        <v>3994653798</v>
      </c>
      <c r="DL3" s="11" t="n">
        <v>3840947919</v>
      </c>
      <c r="DM3" s="11" t="n">
        <v>28303073</v>
      </c>
      <c r="DN3" s="11" t="n">
        <v>2808063363</v>
      </c>
      <c r="DO3" s="11" t="n">
        <v>2788260894</v>
      </c>
      <c r="DP3" s="11" t="n">
        <v>103956955</v>
      </c>
      <c r="DQ3" s="11" t="n">
        <v>-162434679</v>
      </c>
      <c r="DR3" s="11" t="n">
        <v>-536239</v>
      </c>
      <c r="DS3" s="11" t="n">
        <v>-4108</v>
      </c>
      <c r="DT3" s="11" t="n">
        <v>918002</v>
      </c>
      <c r="DU3" s="11" t="n">
        <v>-23994</v>
      </c>
      <c r="DV3" s="11" t="n">
        <v>861395</v>
      </c>
      <c r="DW3" s="11" t="n">
        <v>70920</v>
      </c>
      <c r="DX3" s="11" t="n">
        <v>73117</v>
      </c>
      <c r="DY3" s="11" t="n">
        <v>386485</v>
      </c>
      <c r="DZ3" s="11" t="n">
        <v>94576988</v>
      </c>
      <c r="EA3" s="11" t="n">
        <v>1292203</v>
      </c>
      <c r="EB3" s="11" t="n">
        <v>45283403</v>
      </c>
      <c r="EC3" s="11" t="n">
        <v>-23299815</v>
      </c>
      <c r="ED3" s="11" t="n">
        <v>-21200344</v>
      </c>
      <c r="EE3" s="11" t="n">
        <v>1386166</v>
      </c>
      <c r="EF3" s="11" t="n">
        <v>-7394</v>
      </c>
      <c r="EG3" s="11" t="n">
        <v>967741</v>
      </c>
      <c r="EH3" s="11" t="n">
        <v>-127380</v>
      </c>
      <c r="EI3" s="11" t="n">
        <v>-109713</v>
      </c>
      <c r="EJ3" s="11" t="n">
        <v>-6444002</v>
      </c>
      <c r="EK3" s="11" t="n">
        <v>74403186</v>
      </c>
      <c r="EL3" s="11" t="n">
        <v>52395810</v>
      </c>
      <c r="EM3" s="11" t="n">
        <v>49189156</v>
      </c>
      <c r="EN3" s="11" t="n">
        <v>4101953</v>
      </c>
      <c r="EO3" s="11" t="n">
        <v>-871650</v>
      </c>
      <c r="EP3" s="11" t="n">
        <v>-772415</v>
      </c>
      <c r="EQ3" s="11" t="n">
        <v>43416915</v>
      </c>
      <c r="ER3" s="11" t="n">
        <v>40229929</v>
      </c>
      <c r="ES3" s="11" t="n">
        <v>-373125</v>
      </c>
      <c r="ET3" s="11" t="n">
        <v>-24731</v>
      </c>
      <c r="EU3" s="11" t="n">
        <v>1270848</v>
      </c>
      <c r="EV3" s="11" t="n">
        <v>-233996</v>
      </c>
      <c r="EW3" s="11" t="n">
        <v>4828760</v>
      </c>
      <c r="EX3" s="11" t="n">
        <v>619623</v>
      </c>
      <c r="EY3" s="11" t="n">
        <v>318912</v>
      </c>
      <c r="EZ3" s="11" t="n">
        <v>-32602</v>
      </c>
      <c r="FA3" s="11" t="n">
        <v>-686</v>
      </c>
      <c r="FB3" s="11" t="n">
        <v>-2735</v>
      </c>
      <c r="FC3" s="11" t="n">
        <v>1476</v>
      </c>
      <c r="FD3" s="11" t="n">
        <v>-929</v>
      </c>
      <c r="FE3" s="11" t="n">
        <v>343720</v>
      </c>
      <c r="FF3" s="11" t="n">
        <v>-6225040</v>
      </c>
      <c r="FG3" s="11" t="n">
        <v>-892674</v>
      </c>
      <c r="FH3" s="11" t="n">
        <v>-372672</v>
      </c>
      <c r="FI3" s="11" t="n">
        <v>-159820</v>
      </c>
      <c r="FJ3" s="11" t="n">
        <v>-3222</v>
      </c>
      <c r="FK3" s="11" t="n">
        <v>-17636</v>
      </c>
      <c r="FL3" s="11" t="n">
        <v>-356715</v>
      </c>
      <c r="FM3" s="11" t="n">
        <v>146120</v>
      </c>
      <c r="FN3" s="11" t="n">
        <v>42309</v>
      </c>
      <c r="FO3" s="11" t="n">
        <v>-5277772</v>
      </c>
      <c r="FP3" s="11" t="n">
        <v>109053</v>
      </c>
      <c r="FQ3" s="11" t="n">
        <v>-5568687</v>
      </c>
      <c r="FR3" s="11" t="n">
        <v>627990</v>
      </c>
      <c r="FS3" s="11" t="n">
        <v>747896</v>
      </c>
      <c r="FT3" s="11" t="n">
        <v>44332528</v>
      </c>
      <c r="FU3" s="11" t="n">
        <v>-744334624</v>
      </c>
      <c r="FV3" s="11" t="n">
        <v>-164502396</v>
      </c>
      <c r="FW3" s="11" t="n">
        <v>-106490112</v>
      </c>
      <c r="FX3" s="11" t="n">
        <v>-31396212</v>
      </c>
      <c r="FY3" s="11" t="n">
        <v>8674089</v>
      </c>
      <c r="FZ3" s="11" t="n">
        <v>8482592</v>
      </c>
      <c r="GA3" s="11" t="n">
        <v>-262136571</v>
      </c>
      <c r="GB3" s="11" t="n">
        <v>-217837184</v>
      </c>
      <c r="GC3" s="11" t="n">
        <v>-10640088</v>
      </c>
      <c r="GD3" s="11" t="n">
        <v>290158</v>
      </c>
      <c r="GE3" s="11" t="n">
        <v>-6757334</v>
      </c>
      <c r="GF3" s="11" t="n">
        <v>512868</v>
      </c>
      <c r="GG3" s="11" t="n">
        <v>1184180</v>
      </c>
      <c r="GH3" s="11" t="n">
        <v>-166527</v>
      </c>
      <c r="GI3" s="11" t="n">
        <v>23928</v>
      </c>
      <c r="GJ3" s="11" t="n">
        <v>16649</v>
      </c>
      <c r="GK3" s="11" t="n">
        <v>-262902</v>
      </c>
      <c r="GL3" s="11" t="n">
        <v>291893</v>
      </c>
      <c r="GM3" s="11" t="n">
        <v>-68226</v>
      </c>
      <c r="GN3" s="11" t="n">
        <v>15839080</v>
      </c>
      <c r="GO3" s="11" t="n">
        <v>-13351926</v>
      </c>
      <c r="GP3" s="11" t="n">
        <v>-15801488</v>
      </c>
      <c r="GQ3" s="11" t="n">
        <v>282949518</v>
      </c>
      <c r="GR3" s="11" t="n">
        <v>303350624</v>
      </c>
      <c r="GS3" s="11" t="n">
        <v>26561412</v>
      </c>
      <c r="GT3" s="11" t="n">
        <v>6356739</v>
      </c>
      <c r="GU3" s="11" t="n">
        <v>8159932</v>
      </c>
      <c r="GV3" s="11" t="n">
        <v>-536955</v>
      </c>
      <c r="GW3" s="11" t="n">
        <v>24024633</v>
      </c>
      <c r="GX3" s="11" t="n">
        <v>51412</v>
      </c>
      <c r="GY3" s="11" t="n">
        <v>-33726351</v>
      </c>
      <c r="GZ3" s="11" t="n">
        <v>832349</v>
      </c>
      <c r="HA3" s="11" t="n">
        <v>-13986385</v>
      </c>
      <c r="HB3" s="11" t="n">
        <v>9635141</v>
      </c>
      <c r="HC3" s="11" t="n">
        <v>8508016</v>
      </c>
      <c r="HD3" s="11" t="n">
        <v>-170356</v>
      </c>
      <c r="HE3" s="11" t="n">
        <v>4076</v>
      </c>
      <c r="HF3" s="11" t="n">
        <v>-24560</v>
      </c>
      <c r="HG3" s="11" t="n">
        <v>80612</v>
      </c>
      <c r="HH3" s="11" t="n">
        <v>72188</v>
      </c>
      <c r="HI3" s="11" t="n">
        <v>84164</v>
      </c>
      <c r="HJ3" s="11" t="n">
        <v>-30233125</v>
      </c>
      <c r="HK3" s="11" t="n">
        <v>-20955118</v>
      </c>
      <c r="HL3" s="11" t="n">
        <v>-19163741</v>
      </c>
      <c r="HM3" s="11" t="n">
        <v>711235</v>
      </c>
      <c r="HN3" s="11" t="n">
        <v>541206</v>
      </c>
      <c r="HO3" s="11" t="n">
        <v>494183</v>
      </c>
      <c r="HP3" s="11" t="n">
        <v>-17327305</v>
      </c>
      <c r="HQ3" s="11" t="n">
        <v>-15574035</v>
      </c>
      <c r="HR3" s="11" t="n">
        <v>188543</v>
      </c>
      <c r="HS3" s="11" t="n">
        <v>33375269</v>
      </c>
      <c r="HT3" s="11" t="n">
        <v>-476011</v>
      </c>
      <c r="HU3" s="11" t="n">
        <v>14421999</v>
      </c>
      <c r="HV3" s="11" t="n">
        <v>-9178235</v>
      </c>
      <c r="HW3" s="11" t="n">
        <v>-8164592</v>
      </c>
      <c r="HX3" s="11" t="n">
        <v>-228074335</v>
      </c>
      <c r="HY3" s="11" t="n">
        <v>-381273607</v>
      </c>
      <c r="HZ3" s="11" t="n">
        <v>-233934637</v>
      </c>
      <c r="IA3" s="11" t="n">
        <v>-167187176</v>
      </c>
      <c r="IB3" s="11" t="n">
        <v>103992518</v>
      </c>
      <c r="IC3" s="11" t="n">
        <v>-59384222</v>
      </c>
      <c r="ID3" s="11" t="n">
        <v>-53409336</v>
      </c>
      <c r="IE3" s="11" t="n">
        <v>-205937632</v>
      </c>
      <c r="IF3" s="11" t="n">
        <v>-165515272</v>
      </c>
      <c r="IG3" s="11" t="n">
        <v>-11250776</v>
      </c>
      <c r="IH3" s="11" t="n">
        <v>-1068744</v>
      </c>
      <c r="II3" s="11" t="n">
        <v>-31844267</v>
      </c>
      <c r="IJ3" s="11" t="n">
        <v>-21918614</v>
      </c>
      <c r="IK3" s="11" t="n">
        <v>-19808735</v>
      </c>
      <c r="IL3" s="11" t="n">
        <v>915997</v>
      </c>
      <c r="IM3" s="11" t="n">
        <v>18706</v>
      </c>
      <c r="IN3" s="11" t="n">
        <v>21073</v>
      </c>
      <c r="IO3" s="11" t="n">
        <v>-18228599</v>
      </c>
      <c r="IP3" s="11" t="n">
        <v>-16349741</v>
      </c>
      <c r="IQ3" s="11" t="n">
        <v>85473</v>
      </c>
      <c r="IR3" s="11" t="n">
        <v>205402873</v>
      </c>
      <c r="IS3" s="11" t="n">
        <v>142292698</v>
      </c>
      <c r="IT3" s="11" t="n">
        <v>130011949</v>
      </c>
      <c r="IU3" s="11" t="n">
        <v>27191151</v>
      </c>
      <c r="IV3" s="11" t="n">
        <v>66773837</v>
      </c>
      <c r="IW3" s="11" t="n">
        <v>29046599</v>
      </c>
      <c r="IX3" s="11" t="n">
        <v>-118360822</v>
      </c>
      <c r="IY3" s="11" t="n">
        <v>-107380346</v>
      </c>
      <c r="IZ3" s="11" t="n">
        <v>530090</v>
      </c>
      <c r="JA3" s="11" t="n">
        <v>24262616</v>
      </c>
      <c r="JB3" s="11" t="n">
        <v>-1433595</v>
      </c>
      <c r="JC3" s="11" t="n">
        <v>15953</v>
      </c>
      <c r="JD3" s="11" t="n">
        <v>-182085</v>
      </c>
      <c r="JE3" s="11" t="n">
        <v>503773</v>
      </c>
      <c r="JF3" s="11" t="n">
        <v>422960</v>
      </c>
      <c r="JG3" s="11" t="n">
        <v>12744396</v>
      </c>
      <c r="JH3" s="11" t="n">
        <v>-270554520</v>
      </c>
      <c r="JI3" s="11" t="n">
        <v>-61805319</v>
      </c>
      <c r="JJ3" s="11" t="n">
        <v>-40221120</v>
      </c>
      <c r="JK3" s="11" t="n">
        <v>1392020</v>
      </c>
      <c r="JL3" s="11" t="n">
        <v>5166217</v>
      </c>
      <c r="JM3" s="11" t="n">
        <v>4207616</v>
      </c>
      <c r="JN3" s="11" t="n">
        <v>-102924385</v>
      </c>
      <c r="JO3" s="11" t="n">
        <v>-84931520</v>
      </c>
      <c r="JP3" s="11" t="n">
        <v>-4100784</v>
      </c>
      <c r="JQ3" s="11" t="n">
        <v>60796</v>
      </c>
      <c r="JR3" s="11" t="n">
        <v>-81495</v>
      </c>
      <c r="JS3" s="11" t="n">
        <v>578546</v>
      </c>
      <c r="JT3" s="11" t="n">
        <v>611425</v>
      </c>
      <c r="JU3" s="11" t="n">
        <v>-6815</v>
      </c>
      <c r="JV3" s="11" t="n">
        <v>14926</v>
      </c>
      <c r="JW3" s="11" t="n">
        <v>11133</v>
      </c>
      <c r="JX3" s="11" t="n">
        <v>44845</v>
      </c>
      <c r="JY3" s="11" t="n">
        <v>53615</v>
      </c>
      <c r="JZ3" s="11" t="n">
        <v>-44167</v>
      </c>
      <c r="KA3" s="11" t="n">
        <v>-10749220</v>
      </c>
      <c r="KB3" s="11" t="n">
        <v>-7764212</v>
      </c>
      <c r="KC3" s="11" t="n">
        <v>-7141156</v>
      </c>
      <c r="KD3" s="11" t="n">
        <v>112699235</v>
      </c>
      <c r="KE3" s="11" t="n">
        <v>117677320</v>
      </c>
      <c r="KF3" s="11" t="n">
        <v>10128069</v>
      </c>
      <c r="KG3" s="11" t="n">
        <v>3509375</v>
      </c>
      <c r="KH3" s="11" t="n">
        <v>2768900</v>
      </c>
      <c r="KI3" s="11" t="n">
        <v>-331435</v>
      </c>
      <c r="KJ3" s="11" t="n">
        <v>9388675</v>
      </c>
      <c r="KK3" s="11" t="n">
        <v>-2917049</v>
      </c>
      <c r="KL3" s="11" t="n">
        <v>283944795</v>
      </c>
      <c r="KM3" s="11" t="n">
        <v>71105726</v>
      </c>
      <c r="KN3" s="11" t="n">
        <v>46909000</v>
      </c>
      <c r="KO3" s="11" t="n">
        <v>-2789226</v>
      </c>
      <c r="KP3" s="11" t="n">
        <v>-1816329</v>
      </c>
      <c r="KQ3" s="11" t="n">
        <v>-1382632</v>
      </c>
      <c r="KR3" s="11" t="n">
        <v>108811071</v>
      </c>
      <c r="KS3" s="11" t="n">
        <v>89731560</v>
      </c>
      <c r="KT3" s="11" t="n">
        <v>4494568</v>
      </c>
      <c r="KU3" s="11" t="n">
        <v>-1973698372</v>
      </c>
      <c r="KV3" s="11" t="n">
        <v>-506356667</v>
      </c>
      <c r="KW3" s="11" t="n">
        <v>-335171296</v>
      </c>
      <c r="KX3" s="11" t="n">
        <v>1177931657</v>
      </c>
      <c r="KY3" s="11" t="n">
        <v>886487680</v>
      </c>
      <c r="KZ3" s="11" t="n">
        <v>27395304</v>
      </c>
      <c r="LA3" s="11" t="n">
        <v>744774054</v>
      </c>
      <c r="LB3" s="11" t="n">
        <v>615015392</v>
      </c>
      <c r="LC3" s="11" t="n">
        <v>31306840</v>
      </c>
      <c r="LD3" s="11" t="n">
        <v>-32534392</v>
      </c>
      <c r="LE3" s="11" t="n">
        <v>-11875727</v>
      </c>
      <c r="LF3" s="11" t="n">
        <v>-4192670</v>
      </c>
      <c r="LG3" s="11" t="n">
        <v>-3233435</v>
      </c>
      <c r="LH3" s="11" t="n">
        <v>118631752</v>
      </c>
      <c r="LI3" s="11" t="n">
        <v>123768425</v>
      </c>
      <c r="LJ3" s="11" t="n">
        <v>11395690</v>
      </c>
      <c r="LK3" s="11" t="n">
        <v>3385587</v>
      </c>
      <c r="LL3" s="11" t="n">
        <v>2537146</v>
      </c>
      <c r="LM3" s="11" t="n">
        <v>-26075</v>
      </c>
      <c r="LN3" s="11" t="n">
        <v>9939829</v>
      </c>
      <c r="LO3" s="11" t="n">
        <v>-775342619</v>
      </c>
      <c r="LP3" s="11" t="n">
        <v>-823236972</v>
      </c>
      <c r="LQ3" s="11" t="n">
        <v>-79535425</v>
      </c>
      <c r="LR3" s="11" t="n">
        <v>143074147</v>
      </c>
      <c r="LS3" s="11" t="n">
        <v>69046970</v>
      </c>
    </row>
    <row r="4" customFormat="false" ht="15" hidden="false" customHeight="true" outlineLevel="0" collapsed="false">
      <c r="A4" s="7" t="s">
        <v>70</v>
      </c>
      <c r="B4" s="11" t="n">
        <v>1930517</v>
      </c>
      <c r="C4" s="11" t="n">
        <v>-59868808</v>
      </c>
      <c r="D4" s="11" t="n">
        <v>1381367</v>
      </c>
      <c r="E4" s="11" t="n">
        <v>137656228</v>
      </c>
      <c r="F4" s="11" t="n">
        <v>8196441</v>
      </c>
      <c r="G4" s="11" t="n">
        <v>78290561</v>
      </c>
      <c r="H4" s="11" t="n">
        <v>-91786637</v>
      </c>
      <c r="I4" s="11" t="n">
        <v>-51618752</v>
      </c>
      <c r="J4" s="11" t="n">
        <v>2600213</v>
      </c>
      <c r="K4" s="11" t="n">
        <v>-85841</v>
      </c>
      <c r="L4" s="11" t="n">
        <v>11507450</v>
      </c>
      <c r="M4" s="11" t="n">
        <v>-958090</v>
      </c>
      <c r="N4" s="11" t="n">
        <v>19952049</v>
      </c>
      <c r="O4" s="11" t="n">
        <v>2476755</v>
      </c>
      <c r="P4" s="11" t="n">
        <v>176839</v>
      </c>
      <c r="Q4" s="11" t="n">
        <v>801521</v>
      </c>
      <c r="R4" s="11" t="n">
        <v>-542275892</v>
      </c>
      <c r="S4" s="11" t="n">
        <v>18672311</v>
      </c>
      <c r="T4" s="11" t="n">
        <v>-724198505</v>
      </c>
      <c r="U4" s="11" t="n">
        <v>46818773</v>
      </c>
      <c r="V4" s="11" t="n">
        <v>64041192</v>
      </c>
      <c r="W4" s="11" t="n">
        <v>14354994</v>
      </c>
      <c r="X4" s="11" t="n">
        <v>-321097</v>
      </c>
      <c r="Y4" s="11" t="n">
        <v>17757752</v>
      </c>
      <c r="Z4" s="11" t="n">
        <v>-2309096</v>
      </c>
      <c r="AA4" s="11" t="n">
        <v>-2168707</v>
      </c>
      <c r="AB4" s="11" t="n">
        <v>-117174410</v>
      </c>
      <c r="AC4" s="11" t="n">
        <v>956012866</v>
      </c>
      <c r="AD4" s="11" t="n">
        <v>723728870</v>
      </c>
      <c r="AE4" s="11" t="n">
        <v>320299276</v>
      </c>
      <c r="AF4" s="11" t="n">
        <v>123565447</v>
      </c>
      <c r="AG4" s="11" t="n">
        <v>-35036875</v>
      </c>
      <c r="AH4" s="11" t="n">
        <v>-24866893</v>
      </c>
      <c r="AI4" s="11" t="n">
        <v>1049065104</v>
      </c>
      <c r="AJ4" s="11" t="n">
        <v>540655531</v>
      </c>
      <c r="AK4" s="11" t="n">
        <v>57816401</v>
      </c>
      <c r="AL4" s="11" t="n">
        <v>22032665</v>
      </c>
      <c r="AM4" s="11" t="n">
        <v>172396</v>
      </c>
      <c r="AN4" s="11" t="n">
        <v>-35625523</v>
      </c>
      <c r="AO4" s="11" t="n">
        <v>1464937</v>
      </c>
      <c r="AP4" s="11" t="n">
        <v>-12563610</v>
      </c>
      <c r="AQ4" s="11" t="n">
        <v>38174353</v>
      </c>
      <c r="AR4" s="11" t="n">
        <v>20934063</v>
      </c>
      <c r="AS4" s="11" t="n">
        <v>-21111619</v>
      </c>
      <c r="AT4" s="11" t="n">
        <v>-466235708</v>
      </c>
      <c r="AU4" s="11" t="n">
        <v>-138974933</v>
      </c>
      <c r="AV4" s="11" t="n">
        <v>-503896805</v>
      </c>
      <c r="AW4" s="11" t="n">
        <v>-136310007</v>
      </c>
      <c r="AX4" s="11" t="n">
        <v>-60086872</v>
      </c>
      <c r="AY4" s="11" t="n">
        <v>-37784337</v>
      </c>
      <c r="AZ4" s="11" t="n">
        <v>316279</v>
      </c>
      <c r="BA4" s="11" t="n">
        <v>-15981178</v>
      </c>
      <c r="BB4" s="11" t="n">
        <v>35511959</v>
      </c>
      <c r="BC4" s="11" t="n">
        <v>19588789</v>
      </c>
      <c r="BD4" s="11" t="n">
        <v>255713987</v>
      </c>
      <c r="BE4" s="11" t="n">
        <v>548911519</v>
      </c>
      <c r="BF4" s="11" t="n">
        <v>1028217049</v>
      </c>
      <c r="BG4" s="11" t="n">
        <v>540145004</v>
      </c>
      <c r="BH4" s="11" t="n">
        <v>-112750951</v>
      </c>
      <c r="BI4" s="11" t="n">
        <v>231728326</v>
      </c>
      <c r="BJ4" s="11" t="n">
        <v>128050171</v>
      </c>
      <c r="BK4" s="11" t="n">
        <v>950791939</v>
      </c>
      <c r="BL4" s="11" t="n">
        <v>513034419</v>
      </c>
      <c r="BM4" s="11" t="n">
        <v>25405225</v>
      </c>
      <c r="BN4" s="11" t="n">
        <v>1211889</v>
      </c>
      <c r="BO4" s="11" t="n">
        <v>-179316597</v>
      </c>
      <c r="BP4" s="11" t="n">
        <v>12907643</v>
      </c>
      <c r="BQ4" s="11" t="n">
        <v>-244631295</v>
      </c>
      <c r="BR4" s="11" t="n">
        <v>23150242</v>
      </c>
      <c r="BS4" s="11" t="n">
        <v>26177852</v>
      </c>
      <c r="BT4" s="11" t="n">
        <v>556479</v>
      </c>
      <c r="BU4" s="11" t="n">
        <v>20419</v>
      </c>
      <c r="BV4" s="11" t="n">
        <v>-1223082</v>
      </c>
      <c r="BW4" s="11" t="n">
        <v>-1918609</v>
      </c>
      <c r="BX4" s="11" t="n">
        <v>-946631</v>
      </c>
      <c r="BY4" s="11" t="n">
        <v>-8948260</v>
      </c>
      <c r="BZ4" s="11" t="n">
        <v>293303331</v>
      </c>
      <c r="CA4" s="11" t="n">
        <v>273255895</v>
      </c>
      <c r="CB4" s="11" t="n">
        <v>128047391</v>
      </c>
      <c r="CC4" s="11" t="n">
        <v>-8905089</v>
      </c>
      <c r="CD4" s="11" t="n">
        <v>-20824865</v>
      </c>
      <c r="CE4" s="11" t="n">
        <v>-10523489</v>
      </c>
      <c r="CF4" s="11" t="n">
        <v>410653491</v>
      </c>
      <c r="CG4" s="11" t="n">
        <v>217506081</v>
      </c>
      <c r="CH4" s="11" t="n">
        <v>23360494</v>
      </c>
      <c r="CI4" s="11" t="n">
        <v>197465427</v>
      </c>
      <c r="CJ4" s="11" t="n">
        <v>-4723852</v>
      </c>
      <c r="CK4" s="11" t="n">
        <v>262121250</v>
      </c>
      <c r="CL4" s="11" t="n">
        <v>-14684855</v>
      </c>
      <c r="CM4" s="11" t="n">
        <v>-21778492</v>
      </c>
      <c r="CN4" s="11" t="n">
        <v>-1404211253</v>
      </c>
      <c r="CO4" s="11" t="n">
        <v>1075620435</v>
      </c>
      <c r="CP4" s="11" t="n">
        <v>-1599267091</v>
      </c>
      <c r="CQ4" s="11" t="n">
        <v>-1042979720</v>
      </c>
      <c r="CR4" s="11" t="n">
        <v>1838258690</v>
      </c>
      <c r="CS4" s="11" t="n">
        <v>-66168229</v>
      </c>
      <c r="CT4" s="11" t="n">
        <v>-129920068</v>
      </c>
      <c r="CU4" s="11" t="n">
        <v>-2042922475</v>
      </c>
      <c r="CV4" s="11" t="n">
        <v>-1265850740</v>
      </c>
      <c r="CW4" s="11" t="n">
        <v>-98820436</v>
      </c>
      <c r="CX4" s="11" t="n">
        <v>-5496189</v>
      </c>
      <c r="CY4" s="11" t="n">
        <v>319650876</v>
      </c>
      <c r="CZ4" s="11" t="n">
        <v>305875482</v>
      </c>
      <c r="DA4" s="11" t="n">
        <v>144243921</v>
      </c>
      <c r="DB4" s="11" t="n">
        <v>-351026</v>
      </c>
      <c r="DC4" s="11" t="n">
        <v>-7726017</v>
      </c>
      <c r="DD4" s="11" t="n">
        <v>-4056840</v>
      </c>
      <c r="DE4" s="11" t="n">
        <v>429799240</v>
      </c>
      <c r="DF4" s="11" t="n">
        <v>226727846</v>
      </c>
      <c r="DG4" s="11" t="n">
        <v>23008107</v>
      </c>
      <c r="DH4" s="11" t="n">
        <v>-2243154919</v>
      </c>
      <c r="DI4" s="11" t="n">
        <v>-2219647635</v>
      </c>
      <c r="DJ4" s="11" t="n">
        <v>-1054773759</v>
      </c>
      <c r="DK4" s="11" t="n">
        <v>4254988118</v>
      </c>
      <c r="DL4" s="11" t="n">
        <v>2474058865</v>
      </c>
      <c r="DM4" s="11" t="n">
        <v>447356127</v>
      </c>
      <c r="DN4" s="11" t="n">
        <v>3011450117</v>
      </c>
      <c r="DO4" s="11" t="n">
        <v>1588349234</v>
      </c>
      <c r="DP4" s="11" t="n">
        <v>155663373</v>
      </c>
      <c r="DQ4" s="11" t="n">
        <v>308537647</v>
      </c>
      <c r="DR4" s="11" t="n">
        <v>-507179</v>
      </c>
      <c r="DS4" s="11" t="n">
        <v>-4310</v>
      </c>
      <c r="DT4" s="11" t="n">
        <v>1157242</v>
      </c>
      <c r="DU4" s="11" t="n">
        <v>-28584</v>
      </c>
      <c r="DV4" s="11" t="n">
        <v>985942</v>
      </c>
      <c r="DW4" s="11" t="n">
        <v>82053</v>
      </c>
      <c r="DX4" s="11" t="n">
        <v>53498</v>
      </c>
      <c r="DY4" s="11" t="n">
        <v>496569</v>
      </c>
      <c r="DZ4" s="11" t="n">
        <v>276428</v>
      </c>
      <c r="EA4" s="11" t="n">
        <v>3039783</v>
      </c>
      <c r="EB4" s="11" t="n">
        <v>-10007601</v>
      </c>
      <c r="EC4" s="11" t="n">
        <v>-26658491</v>
      </c>
      <c r="ED4" s="11" t="n">
        <v>-15220176</v>
      </c>
      <c r="EE4" s="11" t="n">
        <v>1135382</v>
      </c>
      <c r="EF4" s="11" t="n">
        <v>-2154</v>
      </c>
      <c r="EG4" s="11" t="n">
        <v>880272</v>
      </c>
      <c r="EH4" s="11" t="n">
        <v>-146207</v>
      </c>
      <c r="EI4" s="11" t="n">
        <v>-76962</v>
      </c>
      <c r="EJ4" s="11" t="n">
        <v>-6951522</v>
      </c>
      <c r="EK4" s="11" t="n">
        <v>23371942</v>
      </c>
      <c r="EL4" s="11" t="n">
        <v>60872014</v>
      </c>
      <c r="EM4" s="11" t="n">
        <v>34757384</v>
      </c>
      <c r="EN4" s="11" t="n">
        <v>5345238</v>
      </c>
      <c r="EO4" s="11" t="n">
        <v>-1010655</v>
      </c>
      <c r="EP4" s="11" t="n">
        <v>-537150</v>
      </c>
      <c r="EQ4" s="11" t="n">
        <v>50204311</v>
      </c>
      <c r="ER4" s="11" t="n">
        <v>28531986</v>
      </c>
      <c r="ES4" s="11" t="n">
        <v>-349610</v>
      </c>
      <c r="ET4" s="11" t="n">
        <v>-28357</v>
      </c>
      <c r="EU4" s="11" t="n">
        <v>4581888</v>
      </c>
      <c r="EV4" s="11" t="n">
        <v>-290206</v>
      </c>
      <c r="EW4" s="11" t="n">
        <v>6569701</v>
      </c>
      <c r="EX4" s="11" t="n">
        <v>761202</v>
      </c>
      <c r="EY4" s="11" t="n">
        <v>118515</v>
      </c>
      <c r="EZ4" s="11" t="n">
        <v>-25766</v>
      </c>
      <c r="FA4" s="11" t="n">
        <v>-868</v>
      </c>
      <c r="FB4" s="11" t="n">
        <v>704</v>
      </c>
      <c r="FC4" s="11" t="n">
        <v>1881</v>
      </c>
      <c r="FD4" s="11" t="n">
        <v>-1984</v>
      </c>
      <c r="FE4" s="11" t="n">
        <v>403940</v>
      </c>
      <c r="FF4" s="11" t="n">
        <v>-6083174</v>
      </c>
      <c r="FG4" s="11" t="n">
        <v>-995580</v>
      </c>
      <c r="FH4" s="11" t="n">
        <v>212886</v>
      </c>
      <c r="FI4" s="11" t="n">
        <v>-193892</v>
      </c>
      <c r="FJ4" s="11" t="n">
        <v>-4050</v>
      </c>
      <c r="FK4" s="11" t="n">
        <v>-23932</v>
      </c>
      <c r="FL4" s="11" t="n">
        <v>-416889</v>
      </c>
      <c r="FM4" s="11" t="n">
        <v>462592</v>
      </c>
      <c r="FN4" s="11" t="n">
        <v>61119</v>
      </c>
      <c r="FO4" s="11" t="n">
        <v>-4501492</v>
      </c>
      <c r="FP4" s="11" t="n">
        <v>114177</v>
      </c>
      <c r="FQ4" s="11" t="n">
        <v>-5872728</v>
      </c>
      <c r="FR4" s="11" t="n">
        <v>745231</v>
      </c>
      <c r="FS4" s="11" t="n">
        <v>734943</v>
      </c>
      <c r="FT4" s="11" t="n">
        <v>27619768</v>
      </c>
      <c r="FU4" s="11" t="n">
        <v>-93990004</v>
      </c>
      <c r="FV4" s="11" t="n">
        <v>-241249416</v>
      </c>
      <c r="FW4" s="11" t="n">
        <v>-137564652</v>
      </c>
      <c r="FX4" s="11" t="n">
        <v>-33649263</v>
      </c>
      <c r="FY4" s="11" t="n">
        <v>10691620</v>
      </c>
      <c r="FZ4" s="11" t="n">
        <v>7998609</v>
      </c>
      <c r="GA4" s="11" t="n">
        <v>-330298591</v>
      </c>
      <c r="GB4" s="11" t="n">
        <v>-194814759</v>
      </c>
      <c r="GC4" s="11" t="n">
        <v>-16613853</v>
      </c>
      <c r="GD4" s="11" t="n">
        <v>241534</v>
      </c>
      <c r="GE4" s="11" t="n">
        <v>-5447888</v>
      </c>
      <c r="GF4" s="11" t="n">
        <v>378542</v>
      </c>
      <c r="GG4" s="11" t="n">
        <v>982738</v>
      </c>
      <c r="GH4" s="11" t="n">
        <v>-176928</v>
      </c>
      <c r="GI4" s="11" t="n">
        <v>30385</v>
      </c>
      <c r="GJ4" s="11" t="n">
        <v>14508</v>
      </c>
      <c r="GK4" s="11" t="n">
        <v>-408056</v>
      </c>
      <c r="GL4" s="11" t="n">
        <v>392640</v>
      </c>
      <c r="GM4" s="11" t="n">
        <v>-100891</v>
      </c>
      <c r="GN4" s="11" t="n">
        <v>28383394</v>
      </c>
      <c r="GO4" s="11" t="n">
        <v>-15267200</v>
      </c>
      <c r="GP4" s="11" t="n">
        <v>-13411006</v>
      </c>
      <c r="GQ4" s="11" t="n">
        <v>299873678</v>
      </c>
      <c r="GR4" s="11" t="n">
        <v>187005634</v>
      </c>
      <c r="GS4" s="11" t="n">
        <v>41099922</v>
      </c>
      <c r="GT4" s="11" t="n">
        <v>7612865</v>
      </c>
      <c r="GU4" s="11" t="n">
        <v>8118924</v>
      </c>
      <c r="GV4" s="11" t="n">
        <v>-770065</v>
      </c>
      <c r="GW4" s="11" t="n">
        <v>35619523</v>
      </c>
      <c r="GX4" s="11" t="n">
        <v>-3898</v>
      </c>
      <c r="GY4" s="11" t="n">
        <v>3847989</v>
      </c>
      <c r="GZ4" s="11" t="n">
        <v>58639</v>
      </c>
      <c r="HA4" s="11" t="n">
        <v>7951720</v>
      </c>
      <c r="HB4" s="11" t="n">
        <v>10965496</v>
      </c>
      <c r="HC4" s="11" t="n">
        <v>6110291</v>
      </c>
      <c r="HD4" s="11" t="n">
        <v>23806</v>
      </c>
      <c r="HE4" s="11" t="n">
        <v>718</v>
      </c>
      <c r="HF4" s="11" t="n">
        <v>59996</v>
      </c>
      <c r="HG4" s="11" t="n">
        <v>92554</v>
      </c>
      <c r="HH4" s="11" t="n">
        <v>51514</v>
      </c>
      <c r="HI4" s="11" t="n">
        <v>-350666</v>
      </c>
      <c r="HJ4" s="11" t="n">
        <v>-10663238</v>
      </c>
      <c r="HK4" s="11" t="n">
        <v>-24397685</v>
      </c>
      <c r="HL4" s="11" t="n">
        <v>-13536100</v>
      </c>
      <c r="HM4" s="11" t="n">
        <v>562142</v>
      </c>
      <c r="HN4" s="11" t="n">
        <v>627489</v>
      </c>
      <c r="HO4" s="11" t="n">
        <v>350554</v>
      </c>
      <c r="HP4" s="11" t="n">
        <v>-20030168</v>
      </c>
      <c r="HQ4" s="11" t="n">
        <v>-11039478</v>
      </c>
      <c r="HR4" s="11" t="n">
        <v>168115</v>
      </c>
      <c r="HS4" s="11" t="n">
        <v>-3769615</v>
      </c>
      <c r="HT4" s="11" t="n">
        <v>-80775</v>
      </c>
      <c r="HU4" s="11" t="n">
        <v>-7708458</v>
      </c>
      <c r="HV4" s="11" t="n">
        <v>-10531214</v>
      </c>
      <c r="HW4" s="11" t="n">
        <v>-5865489</v>
      </c>
      <c r="HX4" s="11" t="n">
        <v>23031005</v>
      </c>
      <c r="HY4" s="11" t="n">
        <v>-80262031</v>
      </c>
      <c r="HZ4" s="11" t="n">
        <v>-208235653</v>
      </c>
      <c r="IA4" s="11" t="n">
        <v>-118806428</v>
      </c>
      <c r="IB4" s="11" t="n">
        <v>-48815781</v>
      </c>
      <c r="IC4" s="11" t="n">
        <v>-68804023</v>
      </c>
      <c r="ID4" s="11" t="n">
        <v>-38381823</v>
      </c>
      <c r="IE4" s="11" t="n">
        <v>-201590656</v>
      </c>
      <c r="IF4" s="11" t="n">
        <v>-118059351</v>
      </c>
      <c r="IG4" s="11" t="n">
        <v>-7897885</v>
      </c>
      <c r="IH4" s="11" t="n">
        <v>-201040</v>
      </c>
      <c r="II4" s="11" t="n">
        <v>-10942604</v>
      </c>
      <c r="IJ4" s="11" t="n">
        <v>-25189037</v>
      </c>
      <c r="IK4" s="11" t="n">
        <v>-13995412</v>
      </c>
      <c r="IL4" s="11" t="n">
        <v>176628</v>
      </c>
      <c r="IM4" s="11" t="n">
        <v>21899</v>
      </c>
      <c r="IN4" s="11" t="n">
        <v>12924</v>
      </c>
      <c r="IO4" s="11" t="n">
        <v>-20938406</v>
      </c>
      <c r="IP4" s="11" t="n">
        <v>-11592516</v>
      </c>
      <c r="IQ4" s="11" t="n">
        <v>94795</v>
      </c>
      <c r="IR4" s="11" t="n">
        <v>71135924</v>
      </c>
      <c r="IS4" s="11" t="n">
        <v>165001607</v>
      </c>
      <c r="IT4" s="11" t="n">
        <v>91843132</v>
      </c>
      <c r="IU4" s="11" t="n">
        <v>68154711</v>
      </c>
      <c r="IV4" s="11" t="n">
        <v>46888476</v>
      </c>
      <c r="IW4" s="11" t="n">
        <v>20764920</v>
      </c>
      <c r="IX4" s="11" t="n">
        <v>-137216963</v>
      </c>
      <c r="IY4" s="11" t="n">
        <v>-76117728</v>
      </c>
      <c r="IZ4" s="11" t="n">
        <v>602905</v>
      </c>
      <c r="JA4" s="11" t="n">
        <v>17517345</v>
      </c>
      <c r="JB4" s="11" t="n">
        <v>179931</v>
      </c>
      <c r="JC4" s="11" t="n">
        <v>5509</v>
      </c>
      <c r="JD4" s="11" t="n">
        <v>394098</v>
      </c>
      <c r="JE4" s="11" t="n">
        <v>607244</v>
      </c>
      <c r="JF4" s="11" t="n">
        <v>340723</v>
      </c>
      <c r="JG4" s="11" t="n">
        <v>-2731554</v>
      </c>
      <c r="JH4" s="11" t="n">
        <v>-21991749</v>
      </c>
      <c r="JI4" s="11" t="n">
        <v>-93287730</v>
      </c>
      <c r="JJ4" s="11" t="n">
        <v>-54301587</v>
      </c>
      <c r="JK4" s="11" t="n">
        <v>5309521</v>
      </c>
      <c r="JL4" s="11" t="n">
        <v>6362426</v>
      </c>
      <c r="JM4" s="11" t="n">
        <v>3509989</v>
      </c>
      <c r="JN4" s="11" t="n">
        <v>-130106264</v>
      </c>
      <c r="JO4" s="11" t="n">
        <v>-77291029</v>
      </c>
      <c r="JP4" s="11" t="n">
        <v>-6608298</v>
      </c>
      <c r="JQ4" s="11" t="n">
        <v>-502</v>
      </c>
      <c r="JR4" s="11" t="n">
        <v>362556</v>
      </c>
      <c r="JS4" s="11" t="n">
        <v>563695</v>
      </c>
      <c r="JT4" s="11" t="n">
        <v>297002</v>
      </c>
      <c r="JU4" s="11" t="n">
        <v>12200</v>
      </c>
      <c r="JV4" s="11" t="n">
        <v>18953</v>
      </c>
      <c r="JW4" s="11" t="n">
        <v>10044</v>
      </c>
      <c r="JX4" s="11" t="n">
        <v>11066</v>
      </c>
      <c r="JY4" s="11" t="n">
        <v>-36032</v>
      </c>
      <c r="JZ4" s="11" t="n">
        <v>-65087</v>
      </c>
      <c r="KA4" s="11" t="n">
        <v>-5565362</v>
      </c>
      <c r="KB4" s="11" t="n">
        <v>-8817790</v>
      </c>
      <c r="KC4" s="11" t="n">
        <v>-4660322</v>
      </c>
      <c r="KD4" s="11" t="n">
        <v>119075575</v>
      </c>
      <c r="KE4" s="11" t="n">
        <v>73115654</v>
      </c>
      <c r="KF4" s="11" t="n">
        <v>16133355</v>
      </c>
      <c r="KG4" s="11" t="n">
        <v>4176757</v>
      </c>
      <c r="KH4" s="11" t="n">
        <v>1907236</v>
      </c>
      <c r="KI4" s="11" t="n">
        <v>-475697</v>
      </c>
      <c r="KJ4" s="11" t="n">
        <v>14065769</v>
      </c>
      <c r="KK4" s="11" t="n">
        <v>1598995</v>
      </c>
      <c r="KL4" s="11" t="n">
        <v>25296864</v>
      </c>
      <c r="KM4" s="11" t="n">
        <v>101124737</v>
      </c>
      <c r="KN4" s="11" t="n">
        <v>58750957</v>
      </c>
      <c r="KO4" s="11" t="n">
        <v>-2727714</v>
      </c>
      <c r="KP4" s="11" t="n">
        <v>-2300237</v>
      </c>
      <c r="KQ4" s="11" t="n">
        <v>-1229112</v>
      </c>
      <c r="KR4" s="11" t="n">
        <v>136117110</v>
      </c>
      <c r="KS4" s="11" t="n">
        <v>80777694</v>
      </c>
      <c r="KT4" s="11" t="n">
        <v>6783947</v>
      </c>
      <c r="KU4" s="11" t="n">
        <v>-188600371</v>
      </c>
      <c r="KV4" s="11" t="n">
        <v>-706165508</v>
      </c>
      <c r="KW4" s="11" t="n">
        <v>-409342723</v>
      </c>
      <c r="KX4" s="11" t="n">
        <v>755718497</v>
      </c>
      <c r="KY4" s="11" t="n">
        <v>453638125</v>
      </c>
      <c r="KZ4" s="11" t="n">
        <v>58301739</v>
      </c>
      <c r="LA4" s="11" t="n">
        <v>933331243</v>
      </c>
      <c r="LB4" s="11" t="n">
        <v>553321866</v>
      </c>
      <c r="LC4" s="11" t="n">
        <v>46046909</v>
      </c>
      <c r="LD4" s="11" t="n">
        <v>27778663</v>
      </c>
      <c r="LE4" s="11" t="n">
        <v>-3292508</v>
      </c>
      <c r="LF4" s="11" t="n">
        <v>-5291529</v>
      </c>
      <c r="LG4" s="11" t="n">
        <v>-2803284</v>
      </c>
      <c r="LH4" s="11" t="n">
        <v>124512532</v>
      </c>
      <c r="LI4" s="11" t="n">
        <v>76625444</v>
      </c>
      <c r="LJ4" s="11" t="n">
        <v>17136411</v>
      </c>
      <c r="LK4" s="11" t="n">
        <v>4290338</v>
      </c>
      <c r="LL4" s="11" t="n">
        <v>2251224</v>
      </c>
      <c r="LM4" s="11" t="n">
        <v>-34812</v>
      </c>
      <c r="LN4" s="11" t="n">
        <v>14713238</v>
      </c>
      <c r="LO4" s="11" t="n">
        <v>-829940839</v>
      </c>
      <c r="LP4" s="11" t="n">
        <v>-512236616</v>
      </c>
      <c r="LQ4" s="11" t="n">
        <v>-116614761</v>
      </c>
      <c r="LR4" s="11" t="n">
        <v>56277087</v>
      </c>
      <c r="LS4" s="11" t="n">
        <v>100010534</v>
      </c>
    </row>
    <row r="5" customFormat="false" ht="15" hidden="false" customHeight="true" outlineLevel="0" collapsed="false">
      <c r="A5" s="7" t="s">
        <v>71</v>
      </c>
      <c r="B5" s="11" t="n">
        <v>2794940</v>
      </c>
      <c r="C5" s="11" t="n">
        <v>48126896</v>
      </c>
      <c r="D5" s="11" t="n">
        <v>1758084</v>
      </c>
      <c r="E5" s="11" t="n">
        <v>141120704</v>
      </c>
      <c r="F5" s="11" t="n">
        <v>1938444</v>
      </c>
      <c r="G5" s="11" t="n">
        <v>267268572</v>
      </c>
      <c r="H5" s="11" t="n">
        <v>-128613500</v>
      </c>
      <c r="I5" s="11" t="n">
        <v>-11150992</v>
      </c>
      <c r="J5" s="11" t="n">
        <v>-1261498</v>
      </c>
      <c r="K5" s="11" t="n">
        <v>-115262</v>
      </c>
      <c r="L5" s="11" t="n">
        <v>18829058</v>
      </c>
      <c r="M5" s="11" t="n">
        <v>-1016932</v>
      </c>
      <c r="N5" s="11" t="n">
        <v>23147094</v>
      </c>
      <c r="O5" s="11" t="n">
        <v>3426480</v>
      </c>
      <c r="P5" s="11" t="n">
        <v>-2114534</v>
      </c>
      <c r="Q5" s="11" t="n">
        <v>-1191218</v>
      </c>
      <c r="R5" s="11" t="n">
        <v>387918024</v>
      </c>
      <c r="S5" s="11" t="n">
        <v>-16635934</v>
      </c>
      <c r="T5" s="11" t="n">
        <v>519208482</v>
      </c>
      <c r="U5" s="11" t="n">
        <v>951782</v>
      </c>
      <c r="V5" s="11" t="n">
        <v>-41443792</v>
      </c>
      <c r="W5" s="11" t="n">
        <v>17663678</v>
      </c>
      <c r="X5" s="11" t="n">
        <v>-559734</v>
      </c>
      <c r="Y5" s="11" t="n">
        <v>25582104</v>
      </c>
      <c r="Z5" s="11" t="n">
        <v>-3148622</v>
      </c>
      <c r="AA5" s="11" t="n">
        <v>-1789954</v>
      </c>
      <c r="AB5" s="11" t="n">
        <v>-64405402</v>
      </c>
      <c r="AC5" s="11" t="n">
        <v>-631813650</v>
      </c>
      <c r="AD5" s="11" t="n">
        <v>1039456418</v>
      </c>
      <c r="AE5" s="11" t="n">
        <v>-31643560</v>
      </c>
      <c r="AF5" s="11" t="n">
        <v>113298786</v>
      </c>
      <c r="AG5" s="11" t="n">
        <v>-44419252</v>
      </c>
      <c r="AH5" s="11" t="n">
        <v>-5523806</v>
      </c>
      <c r="AI5" s="11" t="n">
        <v>1392809574</v>
      </c>
      <c r="AJ5" s="11" t="n">
        <v>-109854030</v>
      </c>
      <c r="AK5" s="11" t="n">
        <v>110974214</v>
      </c>
      <c r="AL5" s="11" t="n">
        <v>-22633390</v>
      </c>
      <c r="AM5" s="11" t="n">
        <v>347410</v>
      </c>
      <c r="AN5" s="11" t="n">
        <v>-28044670</v>
      </c>
      <c r="AO5" s="11" t="n">
        <v>6137080</v>
      </c>
      <c r="AP5" s="11" t="n">
        <v>-80454930</v>
      </c>
      <c r="AQ5" s="11" t="n">
        <v>53539360</v>
      </c>
      <c r="AR5" s="11" t="n">
        <v>4587390</v>
      </c>
      <c r="AS5" s="11" t="n">
        <v>20219098</v>
      </c>
      <c r="AT5" s="11" t="n">
        <v>659884296</v>
      </c>
      <c r="AU5" s="11" t="n">
        <v>121373686</v>
      </c>
      <c r="AV5" s="11" t="n">
        <v>778960470</v>
      </c>
      <c r="AW5" s="11" t="n">
        <v>-119600526</v>
      </c>
      <c r="AX5" s="11" t="n">
        <v>-11308976</v>
      </c>
      <c r="AY5" s="11" t="n">
        <v>-35182018</v>
      </c>
      <c r="AZ5" s="11" t="n">
        <v>3619422</v>
      </c>
      <c r="BA5" s="11" t="n">
        <v>-83829456</v>
      </c>
      <c r="BB5" s="11" t="n">
        <v>49664146</v>
      </c>
      <c r="BC5" s="11" t="n">
        <v>4271642</v>
      </c>
      <c r="BD5" s="11" t="n">
        <v>329320870</v>
      </c>
      <c r="BE5" s="11" t="n">
        <v>-1380493842</v>
      </c>
      <c r="BF5" s="11" t="n">
        <v>1412763426</v>
      </c>
      <c r="BG5" s="11" t="n">
        <v>119734168</v>
      </c>
      <c r="BH5" s="11" t="n">
        <v>-642663522</v>
      </c>
      <c r="BI5" s="11" t="n">
        <v>319539736</v>
      </c>
      <c r="BJ5" s="11" t="n">
        <v>27666758</v>
      </c>
      <c r="BK5" s="11" t="n">
        <v>1417489518</v>
      </c>
      <c r="BL5" s="11" t="n">
        <v>117681558</v>
      </c>
      <c r="BM5" s="11" t="n">
        <v>2510498</v>
      </c>
      <c r="BN5" s="11" t="n">
        <v>-1090194</v>
      </c>
      <c r="BO5" s="11" t="n">
        <v>165135462</v>
      </c>
      <c r="BP5" s="11" t="n">
        <v>-11005078</v>
      </c>
      <c r="BQ5" s="11" t="n">
        <v>223758270</v>
      </c>
      <c r="BR5" s="11" t="n">
        <v>3582568</v>
      </c>
      <c r="BS5" s="11" t="n">
        <v>-19193992</v>
      </c>
      <c r="BT5" s="11" t="n">
        <v>-1183896</v>
      </c>
      <c r="BU5" s="11" t="n">
        <v>-126686</v>
      </c>
      <c r="BV5" s="11" t="n">
        <v>440748</v>
      </c>
      <c r="BW5" s="11" t="n">
        <v>-2633848</v>
      </c>
      <c r="BX5" s="11" t="n">
        <v>73654</v>
      </c>
      <c r="BY5" s="11" t="n">
        <v>31140530</v>
      </c>
      <c r="BZ5" s="11" t="n">
        <v>-309751884</v>
      </c>
      <c r="CA5" s="11" t="n">
        <v>395067592</v>
      </c>
      <c r="CB5" s="11" t="n">
        <v>9687086</v>
      </c>
      <c r="CC5" s="11" t="n">
        <v>-21552654</v>
      </c>
      <c r="CD5" s="11" t="n">
        <v>-27003968</v>
      </c>
      <c r="CE5" s="11" t="n">
        <v>2973946</v>
      </c>
      <c r="CF5" s="11" t="n">
        <v>542035896</v>
      </c>
      <c r="CG5" s="11" t="n">
        <v>-22877034</v>
      </c>
      <c r="CH5" s="11" t="n">
        <v>46129576</v>
      </c>
      <c r="CI5" s="11" t="n">
        <v>-179305530</v>
      </c>
      <c r="CJ5" s="11" t="n">
        <v>3984904</v>
      </c>
      <c r="CK5" s="11" t="n">
        <v>-237410676</v>
      </c>
      <c r="CL5" s="11" t="n">
        <v>2560442</v>
      </c>
      <c r="CM5" s="11" t="n">
        <v>17691304</v>
      </c>
      <c r="CN5" s="11" t="n">
        <v>1206411318</v>
      </c>
      <c r="CO5" s="11" t="n">
        <v>-840376602</v>
      </c>
      <c r="CP5" s="11" t="n">
        <v>-977068326</v>
      </c>
      <c r="CQ5" s="11" t="n">
        <v>477096048</v>
      </c>
      <c r="CR5" s="11" t="n">
        <v>-1578680292</v>
      </c>
      <c r="CS5" s="11" t="n">
        <v>38941742</v>
      </c>
      <c r="CT5" s="11" t="n">
        <v>108428376</v>
      </c>
      <c r="CU5" s="11" t="n">
        <v>-1305694182</v>
      </c>
      <c r="CV5" s="11" t="n">
        <v>548785848</v>
      </c>
      <c r="CW5" s="11" t="n">
        <v>-103215944</v>
      </c>
      <c r="CX5" s="11" t="n">
        <v>25163606</v>
      </c>
      <c r="CY5" s="11" t="n">
        <v>-330306444</v>
      </c>
      <c r="CZ5" s="11" t="n">
        <v>435972688</v>
      </c>
      <c r="DA5" s="11" t="n">
        <v>7097906</v>
      </c>
      <c r="DB5" s="11" t="n">
        <v>-25977276</v>
      </c>
      <c r="DC5" s="11" t="n">
        <v>-9329770</v>
      </c>
      <c r="DD5" s="11" t="n">
        <v>2325040</v>
      </c>
      <c r="DE5" s="11" t="n">
        <v>572535828</v>
      </c>
      <c r="DF5" s="11" t="n">
        <v>-23191884</v>
      </c>
      <c r="DG5" s="11" t="n">
        <v>42914190</v>
      </c>
      <c r="DH5" s="11" t="n">
        <v>2104444446</v>
      </c>
      <c r="DI5" s="11" t="n">
        <v>-3070451578</v>
      </c>
      <c r="DJ5" s="11" t="n">
        <v>19198866</v>
      </c>
      <c r="DK5" s="11" t="n">
        <v>3843234564</v>
      </c>
      <c r="DL5" s="11" t="n">
        <v>-845612430</v>
      </c>
      <c r="DM5" s="11" t="n">
        <v>1198713646</v>
      </c>
      <c r="DN5" s="11" t="n">
        <v>3949988358</v>
      </c>
      <c r="DO5" s="11" t="n">
        <v>-214263876</v>
      </c>
      <c r="DP5" s="11" t="n">
        <v>276582050</v>
      </c>
      <c r="DQ5" s="11" t="n">
        <v>1195894206</v>
      </c>
      <c r="DR5" s="11" t="n">
        <v>-861869</v>
      </c>
      <c r="DS5" s="11" t="n">
        <v>-6011</v>
      </c>
      <c r="DT5" s="11" t="n">
        <v>1730479</v>
      </c>
      <c r="DU5" s="11" t="n">
        <v>-31986</v>
      </c>
      <c r="DV5" s="11" t="n">
        <v>1281727</v>
      </c>
      <c r="DW5" s="11" t="n">
        <v>114750</v>
      </c>
      <c r="DX5" s="11" t="n">
        <v>17273</v>
      </c>
      <c r="DY5" s="11" t="n">
        <v>438631</v>
      </c>
      <c r="DZ5" s="11" t="n">
        <v>73314684</v>
      </c>
      <c r="EA5" s="11" t="n">
        <v>46977</v>
      </c>
      <c r="EB5" s="11" t="n">
        <v>104487409</v>
      </c>
      <c r="EC5" s="11" t="n">
        <v>-37684325</v>
      </c>
      <c r="ED5" s="11" t="n">
        <v>-3141176</v>
      </c>
      <c r="EE5" s="11" t="n">
        <v>1392017</v>
      </c>
      <c r="EF5" s="11" t="n">
        <v>-15951</v>
      </c>
      <c r="EG5" s="11" t="n">
        <v>1381044</v>
      </c>
      <c r="EH5" s="11" t="n">
        <v>-204425</v>
      </c>
      <c r="EI5" s="11" t="n">
        <v>-13117</v>
      </c>
      <c r="EJ5" s="11" t="n">
        <v>-2815203</v>
      </c>
      <c r="EK5" s="11" t="n">
        <v>-100762247</v>
      </c>
      <c r="EL5" s="11" t="n">
        <v>85424575</v>
      </c>
      <c r="EM5" s="11" t="n">
        <v>7776244</v>
      </c>
      <c r="EN5" s="11" t="n">
        <v>3947637</v>
      </c>
      <c r="EO5" s="11" t="n">
        <v>-1392300</v>
      </c>
      <c r="EP5" s="11" t="n">
        <v>-115635</v>
      </c>
      <c r="EQ5" s="11" t="n">
        <v>69953725</v>
      </c>
      <c r="ER5" s="11" t="n">
        <v>6765461</v>
      </c>
      <c r="ES5" s="11" t="n">
        <v>-337025</v>
      </c>
      <c r="ET5" s="11" t="n">
        <v>-32830</v>
      </c>
      <c r="EU5" s="11" t="n">
        <v>5025219</v>
      </c>
      <c r="EV5" s="11" t="n">
        <v>-299152</v>
      </c>
      <c r="EW5" s="11" t="n">
        <v>6559306</v>
      </c>
      <c r="EX5" s="11" t="n">
        <v>1004823</v>
      </c>
      <c r="EY5" s="11" t="n">
        <v>-659850</v>
      </c>
      <c r="EZ5" s="11" t="n">
        <v>-30869</v>
      </c>
      <c r="FA5" s="11" t="n">
        <v>-868</v>
      </c>
      <c r="FB5" s="11" t="n">
        <v>-3076</v>
      </c>
      <c r="FC5" s="11" t="n">
        <v>2637</v>
      </c>
      <c r="FD5" s="11" t="n">
        <v>-5260</v>
      </c>
      <c r="FE5" s="11" t="n">
        <v>414146</v>
      </c>
      <c r="FF5" s="11" t="n">
        <v>-5696669</v>
      </c>
      <c r="FG5" s="11" t="n">
        <v>-1348443</v>
      </c>
      <c r="FH5" s="11" t="n">
        <v>1425573</v>
      </c>
      <c r="FI5" s="11" t="n">
        <v>-201452</v>
      </c>
      <c r="FJ5" s="11" t="n">
        <v>-2538</v>
      </c>
      <c r="FK5" s="11" t="n">
        <v>-30484</v>
      </c>
      <c r="FL5" s="11" t="n">
        <v>-621009</v>
      </c>
      <c r="FM5" s="11" t="n">
        <v>1112752</v>
      </c>
      <c r="FN5" s="11" t="n">
        <v>107991</v>
      </c>
      <c r="FO5" s="11" t="n">
        <v>-5350161</v>
      </c>
      <c r="FP5" s="11" t="n">
        <v>150458</v>
      </c>
      <c r="FQ5" s="11" t="n">
        <v>-7318324</v>
      </c>
      <c r="FR5" s="11" t="n">
        <v>924073</v>
      </c>
      <c r="FS5" s="11" t="n">
        <v>455470</v>
      </c>
      <c r="FT5" s="11" t="n">
        <v>25721199</v>
      </c>
      <c r="FU5" s="11" t="n">
        <v>51259143</v>
      </c>
      <c r="FV5" s="11" t="n">
        <v>-305197503</v>
      </c>
      <c r="FW5" s="11" t="n">
        <v>37815024</v>
      </c>
      <c r="FX5" s="11" t="n">
        <v>-36624770</v>
      </c>
      <c r="FY5" s="11" t="n">
        <v>13025341</v>
      </c>
      <c r="FZ5" s="11" t="n">
        <v>1126258</v>
      </c>
      <c r="GA5" s="11" t="n">
        <v>-408617053</v>
      </c>
      <c r="GB5" s="11" t="n">
        <v>56089826</v>
      </c>
      <c r="GC5" s="11" t="n">
        <v>-32513442</v>
      </c>
      <c r="GD5" s="11" t="n">
        <v>282925</v>
      </c>
      <c r="GE5" s="11" t="n">
        <v>-6379904</v>
      </c>
      <c r="GF5" s="11" t="n">
        <v>439136</v>
      </c>
      <c r="GG5" s="11" t="n">
        <v>1285463</v>
      </c>
      <c r="GH5" s="11" t="n">
        <v>-207588</v>
      </c>
      <c r="GI5" s="11" t="n">
        <v>36517</v>
      </c>
      <c r="GJ5" s="11" t="n">
        <v>-12064</v>
      </c>
      <c r="GK5" s="11" t="n">
        <v>-501248</v>
      </c>
      <c r="GL5" s="11" t="n">
        <v>1215212</v>
      </c>
      <c r="GM5" s="11" t="n">
        <v>-184639</v>
      </c>
      <c r="GN5" s="11" t="n">
        <v>33382411</v>
      </c>
      <c r="GO5" s="11" t="n">
        <v>-18250499</v>
      </c>
      <c r="GP5" s="11" t="n">
        <v>-4180217</v>
      </c>
      <c r="GQ5" s="11" t="n">
        <v>359731424</v>
      </c>
      <c r="GR5" s="11" t="n">
        <v>-57409105</v>
      </c>
      <c r="GS5" s="11" t="n">
        <v>76432473</v>
      </c>
      <c r="GT5" s="11" t="n">
        <v>9082121</v>
      </c>
      <c r="GU5" s="11" t="n">
        <v>4490548</v>
      </c>
      <c r="GV5" s="11" t="n">
        <v>-1317745</v>
      </c>
      <c r="GW5" s="11" t="n">
        <v>64009387</v>
      </c>
      <c r="GX5" s="11" t="n">
        <v>155807</v>
      </c>
      <c r="GY5" s="11" t="n">
        <v>-22661466</v>
      </c>
      <c r="GZ5" s="11" t="n">
        <v>2151499</v>
      </c>
      <c r="HA5" s="11" t="n">
        <v>-35189105</v>
      </c>
      <c r="HB5" s="11" t="n">
        <v>15580561</v>
      </c>
      <c r="HC5" s="11" t="n">
        <v>1274726</v>
      </c>
      <c r="HD5" s="11" t="n">
        <v>154783</v>
      </c>
      <c r="HE5" s="11" t="n">
        <v>9223</v>
      </c>
      <c r="HF5" s="11" t="n">
        <v>-13714</v>
      </c>
      <c r="HG5" s="11" t="n">
        <v>129409</v>
      </c>
      <c r="HH5" s="11" t="n">
        <v>12013</v>
      </c>
      <c r="HI5" s="11" t="n">
        <v>-3478805</v>
      </c>
      <c r="HJ5" s="11" t="n">
        <v>36952477</v>
      </c>
      <c r="HK5" s="11" t="n">
        <v>-34300151</v>
      </c>
      <c r="HL5" s="11" t="n">
        <v>-3013588</v>
      </c>
      <c r="HM5" s="11" t="n">
        <v>1893647</v>
      </c>
      <c r="HN5" s="11" t="n">
        <v>864684</v>
      </c>
      <c r="HO5" s="11" t="n">
        <v>90427</v>
      </c>
      <c r="HP5" s="11" t="n">
        <v>-27855713</v>
      </c>
      <c r="HQ5" s="11" t="n">
        <v>-2600943</v>
      </c>
      <c r="HR5" s="11" t="n">
        <v>142537</v>
      </c>
      <c r="HS5" s="11" t="n">
        <v>24786786</v>
      </c>
      <c r="HT5" s="11" t="n">
        <v>-1086470</v>
      </c>
      <c r="HU5" s="11" t="n">
        <v>36797822</v>
      </c>
      <c r="HV5" s="11" t="n">
        <v>-14741914</v>
      </c>
      <c r="HW5" s="11" t="n">
        <v>-1216602</v>
      </c>
      <c r="HX5" s="11" t="n">
        <v>-184251942</v>
      </c>
      <c r="HY5" s="11" t="n">
        <v>246023754</v>
      </c>
      <c r="HZ5" s="11" t="n">
        <v>-334507746</v>
      </c>
      <c r="IA5" s="11" t="n">
        <v>-25842072</v>
      </c>
      <c r="IB5" s="11" t="n">
        <v>262751804</v>
      </c>
      <c r="IC5" s="11" t="n">
        <v>-94921288</v>
      </c>
      <c r="ID5" s="11" t="n">
        <v>-7910854</v>
      </c>
      <c r="IE5" s="11" t="n">
        <v>-350279196</v>
      </c>
      <c r="IF5" s="11" t="n">
        <v>-26288966</v>
      </c>
      <c r="IG5" s="11" t="n">
        <v>-1048994</v>
      </c>
      <c r="IH5" s="11" t="n">
        <v>-2546584</v>
      </c>
      <c r="II5" s="11" t="n">
        <v>38737690</v>
      </c>
      <c r="IJ5" s="11" t="n">
        <v>-35232248</v>
      </c>
      <c r="IK5" s="11" t="n">
        <v>-3119712</v>
      </c>
      <c r="IL5" s="11" t="n">
        <v>2082618</v>
      </c>
      <c r="IM5" s="11" t="n">
        <v>29744</v>
      </c>
      <c r="IN5" s="11" t="n">
        <v>11752</v>
      </c>
      <c r="IO5" s="11" t="n">
        <v>-29265686</v>
      </c>
      <c r="IP5" s="11" t="n">
        <v>-2730094</v>
      </c>
      <c r="IQ5" s="11" t="n">
        <v>126152</v>
      </c>
      <c r="IR5" s="11" t="n">
        <v>-262679254</v>
      </c>
      <c r="IS5" s="11" t="n">
        <v>227530832</v>
      </c>
      <c r="IT5" s="11" t="n">
        <v>20535296</v>
      </c>
      <c r="IU5" s="11" t="n">
        <v>173079618</v>
      </c>
      <c r="IV5" s="11" t="n">
        <v>9421912</v>
      </c>
      <c r="IW5" s="11" t="n">
        <v>5369536</v>
      </c>
      <c r="IX5" s="11" t="n">
        <v>-189144728</v>
      </c>
      <c r="IY5" s="11" t="n">
        <v>-18006154</v>
      </c>
      <c r="IZ5" s="11" t="n">
        <v>810160</v>
      </c>
      <c r="JA5" s="11" t="n">
        <v>5079934</v>
      </c>
      <c r="JB5" s="11" t="n">
        <v>45237</v>
      </c>
      <c r="JC5" s="11" t="n">
        <v>27874</v>
      </c>
      <c r="JD5" s="11" t="n">
        <v>-154632</v>
      </c>
      <c r="JE5" s="11" t="n">
        <v>775139</v>
      </c>
      <c r="JF5" s="11" t="n">
        <v>-70730</v>
      </c>
      <c r="JG5" s="11" t="n">
        <v>-4678821</v>
      </c>
      <c r="JH5" s="11" t="n">
        <v>32707371</v>
      </c>
      <c r="JI5" s="11" t="n">
        <v>-117264333</v>
      </c>
      <c r="JJ5" s="11" t="n">
        <v>9917274</v>
      </c>
      <c r="JK5" s="11" t="n">
        <v>4160086</v>
      </c>
      <c r="JL5" s="11" t="n">
        <v>7916321</v>
      </c>
      <c r="JM5" s="11" t="n">
        <v>-1204742</v>
      </c>
      <c r="JN5" s="11" t="n">
        <v>-159602549</v>
      </c>
      <c r="JO5" s="11" t="n">
        <v>17239526</v>
      </c>
      <c r="JP5" s="11" t="n">
        <v>-13414692</v>
      </c>
      <c r="JQ5" s="11" t="n">
        <v>25013</v>
      </c>
      <c r="JR5" s="11" t="n">
        <v>-149634</v>
      </c>
      <c r="JS5" s="11" t="n">
        <v>732472</v>
      </c>
      <c r="JT5" s="11" t="n">
        <v>-73753</v>
      </c>
      <c r="JU5" s="11" t="n">
        <v>-6700</v>
      </c>
      <c r="JV5" s="11" t="n">
        <v>22733</v>
      </c>
      <c r="JW5" s="11" t="n">
        <v>-6336</v>
      </c>
      <c r="JX5" s="11" t="n">
        <v>60206</v>
      </c>
      <c r="JY5" s="11" t="n">
        <v>18148</v>
      </c>
      <c r="JZ5" s="11" t="n">
        <v>-118511</v>
      </c>
      <c r="KA5" s="11" t="n">
        <v>-2608457</v>
      </c>
      <c r="KB5" s="11" t="n">
        <v>-10919659</v>
      </c>
      <c r="KC5" s="11" t="n">
        <v>2144623</v>
      </c>
      <c r="KD5" s="11" t="n">
        <v>141709270</v>
      </c>
      <c r="KE5" s="11" t="n">
        <v>-20520931</v>
      </c>
      <c r="KF5" s="11" t="n">
        <v>30604833</v>
      </c>
      <c r="KG5" s="11" t="n">
        <v>5295637</v>
      </c>
      <c r="KH5" s="11" t="n">
        <v>-1235204</v>
      </c>
      <c r="KI5" s="11" t="n">
        <v>-816905</v>
      </c>
      <c r="KJ5" s="11" t="n">
        <v>25443569</v>
      </c>
      <c r="KK5" s="11" t="n">
        <v>4749822</v>
      </c>
      <c r="KL5" s="11" t="n">
        <v>-35283738</v>
      </c>
      <c r="KM5" s="11" t="n">
        <v>127594296</v>
      </c>
      <c r="KN5" s="11" t="n">
        <v>-10898958</v>
      </c>
      <c r="KO5" s="11" t="n">
        <v>-5504884</v>
      </c>
      <c r="KP5" s="11" t="n">
        <v>-2767842</v>
      </c>
      <c r="KQ5" s="11" t="n">
        <v>710864</v>
      </c>
      <c r="KR5" s="11" t="n">
        <v>168438230</v>
      </c>
      <c r="KS5" s="11" t="n">
        <v>-17912132</v>
      </c>
      <c r="KT5" s="11" t="n">
        <v>12744814</v>
      </c>
      <c r="KU5" s="11" t="n">
        <v>215135928</v>
      </c>
      <c r="KV5" s="11" t="n">
        <v>-884368170</v>
      </c>
      <c r="KW5" s="11" t="n">
        <v>85969170</v>
      </c>
      <c r="KX5" s="11" t="n">
        <v>790281726</v>
      </c>
      <c r="KY5" s="11" t="n">
        <v>-144964638</v>
      </c>
      <c r="KZ5" s="11" t="n">
        <v>280112430</v>
      </c>
      <c r="LA5" s="11" t="n">
        <v>1150318148</v>
      </c>
      <c r="LB5" s="11" t="n">
        <v>-131832876</v>
      </c>
      <c r="LC5" s="11" t="n">
        <v>82259170</v>
      </c>
      <c r="LD5" s="11" t="n">
        <v>290840966</v>
      </c>
      <c r="LE5" s="11" t="n">
        <v>-3798158</v>
      </c>
      <c r="LF5" s="11" t="n">
        <v>-6357528</v>
      </c>
      <c r="LG5" s="11" t="n">
        <v>1717576</v>
      </c>
      <c r="LH5" s="11" t="n">
        <v>149256256</v>
      </c>
      <c r="LI5" s="11" t="n">
        <v>-21474166</v>
      </c>
      <c r="LJ5" s="11" t="n">
        <v>31551176</v>
      </c>
      <c r="LK5" s="11" t="n">
        <v>5154878</v>
      </c>
      <c r="LL5" s="11" t="n">
        <v>-1422176</v>
      </c>
      <c r="LM5" s="11" t="n">
        <v>-49400</v>
      </c>
      <c r="LN5" s="11" t="n">
        <v>26742426</v>
      </c>
      <c r="LO5" s="11" t="n">
        <v>-995132602</v>
      </c>
      <c r="LP5" s="11" t="n">
        <v>146539554</v>
      </c>
      <c r="LQ5" s="11" t="n">
        <v>-204727280</v>
      </c>
      <c r="LR5" s="11" t="n">
        <v>-132248974</v>
      </c>
      <c r="LS5" s="11" t="n">
        <v>173731630</v>
      </c>
    </row>
    <row r="6" customFormat="false" ht="15" hidden="false" customHeight="true" outlineLevel="0" collapsed="false">
      <c r="A6" s="7" t="s">
        <v>72</v>
      </c>
      <c r="B6" s="11" t="n">
        <v>4880807</v>
      </c>
      <c r="C6" s="11" t="n">
        <v>-342526376</v>
      </c>
      <c r="D6" s="11" t="n">
        <v>1991421</v>
      </c>
      <c r="E6" s="11" t="n">
        <v>429237644</v>
      </c>
      <c r="F6" s="11" t="n">
        <v>-735517</v>
      </c>
      <c r="G6" s="11" t="n">
        <v>330641595</v>
      </c>
      <c r="H6" s="11" t="n">
        <v>-205339615</v>
      </c>
      <c r="I6" s="11" t="n">
        <v>-48718640</v>
      </c>
      <c r="J6" s="11" t="n">
        <v>13701317</v>
      </c>
      <c r="K6" s="11" t="n">
        <v>-161063</v>
      </c>
      <c r="L6" s="11" t="n">
        <v>26065742</v>
      </c>
      <c r="M6" s="11" t="n">
        <v>-1622236</v>
      </c>
      <c r="N6" s="11" t="n">
        <v>45495777</v>
      </c>
      <c r="O6" s="11" t="n">
        <v>5265639</v>
      </c>
      <c r="P6" s="11" t="n">
        <v>-2602217</v>
      </c>
      <c r="Q6" s="11" t="n">
        <v>5712833</v>
      </c>
      <c r="R6" s="11" t="n">
        <v>-3034196020</v>
      </c>
      <c r="S6" s="11" t="n">
        <v>115910375</v>
      </c>
      <c r="T6" s="11" t="n">
        <v>-4120984281</v>
      </c>
      <c r="U6" s="11" t="n">
        <v>206892613</v>
      </c>
      <c r="V6" s="11" t="n">
        <v>319381096</v>
      </c>
      <c r="W6" s="11" t="n">
        <v>24799622</v>
      </c>
      <c r="X6" s="11" t="n">
        <v>-686161</v>
      </c>
      <c r="Y6" s="11" t="n">
        <v>29473686</v>
      </c>
      <c r="Z6" s="11" t="n">
        <v>-4627618</v>
      </c>
      <c r="AA6" s="11" t="n">
        <v>-2669411</v>
      </c>
      <c r="AB6" s="11" t="n">
        <v>-138737910</v>
      </c>
      <c r="AC6" s="11" t="n">
        <v>2235302814</v>
      </c>
      <c r="AD6" s="11" t="n">
        <v>1559688778</v>
      </c>
      <c r="AE6" s="11" t="n">
        <v>31330476</v>
      </c>
      <c r="AF6" s="11" t="n">
        <v>103039473</v>
      </c>
      <c r="AG6" s="11" t="n">
        <v>-69042329</v>
      </c>
      <c r="AH6" s="11" t="n">
        <v>-15800493</v>
      </c>
      <c r="AI6" s="11" t="n">
        <v>2270756580</v>
      </c>
      <c r="AJ6" s="11" t="n">
        <v>277841595</v>
      </c>
      <c r="AK6" s="11" t="n">
        <v>162037345</v>
      </c>
      <c r="AL6" s="11" t="n">
        <v>133034885</v>
      </c>
      <c r="AM6" s="11" t="n">
        <v>1043056</v>
      </c>
      <c r="AN6" s="11" t="n">
        <v>-122921473</v>
      </c>
      <c r="AO6" s="11" t="n">
        <v>12384097</v>
      </c>
      <c r="AP6" s="11" t="n">
        <v>-85446420</v>
      </c>
      <c r="AQ6" s="11" t="n">
        <v>85705333</v>
      </c>
      <c r="AR6" s="11" t="n">
        <v>19841643</v>
      </c>
      <c r="AS6" s="11" t="n">
        <v>-127479463</v>
      </c>
      <c r="AT6" s="11" t="n">
        <v>-3073207756</v>
      </c>
      <c r="AU6" s="11" t="n">
        <v>-849046161</v>
      </c>
      <c r="AV6" s="11" t="n">
        <v>-3015733665</v>
      </c>
      <c r="AW6" s="11" t="n">
        <v>-417759819</v>
      </c>
      <c r="AX6" s="11" t="n">
        <v>-64540024</v>
      </c>
      <c r="AY6" s="11" t="n">
        <v>-141883771</v>
      </c>
      <c r="AZ6" s="11" t="n">
        <v>5210027</v>
      </c>
      <c r="BA6" s="11" t="n">
        <v>-105523020</v>
      </c>
      <c r="BB6" s="11" t="n">
        <v>78850919</v>
      </c>
      <c r="BC6" s="11" t="n">
        <v>18507049</v>
      </c>
      <c r="BD6" s="11" t="n">
        <v>1070583161</v>
      </c>
      <c r="BE6" s="11" t="n">
        <v>812597565</v>
      </c>
      <c r="BF6" s="11" t="n">
        <v>2365860251</v>
      </c>
      <c r="BG6" s="11" t="n">
        <v>517990796</v>
      </c>
      <c r="BH6" s="11" t="n">
        <v>-826062225</v>
      </c>
      <c r="BI6" s="11" t="n">
        <v>508093842</v>
      </c>
      <c r="BJ6" s="11" t="n">
        <v>120624007</v>
      </c>
      <c r="BK6" s="11" t="n">
        <v>2211153405</v>
      </c>
      <c r="BL6" s="11" t="n">
        <v>491238255</v>
      </c>
      <c r="BM6" s="11" t="n">
        <v>20728525</v>
      </c>
      <c r="BN6" s="11" t="n">
        <v>7318101</v>
      </c>
      <c r="BO6" s="11" t="n">
        <v>-1055530173</v>
      </c>
      <c r="BP6" s="11" t="n">
        <v>78981287</v>
      </c>
      <c r="BQ6" s="11" t="n">
        <v>-1479930255</v>
      </c>
      <c r="BR6" s="11" t="n">
        <v>97066378</v>
      </c>
      <c r="BS6" s="11" t="n">
        <v>126627068</v>
      </c>
      <c r="BT6" s="11" t="n">
        <v>-1514079</v>
      </c>
      <c r="BU6" s="11" t="n">
        <v>-61985</v>
      </c>
      <c r="BV6" s="11" t="n">
        <v>-6903036</v>
      </c>
      <c r="BW6" s="11" t="n">
        <v>-3953509</v>
      </c>
      <c r="BX6" s="11" t="n">
        <v>-98651</v>
      </c>
      <c r="BY6" s="11" t="n">
        <v>25281278</v>
      </c>
      <c r="BZ6" s="11" t="n">
        <v>689472783</v>
      </c>
      <c r="CA6" s="11" t="n">
        <v>590319019</v>
      </c>
      <c r="CB6" s="11" t="n">
        <v>40427495</v>
      </c>
      <c r="CC6" s="11" t="n">
        <v>-87036807</v>
      </c>
      <c r="CD6" s="11" t="n">
        <v>-41846453</v>
      </c>
      <c r="CE6" s="11" t="n">
        <v>7843</v>
      </c>
      <c r="CF6" s="11" t="n">
        <v>891074103</v>
      </c>
      <c r="CG6" s="11" t="n">
        <v>139395153</v>
      </c>
      <c r="CH6" s="11" t="n">
        <v>67100134</v>
      </c>
      <c r="CI6" s="11" t="n">
        <v>1180505883</v>
      </c>
      <c r="CJ6" s="11" t="n">
        <v>-28978012</v>
      </c>
      <c r="CK6" s="11" t="n">
        <v>1584021798</v>
      </c>
      <c r="CL6" s="11" t="n">
        <v>-70032467</v>
      </c>
      <c r="CM6" s="11" t="n">
        <v>-117788956</v>
      </c>
      <c r="CN6" s="11" t="n">
        <v>-8561060845</v>
      </c>
      <c r="CO6" s="11" t="n">
        <v>10259980011</v>
      </c>
      <c r="CP6" s="11" t="n">
        <v>-5556912683</v>
      </c>
      <c r="CQ6" s="11" t="n">
        <v>-3437258056</v>
      </c>
      <c r="CR6" s="11" t="n">
        <v>11235516366</v>
      </c>
      <c r="CS6" s="11" t="n">
        <v>-371471193</v>
      </c>
      <c r="CT6" s="11" t="n">
        <v>-769833956</v>
      </c>
      <c r="CU6" s="11" t="n">
        <v>-6847690659</v>
      </c>
      <c r="CV6" s="11" t="n">
        <v>-3588444084</v>
      </c>
      <c r="CW6" s="11" t="n">
        <v>-350547412</v>
      </c>
      <c r="CX6" s="11" t="n">
        <v>15994403</v>
      </c>
      <c r="CY6" s="11" t="n">
        <v>785824146</v>
      </c>
      <c r="CZ6" s="11" t="n">
        <v>652242340</v>
      </c>
      <c r="DA6" s="11" t="n">
        <v>40283657</v>
      </c>
      <c r="DB6" s="11" t="n">
        <v>-40751262</v>
      </c>
      <c r="DC6" s="11" t="n">
        <v>-15061813</v>
      </c>
      <c r="DD6" s="11" t="n">
        <v>607048</v>
      </c>
      <c r="DE6" s="11" t="n">
        <v>921807594</v>
      </c>
      <c r="DF6" s="11" t="n">
        <v>132461514</v>
      </c>
      <c r="DG6" s="11" t="n">
        <v>62689887</v>
      </c>
      <c r="DH6" s="11" t="n">
        <v>-5837828241</v>
      </c>
      <c r="DI6" s="11" t="n">
        <v>-4654789897</v>
      </c>
      <c r="DJ6" s="11" t="n">
        <v>-245567559</v>
      </c>
      <c r="DK6" s="11" t="n">
        <v>9367805526</v>
      </c>
      <c r="DL6" s="11" t="n">
        <v>2638182441</v>
      </c>
      <c r="DM6" s="11" t="n">
        <v>1709498023</v>
      </c>
      <c r="DN6" s="11" t="n">
        <v>6362243427</v>
      </c>
      <c r="DO6" s="11" t="n">
        <v>847235742</v>
      </c>
      <c r="DP6" s="11" t="n">
        <v>407916041</v>
      </c>
      <c r="DQ6" s="11" t="n">
        <v>1515635415</v>
      </c>
      <c r="DR6" s="11" t="n">
        <v>-1101332</v>
      </c>
      <c r="DS6" s="11" t="n">
        <v>-9476</v>
      </c>
      <c r="DT6" s="11" t="n">
        <v>2848918</v>
      </c>
      <c r="DU6" s="11" t="n">
        <v>-51957</v>
      </c>
      <c r="DV6" s="11" t="n">
        <v>2367091</v>
      </c>
      <c r="DW6" s="11" t="n">
        <v>182160</v>
      </c>
      <c r="DX6" s="11" t="n">
        <v>57845</v>
      </c>
      <c r="DY6" s="11" t="n">
        <v>1114364</v>
      </c>
      <c r="DZ6" s="11" t="n">
        <v>-103076480</v>
      </c>
      <c r="EA6" s="11" t="n">
        <v>3480284</v>
      </c>
      <c r="EB6" s="11" t="n">
        <v>-91510468</v>
      </c>
      <c r="EC6" s="11" t="n">
        <v>-59117620</v>
      </c>
      <c r="ED6" s="11" t="n">
        <v>-15052600</v>
      </c>
      <c r="EE6" s="11" t="n">
        <v>1995746</v>
      </c>
      <c r="EF6" s="11" t="n">
        <v>-22627</v>
      </c>
      <c r="EG6" s="11" t="n">
        <v>1607733</v>
      </c>
      <c r="EH6" s="11" t="n">
        <v>-324340</v>
      </c>
      <c r="EI6" s="11" t="n">
        <v>-70985</v>
      </c>
      <c r="EJ6" s="11" t="n">
        <v>-4139986</v>
      </c>
      <c r="EK6" s="11" t="n">
        <v>15176542</v>
      </c>
      <c r="EL6" s="11" t="n">
        <v>135876230</v>
      </c>
      <c r="EM6" s="11" t="n">
        <v>33524100</v>
      </c>
      <c r="EN6" s="11" t="n">
        <v>3163024</v>
      </c>
      <c r="EO6" s="11" t="n">
        <v>-2213325</v>
      </c>
      <c r="EP6" s="11" t="n">
        <v>-527335</v>
      </c>
      <c r="EQ6" s="11" t="n">
        <v>111925595</v>
      </c>
      <c r="ER6" s="11" t="n">
        <v>27546145</v>
      </c>
      <c r="ES6" s="11" t="n">
        <v>-615325</v>
      </c>
      <c r="ET6" s="11" t="n">
        <v>-62944</v>
      </c>
      <c r="EU6" s="11" t="n">
        <v>13879050</v>
      </c>
      <c r="EV6" s="11" t="n">
        <v>-511903</v>
      </c>
      <c r="EW6" s="11" t="n">
        <v>16910773</v>
      </c>
      <c r="EX6" s="11" t="n">
        <v>1699524</v>
      </c>
      <c r="EY6" s="11" t="n">
        <v>-424797</v>
      </c>
      <c r="EZ6" s="11" t="n">
        <v>-43406</v>
      </c>
      <c r="FA6" s="11" t="n">
        <v>-1435</v>
      </c>
      <c r="FB6" s="11" t="n">
        <v>10217</v>
      </c>
      <c r="FC6" s="11" t="n">
        <v>4212</v>
      </c>
      <c r="FD6" s="11" t="n">
        <v>-6961</v>
      </c>
      <c r="FE6" s="11" t="n">
        <v>669422</v>
      </c>
      <c r="FF6" s="11" t="n">
        <v>-13914452</v>
      </c>
      <c r="FG6" s="11" t="n">
        <v>-2100726</v>
      </c>
      <c r="FH6" s="11" t="n">
        <v>1827828</v>
      </c>
      <c r="FI6" s="11" t="n">
        <v>-302441</v>
      </c>
      <c r="FJ6" s="11" t="n">
        <v>-4491</v>
      </c>
      <c r="FK6" s="11" t="n">
        <v>-46927</v>
      </c>
      <c r="FL6" s="11" t="n">
        <v>-855747</v>
      </c>
      <c r="FM6" s="11" t="n">
        <v>1801216</v>
      </c>
      <c r="FN6" s="11" t="n">
        <v>159525</v>
      </c>
      <c r="FO6" s="11" t="n">
        <v>-8152190</v>
      </c>
      <c r="FP6" s="11" t="n">
        <v>319053</v>
      </c>
      <c r="FQ6" s="11" t="n">
        <v>-11880815</v>
      </c>
      <c r="FR6" s="11" t="n">
        <v>1659092</v>
      </c>
      <c r="FS6" s="11" t="n">
        <v>1290119</v>
      </c>
      <c r="FT6" s="11" t="n">
        <v>-4051570</v>
      </c>
      <c r="FU6" s="11" t="n">
        <v>429502270</v>
      </c>
      <c r="FV6" s="11" t="n">
        <v>-585940890</v>
      </c>
      <c r="FW6" s="11" t="n">
        <v>-229451580</v>
      </c>
      <c r="FX6" s="11" t="n">
        <v>-10904804</v>
      </c>
      <c r="FY6" s="11" t="n">
        <v>22107467</v>
      </c>
      <c r="FZ6" s="11" t="n">
        <v>8338889</v>
      </c>
      <c r="GA6" s="11" t="n">
        <v>-766526729</v>
      </c>
      <c r="GB6" s="11" t="n">
        <v>-266426903</v>
      </c>
      <c r="GC6" s="11" t="n">
        <v>-46030845</v>
      </c>
      <c r="GD6" s="11" t="n">
        <v>405872</v>
      </c>
      <c r="GE6" s="11" t="n">
        <v>-9516230</v>
      </c>
      <c r="GF6" s="11" t="n">
        <v>598588</v>
      </c>
      <c r="GG6" s="11" t="n">
        <v>1791216</v>
      </c>
      <c r="GH6" s="11" t="n">
        <v>-219071</v>
      </c>
      <c r="GI6" s="11" t="n">
        <v>59174</v>
      </c>
      <c r="GJ6" s="11" t="n">
        <v>-5872</v>
      </c>
      <c r="GK6" s="11" t="n">
        <v>-1064326</v>
      </c>
      <c r="GL6" s="11" t="n">
        <v>1104493</v>
      </c>
      <c r="GM6" s="11" t="n">
        <v>-269810</v>
      </c>
      <c r="GN6" s="11" t="n">
        <v>16654086</v>
      </c>
      <c r="GO6" s="11" t="n">
        <v>-28874668</v>
      </c>
      <c r="GP6" s="11" t="n">
        <v>-10533456</v>
      </c>
      <c r="GQ6" s="11" t="n">
        <v>652444726</v>
      </c>
      <c r="GR6" s="11" t="n">
        <v>173472732</v>
      </c>
      <c r="GS6" s="11" t="n">
        <v>111896280</v>
      </c>
      <c r="GT6" s="11" t="n">
        <v>13157137</v>
      </c>
      <c r="GU6" s="11" t="n">
        <v>5926419</v>
      </c>
      <c r="GV6" s="11" t="n">
        <v>-1953470</v>
      </c>
      <c r="GW6" s="11" t="n">
        <v>95127185</v>
      </c>
      <c r="GX6" s="11" t="n">
        <v>-22924</v>
      </c>
      <c r="GY6" s="11" t="n">
        <v>49915542</v>
      </c>
      <c r="GZ6" s="11" t="n">
        <v>1378237</v>
      </c>
      <c r="HA6" s="11" t="n">
        <v>45238585</v>
      </c>
      <c r="HB6" s="11" t="n">
        <v>24304108</v>
      </c>
      <c r="HC6" s="11" t="n">
        <v>6053843</v>
      </c>
      <c r="HD6" s="11" t="n">
        <v>370180</v>
      </c>
      <c r="HE6" s="11" t="n">
        <v>12940</v>
      </c>
      <c r="HF6" s="11" t="n">
        <v>339968</v>
      </c>
      <c r="HG6" s="11" t="n">
        <v>205324</v>
      </c>
      <c r="HH6" s="11" t="n">
        <v>50884</v>
      </c>
      <c r="HI6" s="11" t="n">
        <v>-5920055</v>
      </c>
      <c r="HJ6" s="11" t="n">
        <v>-9739469</v>
      </c>
      <c r="HK6" s="11" t="n">
        <v>-54613682</v>
      </c>
      <c r="HL6" s="11" t="n">
        <v>-13038337</v>
      </c>
      <c r="HM6" s="11" t="n">
        <v>5096441</v>
      </c>
      <c r="HN6" s="11" t="n">
        <v>1374543</v>
      </c>
      <c r="HO6" s="11" t="n">
        <v>357988</v>
      </c>
      <c r="HP6" s="11" t="n">
        <v>-44754329</v>
      </c>
      <c r="HQ6" s="11" t="n">
        <v>-10635459</v>
      </c>
      <c r="HR6" s="11" t="n">
        <v>275215</v>
      </c>
      <c r="HS6" s="11" t="n">
        <v>-48360674</v>
      </c>
      <c r="HT6" s="11" t="n">
        <v>-1466987</v>
      </c>
      <c r="HU6" s="11" t="n">
        <v>-43869119</v>
      </c>
      <c r="HV6" s="11" t="n">
        <v>-23361176</v>
      </c>
      <c r="HW6" s="11" t="n">
        <v>-5812161</v>
      </c>
      <c r="HX6" s="11" t="n">
        <v>286729234</v>
      </c>
      <c r="HY6" s="11" t="n">
        <v>86476642</v>
      </c>
      <c r="HZ6" s="11" t="n">
        <v>-404697350</v>
      </c>
      <c r="IA6" s="11" t="n">
        <v>-115632580</v>
      </c>
      <c r="IB6" s="11" t="n">
        <v>-257475708</v>
      </c>
      <c r="IC6" s="11" t="n">
        <v>-150784041</v>
      </c>
      <c r="ID6" s="11" t="n">
        <v>-37967791</v>
      </c>
      <c r="IE6" s="11" t="n">
        <v>-408884133</v>
      </c>
      <c r="IF6" s="11" t="n">
        <v>-115286143</v>
      </c>
      <c r="IG6" s="11" t="n">
        <v>-7219645</v>
      </c>
      <c r="IH6" s="11" t="n">
        <v>-3609225</v>
      </c>
      <c r="II6" s="11" t="n">
        <v>-8794763</v>
      </c>
      <c r="IJ6" s="11" t="n">
        <v>-55913754</v>
      </c>
      <c r="IK6" s="11" t="n">
        <v>-13489739</v>
      </c>
      <c r="IL6" s="11" t="n">
        <v>3007231</v>
      </c>
      <c r="IM6" s="11" t="n">
        <v>47373</v>
      </c>
      <c r="IN6" s="11" t="n">
        <v>24568</v>
      </c>
      <c r="IO6" s="11" t="n">
        <v>-46472287</v>
      </c>
      <c r="IP6" s="11" t="n">
        <v>-11179877</v>
      </c>
      <c r="IQ6" s="11" t="n">
        <v>203545</v>
      </c>
      <c r="IR6" s="11" t="n">
        <v>45690058</v>
      </c>
      <c r="IS6" s="11" t="n">
        <v>361714389</v>
      </c>
      <c r="IT6" s="11" t="n">
        <v>88610149</v>
      </c>
      <c r="IU6" s="11" t="n">
        <v>173580107</v>
      </c>
      <c r="IV6" s="11" t="n">
        <v>45150497</v>
      </c>
      <c r="IW6" s="11" t="n">
        <v>20805955</v>
      </c>
      <c r="IX6" s="11" t="n">
        <v>-300783201</v>
      </c>
      <c r="IY6" s="11" t="n">
        <v>-73519571</v>
      </c>
      <c r="IZ6" s="11" t="n">
        <v>1299135</v>
      </c>
      <c r="JA6" s="11" t="n">
        <v>17924600</v>
      </c>
      <c r="JB6" s="11" t="n">
        <v>2563914</v>
      </c>
      <c r="JC6" s="11" t="n">
        <v>89425</v>
      </c>
      <c r="JD6" s="11" t="n">
        <v>2233509</v>
      </c>
      <c r="JE6" s="11" t="n">
        <v>1353668</v>
      </c>
      <c r="JF6" s="11" t="n">
        <v>354835</v>
      </c>
      <c r="JG6" s="11" t="n">
        <v>-40569543</v>
      </c>
      <c r="JH6" s="11" t="n">
        <v>196345713</v>
      </c>
      <c r="JI6" s="11" t="n">
        <v>-229254456</v>
      </c>
      <c r="JJ6" s="11" t="n">
        <v>-95543907</v>
      </c>
      <c r="JK6" s="11" t="n">
        <v>42189658</v>
      </c>
      <c r="JL6" s="11" t="n">
        <v>13423466</v>
      </c>
      <c r="JM6" s="11" t="n">
        <v>2282245</v>
      </c>
      <c r="JN6" s="11" t="n">
        <v>-303375542</v>
      </c>
      <c r="JO6" s="11" t="n">
        <v>-110404837</v>
      </c>
      <c r="JP6" s="11" t="n">
        <v>-18716394</v>
      </c>
      <c r="JQ6" s="11" t="n">
        <v>3215</v>
      </c>
      <c r="JR6" s="11" t="n">
        <v>1956393</v>
      </c>
      <c r="JS6" s="11" t="n">
        <v>1105054</v>
      </c>
      <c r="JT6" s="11" t="n">
        <v>-38851</v>
      </c>
      <c r="JU6" s="11" t="n">
        <v>65435</v>
      </c>
      <c r="JV6" s="11" t="n">
        <v>36845</v>
      </c>
      <c r="JW6" s="11" t="n">
        <v>-1800</v>
      </c>
      <c r="JX6" s="11" t="n">
        <v>-70267</v>
      </c>
      <c r="JY6" s="11" t="n">
        <v>-304601</v>
      </c>
      <c r="JZ6" s="11" t="n">
        <v>-173447</v>
      </c>
      <c r="KA6" s="11" t="n">
        <v>-31202771</v>
      </c>
      <c r="KB6" s="11" t="n">
        <v>-17198113</v>
      </c>
      <c r="KC6" s="11" t="n">
        <v>734557</v>
      </c>
      <c r="KD6" s="11" t="n">
        <v>259558015</v>
      </c>
      <c r="KE6" s="11" t="n">
        <v>69929492</v>
      </c>
      <c r="KF6" s="11" t="n">
        <v>44653581</v>
      </c>
      <c r="KG6" s="11" t="n">
        <v>7560676</v>
      </c>
      <c r="KH6" s="11" t="n">
        <v>-2519207</v>
      </c>
      <c r="KI6" s="11" t="n">
        <v>-1210529</v>
      </c>
      <c r="KJ6" s="11" t="n">
        <v>37900307</v>
      </c>
      <c r="KK6" s="11" t="n">
        <v>24577943</v>
      </c>
      <c r="KL6" s="11" t="n">
        <v>-194671425</v>
      </c>
      <c r="KM6" s="11" t="n">
        <v>242900482</v>
      </c>
      <c r="KN6" s="11" t="n">
        <v>98507189</v>
      </c>
      <c r="KO6" s="11" t="n">
        <v>-28200458</v>
      </c>
      <c r="KP6" s="11" t="n">
        <v>-4504441</v>
      </c>
      <c r="KQ6" s="11" t="n">
        <v>34280</v>
      </c>
      <c r="KR6" s="11" t="n">
        <v>314379067</v>
      </c>
      <c r="KS6" s="11" t="n">
        <v>112754534</v>
      </c>
      <c r="KT6" s="11" t="n">
        <v>18392363</v>
      </c>
      <c r="KU6" s="11" t="n">
        <v>1198151344</v>
      </c>
      <c r="KV6" s="11" t="n">
        <v>-1645826887</v>
      </c>
      <c r="KW6" s="11" t="n">
        <v>-642813659</v>
      </c>
      <c r="KX6" s="11" t="n">
        <v>1194726769</v>
      </c>
      <c r="KY6" s="11" t="n">
        <v>289321613</v>
      </c>
      <c r="KZ6" s="11" t="n">
        <v>243553035</v>
      </c>
      <c r="LA6" s="11" t="n">
        <v>2107990650</v>
      </c>
      <c r="LB6" s="11" t="n">
        <v>735886114</v>
      </c>
      <c r="LC6" s="11" t="n">
        <v>120105053</v>
      </c>
      <c r="LD6" s="11" t="n">
        <v>224759239</v>
      </c>
      <c r="LE6" s="11" t="n">
        <v>-18998291</v>
      </c>
      <c r="LF6" s="11" t="n">
        <v>-10288578</v>
      </c>
      <c r="LG6" s="11" t="n">
        <v>495952</v>
      </c>
      <c r="LH6" s="11" t="n">
        <v>269248984</v>
      </c>
      <c r="LI6" s="11" t="n">
        <v>72215993</v>
      </c>
      <c r="LJ6" s="11" t="n">
        <v>46137542</v>
      </c>
      <c r="LK6" s="11" t="n">
        <v>8323151</v>
      </c>
      <c r="LL6" s="11" t="n">
        <v>-542552</v>
      </c>
      <c r="LM6" s="11" t="n">
        <v>-76544</v>
      </c>
      <c r="LN6" s="11" t="n">
        <v>39327021</v>
      </c>
      <c r="LO6" s="11" t="n">
        <v>-1773751843</v>
      </c>
      <c r="LP6" s="11" t="n">
        <v>-472705767</v>
      </c>
      <c r="LQ6" s="11" t="n">
        <v>-302299082</v>
      </c>
      <c r="LR6" s="11" t="n">
        <v>-43040881</v>
      </c>
      <c r="LS6" s="11" t="n">
        <v>257747083</v>
      </c>
    </row>
    <row r="7" customFormat="false" ht="15" hidden="false" customHeight="true" outlineLevel="0" collapsed="false">
      <c r="A7" s="7" t="s">
        <v>73</v>
      </c>
      <c r="B7" s="11" t="n">
        <v>1463750</v>
      </c>
      <c r="C7" s="11" t="n">
        <v>-184607360</v>
      </c>
      <c r="D7" s="11" t="n">
        <v>6208562</v>
      </c>
      <c r="E7" s="11" t="n">
        <v>-732847192</v>
      </c>
      <c r="F7" s="11" t="n">
        <v>50723854</v>
      </c>
      <c r="G7" s="11" t="n">
        <v>-1291280434</v>
      </c>
      <c r="H7" s="11" t="n">
        <v>-173023190</v>
      </c>
      <c r="I7" s="11" t="n">
        <v>-213548272</v>
      </c>
      <c r="J7" s="11" t="n">
        <v>7161980</v>
      </c>
      <c r="K7" s="11" t="n">
        <v>-257516</v>
      </c>
      <c r="L7" s="11" t="n">
        <v>39940106</v>
      </c>
      <c r="M7" s="11" t="n">
        <v>-2385922</v>
      </c>
      <c r="N7" s="11" t="n">
        <v>65485362</v>
      </c>
      <c r="O7" s="11" t="n">
        <v>5734170</v>
      </c>
      <c r="P7" s="11" t="n">
        <v>6636796</v>
      </c>
      <c r="Q7" s="11" t="n">
        <v>2099916</v>
      </c>
      <c r="R7" s="11" t="n">
        <v>-1451477776</v>
      </c>
      <c r="S7" s="11" t="n">
        <v>52724532</v>
      </c>
      <c r="T7" s="11" t="n">
        <v>-1940874572</v>
      </c>
      <c r="U7" s="11" t="n">
        <v>123394460</v>
      </c>
      <c r="V7" s="11" t="n">
        <v>207840864</v>
      </c>
      <c r="W7" s="11" t="n">
        <v>40478734</v>
      </c>
      <c r="X7" s="11" t="n">
        <v>-1196202</v>
      </c>
      <c r="Y7" s="11" t="n">
        <v>50585522</v>
      </c>
      <c r="Z7" s="11" t="n">
        <v>-6118046</v>
      </c>
      <c r="AA7" s="11" t="n">
        <v>-9419052</v>
      </c>
      <c r="AB7" s="11" t="n">
        <v>-189513146</v>
      </c>
      <c r="AC7" s="11" t="n">
        <v>2447900086</v>
      </c>
      <c r="AD7" s="11" t="n">
        <v>1850243666</v>
      </c>
      <c r="AE7" s="11" t="n">
        <v>2504104736</v>
      </c>
      <c r="AF7" s="11" t="n">
        <v>164492260</v>
      </c>
      <c r="AG7" s="11" t="n">
        <v>-83320672</v>
      </c>
      <c r="AH7" s="11" t="n">
        <v>-118097796</v>
      </c>
      <c r="AI7" s="11" t="n">
        <v>2682196212</v>
      </c>
      <c r="AJ7" s="11" t="n">
        <v>3698938396</v>
      </c>
      <c r="AK7" s="11" t="n">
        <v>52059764</v>
      </c>
      <c r="AL7" s="11" t="n">
        <v>73021400</v>
      </c>
      <c r="AM7" s="11" t="n">
        <v>-1957130</v>
      </c>
      <c r="AN7" s="11" t="n">
        <v>311667080</v>
      </c>
      <c r="AO7" s="11" t="n">
        <v>-16894460</v>
      </c>
      <c r="AP7" s="11" t="n">
        <v>536846160</v>
      </c>
      <c r="AQ7" s="11" t="n">
        <v>70784350</v>
      </c>
      <c r="AR7" s="11" t="n">
        <v>86426280</v>
      </c>
      <c r="AS7" s="11" t="n">
        <v>-62891400</v>
      </c>
      <c r="AT7" s="11" t="n">
        <v>-2748084640</v>
      </c>
      <c r="AU7" s="11" t="n">
        <v>-399716600</v>
      </c>
      <c r="AV7" s="11" t="n">
        <v>-3289255160</v>
      </c>
      <c r="AW7" s="11" t="n">
        <v>-295758440</v>
      </c>
      <c r="AX7" s="11" t="n">
        <v>-246854720</v>
      </c>
      <c r="AY7" s="11" t="n">
        <v>342085168</v>
      </c>
      <c r="AZ7" s="11" t="n">
        <v>-3837490</v>
      </c>
      <c r="BA7" s="11" t="n">
        <v>550530482</v>
      </c>
      <c r="BB7" s="11" t="n">
        <v>68891648</v>
      </c>
      <c r="BC7" s="11" t="n">
        <v>81052904</v>
      </c>
      <c r="BD7" s="11" t="n">
        <v>-2341860216</v>
      </c>
      <c r="BE7" s="11" t="n">
        <v>6164578264</v>
      </c>
      <c r="BF7" s="11" t="n">
        <v>1401550992</v>
      </c>
      <c r="BG7" s="11" t="n">
        <v>2198947744</v>
      </c>
      <c r="BH7" s="11" t="n">
        <v>3699689564</v>
      </c>
      <c r="BI7" s="11" t="n">
        <v>455898666</v>
      </c>
      <c r="BJ7" s="11" t="n">
        <v>530207528</v>
      </c>
      <c r="BK7" s="11" t="n">
        <v>1014100054</v>
      </c>
      <c r="BL7" s="11" t="n">
        <v>2078227464</v>
      </c>
      <c r="BM7" s="11" t="n">
        <v>110760008</v>
      </c>
      <c r="BN7" s="11" t="n">
        <v>3270540</v>
      </c>
      <c r="BO7" s="11" t="n">
        <v>-467517720</v>
      </c>
      <c r="BP7" s="11" t="n">
        <v>36362480</v>
      </c>
      <c r="BQ7" s="11" t="n">
        <v>-640103400</v>
      </c>
      <c r="BR7" s="11" t="n">
        <v>60282820</v>
      </c>
      <c r="BS7" s="11" t="n">
        <v>91788320</v>
      </c>
      <c r="BT7" s="11" t="n">
        <v>-1428714</v>
      </c>
      <c r="BU7" s="11" t="n">
        <v>-217910</v>
      </c>
      <c r="BV7" s="11" t="n">
        <v>-6888546</v>
      </c>
      <c r="BW7" s="11" t="n">
        <v>-4786054</v>
      </c>
      <c r="BX7" s="11" t="n">
        <v>-6331052</v>
      </c>
      <c r="BY7" s="11" t="n">
        <v>47034548</v>
      </c>
      <c r="BZ7" s="11" t="n">
        <v>705080088</v>
      </c>
      <c r="CA7" s="11" t="n">
        <v>710491834</v>
      </c>
      <c r="CB7" s="11" t="n">
        <v>945109448</v>
      </c>
      <c r="CC7" s="11" t="n">
        <v>-119237052</v>
      </c>
      <c r="CD7" s="11" t="n">
        <v>-49195718</v>
      </c>
      <c r="CE7" s="11" t="n">
        <v>-64274144</v>
      </c>
      <c r="CF7" s="11" t="n">
        <v>1063686858</v>
      </c>
      <c r="CG7" s="11" t="n">
        <v>1432428888</v>
      </c>
      <c r="CH7" s="11" t="n">
        <v>17627116</v>
      </c>
      <c r="CI7" s="11" t="n">
        <v>525744024</v>
      </c>
      <c r="CJ7" s="11" t="n">
        <v>-13415220</v>
      </c>
      <c r="CK7" s="11" t="n">
        <v>698625876</v>
      </c>
      <c r="CL7" s="11" t="n">
        <v>-38673336</v>
      </c>
      <c r="CM7" s="11" t="n">
        <v>-67998528</v>
      </c>
      <c r="CN7" s="11" t="n">
        <v>-3927639928</v>
      </c>
      <c r="CO7" s="11" t="n">
        <v>3030252072</v>
      </c>
      <c r="CP7" s="11" t="n">
        <v>-4162267544</v>
      </c>
      <c r="CQ7" s="11" t="n">
        <v>-5034839488</v>
      </c>
      <c r="CR7" s="11" t="n">
        <v>5141854712</v>
      </c>
      <c r="CS7" s="11" t="n">
        <v>-182707172</v>
      </c>
      <c r="CT7" s="11" t="n">
        <v>-379519776</v>
      </c>
      <c r="CU7" s="11" t="n">
        <v>-5308054348</v>
      </c>
      <c r="CV7" s="11" t="n">
        <v>-6298533728</v>
      </c>
      <c r="CW7" s="11" t="n">
        <v>-167979136</v>
      </c>
      <c r="CX7" s="11" t="n">
        <v>40889698</v>
      </c>
      <c r="CY7" s="11" t="n">
        <v>802153566</v>
      </c>
      <c r="CZ7" s="11" t="n">
        <v>786259280</v>
      </c>
      <c r="DA7" s="11" t="n">
        <v>1047430456</v>
      </c>
      <c r="DB7" s="11" t="n">
        <v>-74803832</v>
      </c>
      <c r="DC7" s="11" t="n">
        <v>-17054878</v>
      </c>
      <c r="DD7" s="11" t="n">
        <v>-21438324</v>
      </c>
      <c r="DE7" s="11" t="n">
        <v>1103812894</v>
      </c>
      <c r="DF7" s="11" t="n">
        <v>1495608596</v>
      </c>
      <c r="DG7" s="11" t="n">
        <v>24644776</v>
      </c>
      <c r="DH7" s="11" t="n">
        <v>-6228271396</v>
      </c>
      <c r="DI7" s="11" t="n">
        <v>-5550133422</v>
      </c>
      <c r="DJ7" s="11" t="n">
        <v>-7433382856</v>
      </c>
      <c r="DK7" s="11" t="n">
        <v>10882371086</v>
      </c>
      <c r="DL7" s="11" t="n">
        <v>13719019960</v>
      </c>
      <c r="DM7" s="11" t="n">
        <v>-762721976</v>
      </c>
      <c r="DN7" s="11" t="n">
        <v>7555664492</v>
      </c>
      <c r="DO7" s="11" t="n">
        <v>10333209656</v>
      </c>
      <c r="DP7" s="11" t="n">
        <v>190509580</v>
      </c>
      <c r="DQ7" s="11" t="n">
        <v>-1411870076</v>
      </c>
      <c r="DR7" s="11" t="n">
        <v>-252785</v>
      </c>
      <c r="DS7" s="11" t="n">
        <v>-8153</v>
      </c>
      <c r="DT7" s="11" t="n">
        <v>1669873</v>
      </c>
      <c r="DU7" s="11" t="n">
        <v>-63801</v>
      </c>
      <c r="DV7" s="11" t="n">
        <v>2025946</v>
      </c>
      <c r="DW7" s="11" t="n">
        <v>160110</v>
      </c>
      <c r="DX7" s="11" t="n">
        <v>205643</v>
      </c>
      <c r="DY7" s="11" t="n">
        <v>2100451</v>
      </c>
      <c r="DZ7" s="11" t="n">
        <v>-337163876</v>
      </c>
      <c r="EA7" s="11" t="n">
        <v>16806397</v>
      </c>
      <c r="EB7" s="11" t="n">
        <v>-478511267</v>
      </c>
      <c r="EC7" s="11" t="n">
        <v>-50073545</v>
      </c>
      <c r="ED7" s="11" t="n">
        <v>-62814696</v>
      </c>
      <c r="EE7" s="11" t="n">
        <v>3000927</v>
      </c>
      <c r="EF7" s="11" t="n">
        <v>11914</v>
      </c>
      <c r="EG7" s="11" t="n">
        <v>1400787</v>
      </c>
      <c r="EH7" s="11" t="n">
        <v>-284615</v>
      </c>
      <c r="EI7" s="11" t="n">
        <v>-317207</v>
      </c>
      <c r="EJ7" s="11" t="n">
        <v>-25923833</v>
      </c>
      <c r="EK7" s="11" t="n">
        <v>458797947</v>
      </c>
      <c r="EL7" s="11" t="n">
        <v>117226705</v>
      </c>
      <c r="EM7" s="11" t="n">
        <v>140661724</v>
      </c>
      <c r="EN7" s="11" t="n">
        <v>13922327</v>
      </c>
      <c r="EO7" s="11" t="n">
        <v>-1993275</v>
      </c>
      <c r="EP7" s="11" t="n">
        <v>-2181785</v>
      </c>
      <c r="EQ7" s="11" t="n">
        <v>98233120</v>
      </c>
      <c r="ER7" s="11" t="n">
        <v>114155071</v>
      </c>
      <c r="ES7" s="11" t="n">
        <v>-949475</v>
      </c>
      <c r="ET7" s="11" t="n">
        <v>-84364</v>
      </c>
      <c r="EU7" s="11" t="n">
        <v>15068049</v>
      </c>
      <c r="EV7" s="11" t="n">
        <v>-724213</v>
      </c>
      <c r="EW7" s="11" t="n">
        <v>21221863</v>
      </c>
      <c r="EX7" s="11" t="n">
        <v>1773675</v>
      </c>
      <c r="EY7" s="11" t="n">
        <v>2152344</v>
      </c>
      <c r="EZ7" s="11" t="n">
        <v>-71315</v>
      </c>
      <c r="FA7" s="11" t="n">
        <v>-2065</v>
      </c>
      <c r="FB7" s="11" t="n">
        <v>8327</v>
      </c>
      <c r="FC7" s="11" t="n">
        <v>3771</v>
      </c>
      <c r="FD7" s="11" t="n">
        <v>788</v>
      </c>
      <c r="FE7" s="11" t="n">
        <v>981020</v>
      </c>
      <c r="FF7" s="11" t="n">
        <v>-19426637</v>
      </c>
      <c r="FG7" s="11" t="n">
        <v>-2172861</v>
      </c>
      <c r="FH7" s="11" t="n">
        <v>-1960173</v>
      </c>
      <c r="FI7" s="11" t="n">
        <v>-447971</v>
      </c>
      <c r="FJ7" s="11" t="n">
        <v>-11043</v>
      </c>
      <c r="FK7" s="11" t="n">
        <v>-45919</v>
      </c>
      <c r="FL7" s="11" t="n">
        <v>-773532</v>
      </c>
      <c r="FM7" s="11" t="n">
        <v>14221</v>
      </c>
      <c r="FN7" s="11" t="n">
        <v>79641</v>
      </c>
      <c r="FO7" s="11" t="n">
        <v>-12679571</v>
      </c>
      <c r="FP7" s="11" t="n">
        <v>408723</v>
      </c>
      <c r="FQ7" s="11" t="n">
        <v>-16640065</v>
      </c>
      <c r="FR7" s="11" t="n">
        <v>1973563</v>
      </c>
      <c r="FS7" s="11" t="n">
        <v>3079320</v>
      </c>
      <c r="FT7" s="11" t="n">
        <v>35845289</v>
      </c>
      <c r="FU7" s="11" t="n">
        <v>-217519367</v>
      </c>
      <c r="FV7" s="11" t="n">
        <v>-619069533</v>
      </c>
      <c r="FW7" s="11" t="n">
        <v>-873478536</v>
      </c>
      <c r="FX7" s="11" t="n">
        <v>-40029964</v>
      </c>
      <c r="FY7" s="11" t="n">
        <v>25534846</v>
      </c>
      <c r="FZ7" s="11" t="n">
        <v>36861648</v>
      </c>
      <c r="GA7" s="11" t="n">
        <v>-846294046</v>
      </c>
      <c r="GB7" s="11" t="n">
        <v>-1199137680</v>
      </c>
      <c r="GC7" s="11" t="n">
        <v>-14389152</v>
      </c>
      <c r="GD7" s="11" t="n">
        <v>655865</v>
      </c>
      <c r="GE7" s="11" t="n">
        <v>-15317778</v>
      </c>
      <c r="GF7" s="11" t="n">
        <v>1101536</v>
      </c>
      <c r="GG7" s="11" t="n">
        <v>2484593</v>
      </c>
      <c r="GH7" s="11" t="n">
        <v>-366961</v>
      </c>
      <c r="GI7" s="11" t="n">
        <v>66577</v>
      </c>
      <c r="GJ7" s="11" t="n">
        <v>79191</v>
      </c>
      <c r="GK7" s="11" t="n">
        <v>-938594</v>
      </c>
      <c r="GL7" s="11" t="n">
        <v>-459365</v>
      </c>
      <c r="GM7" s="11" t="n">
        <v>-119209</v>
      </c>
      <c r="GN7" s="11" t="n">
        <v>32052097</v>
      </c>
      <c r="GO7" s="11" t="n">
        <v>-35136119</v>
      </c>
      <c r="GP7" s="11" t="n">
        <v>-52205627</v>
      </c>
      <c r="GQ7" s="11" t="n">
        <v>766774766</v>
      </c>
      <c r="GR7" s="11" t="n">
        <v>1097844509</v>
      </c>
      <c r="GS7" s="11" t="n">
        <v>45424863</v>
      </c>
      <c r="GT7" s="11" t="n">
        <v>16405286</v>
      </c>
      <c r="GU7" s="11" t="n">
        <v>25339348</v>
      </c>
      <c r="GV7" s="11" t="n">
        <v>-1056970</v>
      </c>
      <c r="GW7" s="11" t="n">
        <v>44275402</v>
      </c>
      <c r="GX7" s="11" t="n">
        <v>-744715</v>
      </c>
      <c r="GY7" s="11" t="n">
        <v>137128080</v>
      </c>
      <c r="GZ7" s="11" t="n">
        <v>-6100430</v>
      </c>
      <c r="HA7" s="11" t="n">
        <v>193779040</v>
      </c>
      <c r="HB7" s="11" t="n">
        <v>20211565</v>
      </c>
      <c r="HC7" s="11" t="n">
        <v>25184360</v>
      </c>
      <c r="HD7" s="11" t="n">
        <v>-496763</v>
      </c>
      <c r="HE7" s="11" t="n">
        <v>-8795</v>
      </c>
      <c r="HF7" s="11" t="n">
        <v>281378</v>
      </c>
      <c r="HG7" s="11" t="n">
        <v>180187</v>
      </c>
      <c r="HH7" s="11" t="n">
        <v>206431</v>
      </c>
      <c r="HI7" s="11" t="n">
        <v>5688766</v>
      </c>
      <c r="HJ7" s="11" t="n">
        <v>-181072064</v>
      </c>
      <c r="HK7" s="11" t="n">
        <v>-46660877</v>
      </c>
      <c r="HL7" s="11" t="n">
        <v>-54810424</v>
      </c>
      <c r="HM7" s="11" t="n">
        <v>16436</v>
      </c>
      <c r="HN7" s="11" t="n">
        <v>1237329</v>
      </c>
      <c r="HO7" s="11" t="n">
        <v>1393582</v>
      </c>
      <c r="HP7" s="11" t="n">
        <v>-39249074</v>
      </c>
      <c r="HQ7" s="11" t="n">
        <v>-44199024</v>
      </c>
      <c r="HR7" s="11" t="n">
        <v>490927</v>
      </c>
      <c r="HS7" s="11" t="n">
        <v>-146131364</v>
      </c>
      <c r="HT7" s="11" t="n">
        <v>1177595</v>
      </c>
      <c r="HU7" s="11" t="n">
        <v>-200442511</v>
      </c>
      <c r="HV7" s="11" t="n">
        <v>-20424004</v>
      </c>
      <c r="HW7" s="11" t="n">
        <v>-24208192</v>
      </c>
      <c r="HX7" s="11" t="n">
        <v>980217688</v>
      </c>
      <c r="HY7" s="11" t="n">
        <v>-1115727152</v>
      </c>
      <c r="HZ7" s="11" t="n">
        <v>-205231676</v>
      </c>
      <c r="IA7" s="11" t="n">
        <v>-484214752</v>
      </c>
      <c r="IB7" s="11" t="n">
        <v>-1335534102</v>
      </c>
      <c r="IC7" s="11" t="n">
        <v>-135345963</v>
      </c>
      <c r="ID7" s="11" t="n">
        <v>-158481304</v>
      </c>
      <c r="IE7" s="11" t="n">
        <v>-125568777</v>
      </c>
      <c r="IF7" s="11" t="n">
        <v>-479345992</v>
      </c>
      <c r="IG7" s="11" t="n">
        <v>-33677344</v>
      </c>
      <c r="IH7" s="11" t="n">
        <v>2511311</v>
      </c>
      <c r="II7" s="11" t="n">
        <v>-188918679</v>
      </c>
      <c r="IJ7" s="11" t="n">
        <v>-48980968</v>
      </c>
      <c r="IK7" s="11" t="n">
        <v>-56654932</v>
      </c>
      <c r="IL7" s="11" t="n">
        <v>-1922269</v>
      </c>
      <c r="IM7" s="11" t="n">
        <v>43719</v>
      </c>
      <c r="IN7" s="11" t="n">
        <v>40527</v>
      </c>
      <c r="IO7" s="11" t="n">
        <v>-40781063</v>
      </c>
      <c r="IP7" s="11" t="n">
        <v>-46414931</v>
      </c>
      <c r="IQ7" s="11" t="n">
        <v>195852</v>
      </c>
      <c r="IR7" s="11" t="n">
        <v>1248051670</v>
      </c>
      <c r="IS7" s="11" t="n">
        <v>325026807</v>
      </c>
      <c r="IT7" s="11" t="n">
        <v>371707696</v>
      </c>
      <c r="IU7" s="11" t="n">
        <v>-108650863</v>
      </c>
      <c r="IV7" s="11" t="n">
        <v>193427096</v>
      </c>
      <c r="IW7" s="11" t="n">
        <v>82733236</v>
      </c>
      <c r="IX7" s="11" t="n">
        <v>-270517083</v>
      </c>
      <c r="IY7" s="11" t="n">
        <v>-304662374</v>
      </c>
      <c r="IZ7" s="11" t="n">
        <v>1225785</v>
      </c>
      <c r="JA7" s="11" t="n">
        <v>68448419</v>
      </c>
      <c r="JB7" s="11" t="n">
        <v>1373781</v>
      </c>
      <c r="JC7" s="11" t="n">
        <v>97615</v>
      </c>
      <c r="JD7" s="11" t="n">
        <v>2150979</v>
      </c>
      <c r="JE7" s="11" t="n">
        <v>1520051</v>
      </c>
      <c r="JF7" s="11" t="n">
        <v>2064088</v>
      </c>
      <c r="JG7" s="11" t="n">
        <v>-29227842</v>
      </c>
      <c r="JH7" s="11" t="n">
        <v>-38604912</v>
      </c>
      <c r="JI7" s="11" t="n">
        <v>-242610141</v>
      </c>
      <c r="JJ7" s="11" t="n">
        <v>-333613032</v>
      </c>
      <c r="JK7" s="11" t="n">
        <v>43019998</v>
      </c>
      <c r="JL7" s="11" t="n">
        <v>15100967</v>
      </c>
      <c r="JM7" s="11" t="n">
        <v>20209336</v>
      </c>
      <c r="JN7" s="11" t="n">
        <v>-337148267</v>
      </c>
      <c r="JO7" s="11" t="n">
        <v>-464346712</v>
      </c>
      <c r="JP7" s="11" t="n">
        <v>-4615104</v>
      </c>
      <c r="JQ7" s="11" t="n">
        <v>48890</v>
      </c>
      <c r="JR7" s="11" t="n">
        <v>1953873</v>
      </c>
      <c r="JS7" s="11" t="n">
        <v>1346344</v>
      </c>
      <c r="JT7" s="11" t="n">
        <v>1757657</v>
      </c>
      <c r="JU7" s="11" t="n">
        <v>62285</v>
      </c>
      <c r="JV7" s="11" t="n">
        <v>41570</v>
      </c>
      <c r="JW7" s="11" t="n">
        <v>51435</v>
      </c>
      <c r="JX7" s="11" t="n">
        <v>-53887</v>
      </c>
      <c r="JY7" s="11" t="n">
        <v>-183641</v>
      </c>
      <c r="JZ7" s="11" t="n">
        <v>-78065</v>
      </c>
      <c r="KA7" s="11" t="n">
        <v>-40195706</v>
      </c>
      <c r="KB7" s="11" t="n">
        <v>-20010118</v>
      </c>
      <c r="KC7" s="11" t="n">
        <v>-25522394</v>
      </c>
      <c r="KD7" s="11" t="n">
        <v>307220665</v>
      </c>
      <c r="KE7" s="11" t="n">
        <v>425091992</v>
      </c>
      <c r="KF7" s="11" t="n">
        <v>16547391</v>
      </c>
      <c r="KG7" s="11" t="n">
        <v>8684911</v>
      </c>
      <c r="KH7" s="11" t="n">
        <v>9773038</v>
      </c>
      <c r="KI7" s="11" t="n">
        <v>-649325</v>
      </c>
      <c r="KJ7" s="11" t="n">
        <v>17151257</v>
      </c>
      <c r="KK7" s="11" t="n">
        <v>21326777</v>
      </c>
      <c r="KL7" s="11" t="n">
        <v>52317171</v>
      </c>
      <c r="KM7" s="11" t="n">
        <v>260595016</v>
      </c>
      <c r="KN7" s="11" t="n">
        <v>360367712</v>
      </c>
      <c r="KO7" s="11" t="n">
        <v>-29674678</v>
      </c>
      <c r="KP7" s="11" t="n">
        <v>-5080727</v>
      </c>
      <c r="KQ7" s="11" t="n">
        <v>-6437016</v>
      </c>
      <c r="KR7" s="11" t="n">
        <v>350135603</v>
      </c>
      <c r="KS7" s="11" t="n">
        <v>485635000</v>
      </c>
      <c r="KT7" s="11" t="n">
        <v>7196384</v>
      </c>
      <c r="KU7" s="11" t="n">
        <v>-513764318</v>
      </c>
      <c r="KV7" s="11" t="n">
        <v>-1777967215</v>
      </c>
      <c r="KW7" s="11" t="n">
        <v>-2487936440</v>
      </c>
      <c r="KX7" s="11" t="n">
        <v>1916192299</v>
      </c>
      <c r="KY7" s="11" t="n">
        <v>2578086488</v>
      </c>
      <c r="KZ7" s="11" t="n">
        <v>-357384480</v>
      </c>
      <c r="LA7" s="11" t="n">
        <v>2351518392</v>
      </c>
      <c r="LB7" s="11" t="n">
        <v>3306716416</v>
      </c>
      <c r="LC7" s="11" t="n">
        <v>56066720</v>
      </c>
      <c r="LD7" s="11" t="n">
        <v>-533098016</v>
      </c>
      <c r="LE7" s="11" t="n">
        <v>-28470351</v>
      </c>
      <c r="LF7" s="11" t="n">
        <v>-11626808</v>
      </c>
      <c r="LG7" s="11" t="n">
        <v>-14461389</v>
      </c>
      <c r="LH7" s="11" t="n">
        <v>319361424</v>
      </c>
      <c r="LI7" s="11" t="n">
        <v>445600209</v>
      </c>
      <c r="LJ7" s="11" t="n">
        <v>19757336</v>
      </c>
      <c r="LK7" s="11" t="n">
        <v>9395311</v>
      </c>
      <c r="LL7" s="11" t="n">
        <v>11528838</v>
      </c>
      <c r="LM7" s="11" t="n">
        <v>-64125</v>
      </c>
      <c r="LN7" s="11" t="n">
        <v>17726737</v>
      </c>
      <c r="LO7" s="11" t="n">
        <v>-2093420473</v>
      </c>
      <c r="LP7" s="11" t="n">
        <v>-2972914194</v>
      </c>
      <c r="LQ7" s="11" t="n">
        <v>-150744005</v>
      </c>
      <c r="LR7" s="11" t="n">
        <v>583256249</v>
      </c>
      <c r="LS7" s="11" t="n">
        <v>133357960</v>
      </c>
    </row>
    <row r="8" customFormat="false" ht="15" hidden="false" customHeight="true" outlineLevel="0" collapsed="false">
      <c r="A8" s="7" t="s">
        <v>74</v>
      </c>
      <c r="B8" s="11" t="n">
        <v>-1354543</v>
      </c>
      <c r="C8" s="11" t="n">
        <v>-18824624</v>
      </c>
      <c r="D8" s="11" t="n">
        <v>-1603117</v>
      </c>
      <c r="E8" s="11" t="n">
        <v>-83823052</v>
      </c>
      <c r="F8" s="11" t="n">
        <v>-2059915</v>
      </c>
      <c r="G8" s="11" t="n">
        <v>-57030971</v>
      </c>
      <c r="H8" s="11" t="n">
        <v>50463991</v>
      </c>
      <c r="I8" s="11" t="n">
        <v>42431696</v>
      </c>
      <c r="J8" s="11" t="n">
        <v>-6765420</v>
      </c>
      <c r="K8" s="11" t="n">
        <v>55080</v>
      </c>
      <c r="L8" s="11" t="n">
        <v>-2939490</v>
      </c>
      <c r="M8" s="11" t="n">
        <v>99932</v>
      </c>
      <c r="N8" s="11" t="n">
        <v>-3826360</v>
      </c>
      <c r="O8" s="11" t="n">
        <v>331427</v>
      </c>
      <c r="P8" s="11" t="n">
        <v>1377109</v>
      </c>
      <c r="Q8" s="11" t="n">
        <v>8772420</v>
      </c>
      <c r="R8" s="11" t="n">
        <v>377812560</v>
      </c>
      <c r="S8" s="11" t="n">
        <v>11677276</v>
      </c>
      <c r="T8" s="11" t="n">
        <v>231671260</v>
      </c>
      <c r="U8" s="11" t="n">
        <v>-247442204</v>
      </c>
      <c r="V8" s="11" t="n">
        <v>-192791728</v>
      </c>
      <c r="W8" s="11" t="n">
        <v>-6887430</v>
      </c>
      <c r="X8" s="11" t="n">
        <v>34508</v>
      </c>
      <c r="Y8" s="11" t="n">
        <v>-6847600</v>
      </c>
      <c r="Z8" s="11" t="n">
        <v>2444273</v>
      </c>
      <c r="AA8" s="11" t="n">
        <v>3355231</v>
      </c>
      <c r="AB8" s="11" t="n">
        <v>10654298</v>
      </c>
      <c r="AC8" s="11" t="n">
        <v>-113023510</v>
      </c>
      <c r="AD8" s="11" t="n">
        <v>-89002102</v>
      </c>
      <c r="AE8" s="11" t="n">
        <v>-6861404</v>
      </c>
      <c r="AF8" s="11" t="n">
        <v>-10026404</v>
      </c>
      <c r="AG8" s="11" t="n">
        <v>4227019</v>
      </c>
      <c r="AH8" s="11" t="n">
        <v>5224649</v>
      </c>
      <c r="AI8" s="11" t="n">
        <v>-128598201</v>
      </c>
      <c r="AJ8" s="11" t="n">
        <v>-61881447</v>
      </c>
      <c r="AK8" s="11" t="n">
        <v>-40922589</v>
      </c>
      <c r="AL8" s="11" t="n">
        <v>6596872</v>
      </c>
      <c r="AM8" s="11" t="n">
        <v>125273</v>
      </c>
      <c r="AN8" s="11" t="n">
        <v>21819637</v>
      </c>
      <c r="AO8" s="11" t="n">
        <v>-2674901</v>
      </c>
      <c r="AP8" s="11" t="n">
        <v>13237645</v>
      </c>
      <c r="AQ8" s="11" t="n">
        <v>-20598139</v>
      </c>
      <c r="AR8" s="11" t="n">
        <v>-16588455</v>
      </c>
      <c r="AS8" s="11" t="n">
        <v>-6066504</v>
      </c>
      <c r="AT8" s="11" t="n">
        <v>-104997392</v>
      </c>
      <c r="AU8" s="11" t="n">
        <v>-47206328</v>
      </c>
      <c r="AV8" s="11" t="n">
        <v>-93782424</v>
      </c>
      <c r="AW8" s="11" t="n">
        <v>-40491688</v>
      </c>
      <c r="AX8" s="11" t="n">
        <v>-23886256</v>
      </c>
      <c r="AY8" s="11" t="n">
        <v>18071531</v>
      </c>
      <c r="AZ8" s="11" t="n">
        <v>-3356284</v>
      </c>
      <c r="BA8" s="11" t="n">
        <v>10392474</v>
      </c>
      <c r="BB8" s="11" t="n">
        <v>-19711040</v>
      </c>
      <c r="BC8" s="11" t="n">
        <v>-15708389</v>
      </c>
      <c r="BD8" s="11" t="n">
        <v>-198712749</v>
      </c>
      <c r="BE8" s="11" t="n">
        <v>-99498709</v>
      </c>
      <c r="BF8" s="11" t="n">
        <v>-461774127</v>
      </c>
      <c r="BG8" s="11" t="n">
        <v>-343031356</v>
      </c>
      <c r="BH8" s="11" t="n">
        <v>132753722</v>
      </c>
      <c r="BI8" s="11" t="n">
        <v>-130978932</v>
      </c>
      <c r="BJ8" s="11" t="n">
        <v>-109019347</v>
      </c>
      <c r="BK8" s="11" t="n">
        <v>-374080018</v>
      </c>
      <c r="BL8" s="11" t="n">
        <v>-283756195</v>
      </c>
      <c r="BM8" s="11" t="n">
        <v>-27237473</v>
      </c>
      <c r="BN8" s="11" t="n">
        <v>893940</v>
      </c>
      <c r="BO8" s="11" t="n">
        <v>94664820</v>
      </c>
      <c r="BP8" s="11" t="n">
        <v>-12873412</v>
      </c>
      <c r="BQ8" s="11" t="n">
        <v>47481860</v>
      </c>
      <c r="BR8" s="11" t="n">
        <v>-101265652</v>
      </c>
      <c r="BS8" s="11" t="n">
        <v>-76146164</v>
      </c>
      <c r="BT8" s="11" t="n">
        <v>-1159110</v>
      </c>
      <c r="BU8" s="11" t="n">
        <v>118012</v>
      </c>
      <c r="BV8" s="11" t="n">
        <v>-892160</v>
      </c>
      <c r="BW8" s="11" t="n">
        <v>868237</v>
      </c>
      <c r="BX8" s="11" t="n">
        <v>801899</v>
      </c>
      <c r="BY8" s="11" t="n">
        <v>-4195042</v>
      </c>
      <c r="BZ8" s="11" t="n">
        <v>-32909890</v>
      </c>
      <c r="CA8" s="11" t="n">
        <v>-39361177</v>
      </c>
      <c r="CB8" s="11" t="n">
        <v>-13815419</v>
      </c>
      <c r="CC8" s="11" t="n">
        <v>6579540</v>
      </c>
      <c r="CD8" s="11" t="n">
        <v>865147</v>
      </c>
      <c r="CE8" s="11" t="n">
        <v>-1495643</v>
      </c>
      <c r="CF8" s="11" t="n">
        <v>-54947375</v>
      </c>
      <c r="CG8" s="11" t="n">
        <v>-33401465</v>
      </c>
      <c r="CH8" s="11" t="n">
        <v>-16882462</v>
      </c>
      <c r="CI8" s="11" t="n">
        <v>-72825900</v>
      </c>
      <c r="CJ8" s="11" t="n">
        <v>18235344</v>
      </c>
      <c r="CK8" s="11" t="n">
        <v>-30956040</v>
      </c>
      <c r="CL8" s="11" t="n">
        <v>98611224</v>
      </c>
      <c r="CM8" s="11" t="n">
        <v>73261068</v>
      </c>
      <c r="CN8" s="11" t="n">
        <v>882305012</v>
      </c>
      <c r="CO8" s="11" t="n">
        <v>590040980</v>
      </c>
      <c r="CP8" s="11" t="n">
        <v>2192822252</v>
      </c>
      <c r="CQ8" s="11" t="n">
        <v>1554727264</v>
      </c>
      <c r="CR8" s="11" t="n">
        <v>-522784744</v>
      </c>
      <c r="CS8" s="11" t="n">
        <v>645626200</v>
      </c>
      <c r="CT8" s="11" t="n">
        <v>498279060</v>
      </c>
      <c r="CU8" s="11" t="n">
        <v>1731056624</v>
      </c>
      <c r="CV8" s="11" t="n">
        <v>1254433268</v>
      </c>
      <c r="CW8" s="11" t="n">
        <v>100718860</v>
      </c>
      <c r="CX8" s="11" t="n">
        <v>-14030516</v>
      </c>
      <c r="CY8" s="11" t="n">
        <v>-32542340</v>
      </c>
      <c r="CZ8" s="11" t="n">
        <v>-57130361</v>
      </c>
      <c r="DA8" s="11" t="n">
        <v>-29664877</v>
      </c>
      <c r="DB8" s="11" t="n">
        <v>14112424</v>
      </c>
      <c r="DC8" s="11" t="n">
        <v>-4693036</v>
      </c>
      <c r="DD8" s="11" t="n">
        <v>-6686376</v>
      </c>
      <c r="DE8" s="11" t="n">
        <v>-68348894</v>
      </c>
      <c r="DF8" s="11" t="n">
        <v>-45346418</v>
      </c>
      <c r="DG8" s="11" t="n">
        <v>-17303479</v>
      </c>
      <c r="DH8" s="11" t="n">
        <v>280582736</v>
      </c>
      <c r="DI8" s="11" t="n">
        <v>269683947</v>
      </c>
      <c r="DJ8" s="11" t="n">
        <v>59866667</v>
      </c>
      <c r="DK8" s="11" t="n">
        <v>-516990701</v>
      </c>
      <c r="DL8" s="11" t="n">
        <v>-454384637</v>
      </c>
      <c r="DM8" s="11" t="n">
        <v>-326426827</v>
      </c>
      <c r="DN8" s="11" t="n">
        <v>-365109814</v>
      </c>
      <c r="DO8" s="11" t="n">
        <v>-193930534</v>
      </c>
      <c r="DP8" s="11" t="n">
        <v>-108495785</v>
      </c>
      <c r="DQ8" s="11" t="n">
        <v>-233941719</v>
      </c>
      <c r="DR8" s="11" t="n">
        <v>425441</v>
      </c>
      <c r="DS8" s="11" t="n">
        <v>3672</v>
      </c>
      <c r="DT8" s="11" t="n">
        <v>-833398</v>
      </c>
      <c r="DU8" s="11" t="n">
        <v>17286</v>
      </c>
      <c r="DV8" s="11" t="n">
        <v>-706605</v>
      </c>
      <c r="DW8" s="11" t="n">
        <v>-46960</v>
      </c>
      <c r="DX8" s="11" t="n">
        <v>-46303</v>
      </c>
      <c r="DY8" s="11" t="n">
        <v>-452483</v>
      </c>
      <c r="DZ8" s="11" t="n">
        <v>-37909588</v>
      </c>
      <c r="EA8" s="11" t="n">
        <v>-406757</v>
      </c>
      <c r="EB8" s="11" t="n">
        <v>-27732517</v>
      </c>
      <c r="EC8" s="11" t="n">
        <v>15197337</v>
      </c>
      <c r="ED8" s="11" t="n">
        <v>12683648</v>
      </c>
      <c r="EE8" s="11" t="n">
        <v>-1213570</v>
      </c>
      <c r="EF8" s="11" t="n">
        <v>14874</v>
      </c>
      <c r="EG8" s="11" t="n">
        <v>-990879</v>
      </c>
      <c r="EH8" s="11" t="n">
        <v>81224</v>
      </c>
      <c r="EI8" s="11" t="n">
        <v>60227</v>
      </c>
      <c r="EJ8" s="11" t="n">
        <v>2337094</v>
      </c>
      <c r="EK8" s="11" t="n">
        <v>-8637814</v>
      </c>
      <c r="EL8" s="11" t="n">
        <v>-33954566</v>
      </c>
      <c r="EM8" s="11" t="n">
        <v>-28971948</v>
      </c>
      <c r="EN8" s="11" t="n">
        <v>-1802367</v>
      </c>
      <c r="EO8" s="11" t="n">
        <v>572582</v>
      </c>
      <c r="EP8" s="11" t="n">
        <v>471077</v>
      </c>
      <c r="EQ8" s="11" t="n">
        <v>-28302005</v>
      </c>
      <c r="ER8" s="11" t="n">
        <v>-24084251</v>
      </c>
      <c r="ES8" s="11" t="n">
        <v>253991</v>
      </c>
      <c r="ET8" s="11" t="n">
        <v>35640</v>
      </c>
      <c r="EU8" s="11" t="n">
        <v>-5085750</v>
      </c>
      <c r="EV8" s="11" t="n">
        <v>117724</v>
      </c>
      <c r="EW8" s="11" t="n">
        <v>-4731020</v>
      </c>
      <c r="EX8" s="11" t="n">
        <v>-130451</v>
      </c>
      <c r="EY8" s="11" t="n">
        <v>201263</v>
      </c>
      <c r="EZ8" s="11" t="n">
        <v>25920</v>
      </c>
      <c r="FA8" s="11" t="n">
        <v>-432</v>
      </c>
      <c r="FB8" s="11" t="n">
        <v>18360</v>
      </c>
      <c r="FC8" s="11" t="n">
        <v>2808</v>
      </c>
      <c r="FD8" s="11" t="n">
        <v>5616</v>
      </c>
      <c r="FE8" s="11" t="n">
        <v>-23972</v>
      </c>
      <c r="FF8" s="11" t="n">
        <v>820810</v>
      </c>
      <c r="FG8" s="11" t="n">
        <v>-305822</v>
      </c>
      <c r="FH8" s="11" t="n">
        <v>-947764</v>
      </c>
      <c r="FI8" s="11" t="n">
        <v>3300</v>
      </c>
      <c r="FJ8" s="11" t="n">
        <v>7694</v>
      </c>
      <c r="FK8" s="11" t="n">
        <v>20990</v>
      </c>
      <c r="FL8" s="11" t="n">
        <v>-305545</v>
      </c>
      <c r="FM8" s="11" t="n">
        <v>-849175</v>
      </c>
      <c r="FN8" s="11" t="n">
        <v>-36413</v>
      </c>
      <c r="FO8" s="11" t="n">
        <v>8584770</v>
      </c>
      <c r="FP8" s="11" t="n">
        <v>-91132</v>
      </c>
      <c r="FQ8" s="11" t="n">
        <v>7354940</v>
      </c>
      <c r="FR8" s="11" t="n">
        <v>-1134367</v>
      </c>
      <c r="FS8" s="11" t="n">
        <v>-1276589</v>
      </c>
      <c r="FT8" s="11" t="n">
        <v>-15352382</v>
      </c>
      <c r="FU8" s="11" t="n">
        <v>90048610</v>
      </c>
      <c r="FV8" s="11" t="n">
        <v>193294018</v>
      </c>
      <c r="FW8" s="11" t="n">
        <v>133687316</v>
      </c>
      <c r="FX8" s="11" t="n">
        <v>12197128</v>
      </c>
      <c r="FY8" s="11" t="n">
        <v>-4080541</v>
      </c>
      <c r="FZ8" s="11" t="n">
        <v>-3702123</v>
      </c>
      <c r="GA8" s="11" t="n">
        <v>177502027</v>
      </c>
      <c r="GB8" s="11" t="n">
        <v>127926229</v>
      </c>
      <c r="GC8" s="11" t="n">
        <v>11078519</v>
      </c>
      <c r="GD8" s="11" t="n">
        <v>37780</v>
      </c>
      <c r="GE8" s="11" t="n">
        <v>926590</v>
      </c>
      <c r="GF8" s="11" t="n">
        <v>-1501370</v>
      </c>
      <c r="GG8" s="11" t="n">
        <v>-2281180</v>
      </c>
      <c r="GH8" s="11" t="n">
        <v>-42204</v>
      </c>
      <c r="GI8" s="11" t="n">
        <v>20930</v>
      </c>
      <c r="GJ8" s="11" t="n">
        <v>29834</v>
      </c>
      <c r="GK8" s="11" t="n">
        <v>-1163851</v>
      </c>
      <c r="GL8" s="11" t="n">
        <v>-1816597</v>
      </c>
      <c r="GM8" s="11" t="n">
        <v>78169</v>
      </c>
      <c r="GN8" s="11" t="n">
        <v>-2053334</v>
      </c>
      <c r="GO8" s="11" t="n">
        <v>1834290</v>
      </c>
      <c r="GP8" s="11" t="n">
        <v>3491164</v>
      </c>
      <c r="GQ8" s="11" t="n">
        <v>-36611416</v>
      </c>
      <c r="GR8" s="11" t="n">
        <v>-38357512</v>
      </c>
      <c r="GS8" s="11" t="n">
        <v>-27982616</v>
      </c>
      <c r="GT8" s="11" t="n">
        <v>-911543</v>
      </c>
      <c r="GU8" s="11" t="n">
        <v>-2278505</v>
      </c>
      <c r="GV8" s="11" t="n">
        <v>485597</v>
      </c>
      <c r="GW8" s="11" t="n">
        <v>-23598096</v>
      </c>
      <c r="GX8" s="11" t="n">
        <v>21463</v>
      </c>
      <c r="GY8" s="11" t="n">
        <v>10912011</v>
      </c>
      <c r="GZ8" s="11" t="n">
        <v>-924331</v>
      </c>
      <c r="HA8" s="11" t="n">
        <v>7599035</v>
      </c>
      <c r="HB8" s="11" t="n">
        <v>-6240853</v>
      </c>
      <c r="HC8" s="11" t="n">
        <v>-4984673</v>
      </c>
      <c r="HD8" s="11" t="n">
        <v>136226</v>
      </c>
      <c r="HE8" s="11" t="n">
        <v>-8850</v>
      </c>
      <c r="HF8" s="11" t="n">
        <v>101235</v>
      </c>
      <c r="HG8" s="11" t="n">
        <v>-51496</v>
      </c>
      <c r="HH8" s="11" t="n">
        <v>-40687</v>
      </c>
      <c r="HI8" s="11" t="n">
        <v>1367312</v>
      </c>
      <c r="HJ8" s="11" t="n">
        <v>3237725</v>
      </c>
      <c r="HK8" s="11" t="n">
        <v>13429694</v>
      </c>
      <c r="HL8" s="11" t="n">
        <v>10952107</v>
      </c>
      <c r="HM8" s="11" t="n">
        <v>-1226445</v>
      </c>
      <c r="HN8" s="11" t="n">
        <v>-355598</v>
      </c>
      <c r="HO8" s="11" t="n">
        <v>-303131</v>
      </c>
      <c r="HP8" s="11" t="n">
        <v>11204065</v>
      </c>
      <c r="HQ8" s="11" t="n">
        <v>9105970</v>
      </c>
      <c r="HR8" s="11" t="n">
        <v>-129019</v>
      </c>
      <c r="HS8" s="11" t="n">
        <v>-9693109</v>
      </c>
      <c r="HT8" s="11" t="n">
        <v>1003604</v>
      </c>
      <c r="HU8" s="11" t="n">
        <v>-6682974</v>
      </c>
      <c r="HV8" s="11" t="n">
        <v>5870848</v>
      </c>
      <c r="HW8" s="11" t="n">
        <v>4661635</v>
      </c>
      <c r="HX8" s="11" t="n">
        <v>92796755</v>
      </c>
      <c r="HY8" s="11" t="n">
        <v>34179227</v>
      </c>
      <c r="HZ8" s="11" t="n">
        <v>166308977</v>
      </c>
      <c r="IA8" s="11" t="n">
        <v>118847956</v>
      </c>
      <c r="IB8" s="11" t="n">
        <v>-67518142</v>
      </c>
      <c r="IC8" s="11" t="n">
        <v>38985148</v>
      </c>
      <c r="ID8" s="11" t="n">
        <v>32322789</v>
      </c>
      <c r="IE8" s="11" t="n">
        <v>135364166</v>
      </c>
      <c r="IF8" s="11" t="n">
        <v>98378021</v>
      </c>
      <c r="IG8" s="11" t="n">
        <v>7998823</v>
      </c>
      <c r="IH8" s="11" t="n">
        <v>2373058</v>
      </c>
      <c r="II8" s="11" t="n">
        <v>3302757</v>
      </c>
      <c r="IJ8" s="11" t="n">
        <v>14005768</v>
      </c>
      <c r="IK8" s="11" t="n">
        <v>11212429</v>
      </c>
      <c r="IL8" s="11" t="n">
        <v>-1978080</v>
      </c>
      <c r="IM8" s="11" t="n">
        <v>-12832</v>
      </c>
      <c r="IN8" s="11" t="n">
        <v>-19654</v>
      </c>
      <c r="IO8" s="11" t="n">
        <v>11656752</v>
      </c>
      <c r="IP8" s="11" t="n">
        <v>9318849</v>
      </c>
      <c r="IQ8" s="11" t="n">
        <v>-55368</v>
      </c>
      <c r="IR8" s="11" t="n">
        <v>-23251141</v>
      </c>
      <c r="IS8" s="11" t="n">
        <v>-93368286</v>
      </c>
      <c r="IT8" s="11" t="n">
        <v>-78245683</v>
      </c>
      <c r="IU8" s="11" t="n">
        <v>7280617</v>
      </c>
      <c r="IV8" s="11" t="n">
        <v>958801</v>
      </c>
      <c r="IW8" s="11" t="n">
        <v>-20650825</v>
      </c>
      <c r="IX8" s="11" t="n">
        <v>77702096</v>
      </c>
      <c r="IY8" s="11" t="n">
        <v>65029697</v>
      </c>
      <c r="IZ8" s="11" t="n">
        <v>-350186</v>
      </c>
      <c r="JA8" s="11" t="n">
        <v>-17158533</v>
      </c>
      <c r="JB8" s="11" t="n">
        <v>1170690</v>
      </c>
      <c r="JC8" s="11" t="n">
        <v>-83372</v>
      </c>
      <c r="JD8" s="11" t="n">
        <v>875260</v>
      </c>
      <c r="JE8" s="11" t="n">
        <v>-516227</v>
      </c>
      <c r="JF8" s="11" t="n">
        <v>-427729</v>
      </c>
      <c r="JG8" s="11" t="n">
        <v>8030046</v>
      </c>
      <c r="JH8" s="11" t="n">
        <v>30505170</v>
      </c>
      <c r="JI8" s="11" t="n">
        <v>77949471</v>
      </c>
      <c r="JJ8" s="11" t="n">
        <v>54424977</v>
      </c>
      <c r="JK8" s="11" t="n">
        <v>-8176080</v>
      </c>
      <c r="JL8" s="11" t="n">
        <v>-2010333</v>
      </c>
      <c r="JM8" s="11" t="n">
        <v>-942039</v>
      </c>
      <c r="JN8" s="11" t="n">
        <v>71730045</v>
      </c>
      <c r="JO8" s="11" t="n">
        <v>51836055</v>
      </c>
      <c r="JP8" s="11" t="n">
        <v>4480782</v>
      </c>
      <c r="JQ8" s="11" t="n">
        <v>-46444</v>
      </c>
      <c r="JR8" s="11" t="n">
        <v>33470</v>
      </c>
      <c r="JS8" s="11" t="n">
        <v>-467674</v>
      </c>
      <c r="JT8" s="11" t="n">
        <v>-495548</v>
      </c>
      <c r="JU8" s="11" t="n">
        <v>32340</v>
      </c>
      <c r="JV8" s="11" t="n">
        <v>12826</v>
      </c>
      <c r="JW8" s="11" t="n">
        <v>18322</v>
      </c>
      <c r="JX8" s="11" t="n">
        <v>-334895</v>
      </c>
      <c r="JY8" s="11" t="n">
        <v>-358265</v>
      </c>
      <c r="JZ8" s="11" t="n">
        <v>47645</v>
      </c>
      <c r="KA8" s="11" t="n">
        <v>1439790</v>
      </c>
      <c r="KB8" s="11" t="n">
        <v>-115452</v>
      </c>
      <c r="KC8" s="11" t="n">
        <v>-1239918</v>
      </c>
      <c r="KD8" s="11" t="n">
        <v>-14414955</v>
      </c>
      <c r="KE8" s="11" t="n">
        <v>-14468715</v>
      </c>
      <c r="KF8" s="11" t="n">
        <v>-11253669</v>
      </c>
      <c r="KG8" s="11" t="n">
        <v>478005</v>
      </c>
      <c r="KH8" s="11" t="n">
        <v>1431375</v>
      </c>
      <c r="KI8" s="11" t="n">
        <v>296871</v>
      </c>
      <c r="KJ8" s="11" t="n">
        <v>-9527145</v>
      </c>
      <c r="KK8" s="11" t="n">
        <v>-17088724</v>
      </c>
      <c r="KL8" s="11" t="n">
        <v>-30764560</v>
      </c>
      <c r="KM8" s="11" t="n">
        <v>-87084679</v>
      </c>
      <c r="KN8" s="11" t="n">
        <v>-61096103</v>
      </c>
      <c r="KO8" s="11" t="n">
        <v>14967224</v>
      </c>
      <c r="KP8" s="11" t="n">
        <v>-1333604</v>
      </c>
      <c r="KQ8" s="11" t="n">
        <v>-1892592</v>
      </c>
      <c r="KR8" s="11" t="n">
        <v>-78674314</v>
      </c>
      <c r="KS8" s="11" t="n">
        <v>-56918458</v>
      </c>
      <c r="KT8" s="11" t="n">
        <v>-4876769</v>
      </c>
      <c r="KU8" s="11" t="n">
        <v>234266628</v>
      </c>
      <c r="KV8" s="11" t="n">
        <v>540504333</v>
      </c>
      <c r="KW8" s="11" t="n">
        <v>375375969</v>
      </c>
      <c r="KX8" s="11" t="n">
        <v>-220768743</v>
      </c>
      <c r="KY8" s="11" t="n">
        <v>-161773431</v>
      </c>
      <c r="KZ8" s="11" t="n">
        <v>-19498977</v>
      </c>
      <c r="LA8" s="11" t="n">
        <v>-491684946</v>
      </c>
      <c r="LB8" s="11" t="n">
        <v>-354719718</v>
      </c>
      <c r="LC8" s="11" t="n">
        <v>-30567015</v>
      </c>
      <c r="LD8" s="11" t="n">
        <v>-5252709</v>
      </c>
      <c r="LE8" s="11" t="n">
        <v>1709068</v>
      </c>
      <c r="LF8" s="11" t="n">
        <v>-3371850</v>
      </c>
      <c r="LG8" s="11" t="n">
        <v>-4809758</v>
      </c>
      <c r="LH8" s="11" t="n">
        <v>-14779753</v>
      </c>
      <c r="LI8" s="11" t="n">
        <v>-14769241</v>
      </c>
      <c r="LJ8" s="11" t="n">
        <v>-12455543</v>
      </c>
      <c r="LK8" s="11" t="n">
        <v>2819872</v>
      </c>
      <c r="LL8" s="11" t="n">
        <v>4023364</v>
      </c>
      <c r="LM8" s="11" t="n">
        <v>-1918</v>
      </c>
      <c r="LN8" s="11" t="n">
        <v>-10424955</v>
      </c>
      <c r="LO8" s="11" t="n">
        <v>100280781</v>
      </c>
      <c r="LP8" s="11" t="n">
        <v>103478109</v>
      </c>
      <c r="LQ8" s="11" t="n">
        <v>78062211</v>
      </c>
      <c r="LR8" s="11" t="n">
        <v>-28266792</v>
      </c>
      <c r="LS8" s="11" t="n">
        <v>-65340327</v>
      </c>
    </row>
    <row r="9" customFormat="false" ht="15" hidden="false" customHeight="true" outlineLevel="0" collapsed="false">
      <c r="A9" s="7" t="s">
        <v>75</v>
      </c>
      <c r="B9" s="11" t="n">
        <v>-52223</v>
      </c>
      <c r="C9" s="11" t="n">
        <v>3678896</v>
      </c>
      <c r="D9" s="11" t="n">
        <v>-14045</v>
      </c>
      <c r="E9" s="11" t="n">
        <v>-3991052</v>
      </c>
      <c r="F9" s="11" t="n">
        <v>-381755</v>
      </c>
      <c r="G9" s="11" t="n">
        <v>-1630843</v>
      </c>
      <c r="H9" s="11" t="n">
        <v>3083543</v>
      </c>
      <c r="I9" s="11" t="n">
        <v>1226080</v>
      </c>
      <c r="J9" s="11" t="n">
        <v>3804720</v>
      </c>
      <c r="K9" s="11" t="n">
        <v>46208</v>
      </c>
      <c r="L9" s="11" t="n">
        <v>-814210</v>
      </c>
      <c r="M9" s="11" t="n">
        <v>-275208</v>
      </c>
      <c r="N9" s="11" t="n">
        <v>376682</v>
      </c>
      <c r="O9" s="11" t="n">
        <v>1063125</v>
      </c>
      <c r="P9" s="11" t="n">
        <v>-325185</v>
      </c>
      <c r="Q9" s="11" t="n">
        <v>-4278416</v>
      </c>
      <c r="R9" s="11" t="n">
        <v>-233411360</v>
      </c>
      <c r="S9" s="11" t="n">
        <v>-8425584</v>
      </c>
      <c r="T9" s="11" t="n">
        <v>-145351184</v>
      </c>
      <c r="U9" s="11" t="n">
        <v>149759520</v>
      </c>
      <c r="V9" s="11" t="n">
        <v>112234320</v>
      </c>
      <c r="W9" s="11" t="n">
        <v>-3750342</v>
      </c>
      <c r="X9" s="11" t="n">
        <v>-411800</v>
      </c>
      <c r="Y9" s="11" t="n">
        <v>-1341698</v>
      </c>
      <c r="Z9" s="11" t="n">
        <v>3014303</v>
      </c>
      <c r="AA9" s="11" t="n">
        <v>997405</v>
      </c>
      <c r="AB9" s="11" t="n">
        <v>-15080342</v>
      </c>
      <c r="AC9" s="11" t="n">
        <v>54213778</v>
      </c>
      <c r="AD9" s="11" t="n">
        <v>33171890</v>
      </c>
      <c r="AE9" s="11" t="n">
        <v>-43967540</v>
      </c>
      <c r="AF9" s="11" t="n">
        <v>11347898</v>
      </c>
      <c r="AG9" s="11" t="n">
        <v>-8478303</v>
      </c>
      <c r="AH9" s="11" t="n">
        <v>-8838405</v>
      </c>
      <c r="AI9" s="11" t="n">
        <v>55441187</v>
      </c>
      <c r="AJ9" s="11" t="n">
        <v>-1311365</v>
      </c>
      <c r="AK9" s="11" t="n">
        <v>44160585</v>
      </c>
      <c r="AL9" s="11" t="n">
        <v>-30148</v>
      </c>
      <c r="AM9" s="11" t="n">
        <v>1745</v>
      </c>
      <c r="AN9" s="11" t="n">
        <v>890277</v>
      </c>
      <c r="AO9" s="11" t="n">
        <v>-83601</v>
      </c>
      <c r="AP9" s="11" t="n">
        <v>473683</v>
      </c>
      <c r="AQ9" s="11" t="n">
        <v>-867637</v>
      </c>
      <c r="AR9" s="11" t="n">
        <v>-613081</v>
      </c>
      <c r="AS9" s="11" t="n">
        <v>-114820</v>
      </c>
      <c r="AT9" s="11" t="n">
        <v>-60412352</v>
      </c>
      <c r="AU9" s="11" t="n">
        <v>6109732</v>
      </c>
      <c r="AV9" s="11" t="n">
        <v>-32427548</v>
      </c>
      <c r="AW9" s="11" t="n">
        <v>59341356</v>
      </c>
      <c r="AX9" s="11" t="n">
        <v>42481232</v>
      </c>
      <c r="AY9" s="11" t="n">
        <v>106075</v>
      </c>
      <c r="AZ9" s="11" t="n">
        <v>-35240</v>
      </c>
      <c r="BA9" s="11" t="n">
        <v>72900</v>
      </c>
      <c r="BB9" s="11" t="n">
        <v>-130310</v>
      </c>
      <c r="BC9" s="11" t="n">
        <v>-123915</v>
      </c>
      <c r="BD9" s="11" t="n">
        <v>-12897069</v>
      </c>
      <c r="BE9" s="11" t="n">
        <v>8398435</v>
      </c>
      <c r="BF9" s="11" t="n">
        <v>-13740631</v>
      </c>
      <c r="BG9" s="11" t="n">
        <v>-25951924</v>
      </c>
      <c r="BH9" s="11" t="n">
        <v>6073396</v>
      </c>
      <c r="BI9" s="11" t="n">
        <v>-11278786</v>
      </c>
      <c r="BJ9" s="11" t="n">
        <v>-6444445</v>
      </c>
      <c r="BK9" s="11" t="n">
        <v>873986</v>
      </c>
      <c r="BL9" s="11" t="n">
        <v>-8024541</v>
      </c>
      <c r="BM9" s="11" t="n">
        <v>15829601</v>
      </c>
      <c r="BN9" s="11" t="n">
        <v>-153808</v>
      </c>
      <c r="BO9" s="11" t="n">
        <v>-64391320</v>
      </c>
      <c r="BP9" s="11" t="n">
        <v>6249648</v>
      </c>
      <c r="BQ9" s="11" t="n">
        <v>-34727752</v>
      </c>
      <c r="BR9" s="11" t="n">
        <v>62598180</v>
      </c>
      <c r="BS9" s="11" t="n">
        <v>44853900</v>
      </c>
      <c r="BT9" s="11" t="n">
        <v>-814942</v>
      </c>
      <c r="BU9" s="11" t="n">
        <v>64776</v>
      </c>
      <c r="BV9" s="11" t="n">
        <v>-406538</v>
      </c>
      <c r="BW9" s="11" t="n">
        <v>803227</v>
      </c>
      <c r="BX9" s="11" t="n">
        <v>531601</v>
      </c>
      <c r="BY9" s="11" t="n">
        <v>-5995062</v>
      </c>
      <c r="BZ9" s="11" t="n">
        <v>13806728</v>
      </c>
      <c r="CA9" s="11" t="n">
        <v>4596385</v>
      </c>
      <c r="CB9" s="11" t="n">
        <v>-15102185</v>
      </c>
      <c r="CC9" s="11" t="n">
        <v>1893234</v>
      </c>
      <c r="CD9" s="11" t="n">
        <v>-6274227</v>
      </c>
      <c r="CE9" s="11" t="n">
        <v>-2710281</v>
      </c>
      <c r="CF9" s="11" t="n">
        <v>15901183</v>
      </c>
      <c r="CG9" s="11" t="n">
        <v>1472569</v>
      </c>
      <c r="CH9" s="11" t="n">
        <v>17883390</v>
      </c>
      <c r="CI9" s="11" t="n">
        <v>62972392</v>
      </c>
      <c r="CJ9" s="11" t="n">
        <v>-7368352</v>
      </c>
      <c r="CK9" s="11" t="n">
        <v>33175528</v>
      </c>
      <c r="CL9" s="11" t="n">
        <v>-64337676</v>
      </c>
      <c r="CM9" s="11" t="n">
        <v>-45901172</v>
      </c>
      <c r="CN9" s="11" t="n">
        <v>-525997528</v>
      </c>
      <c r="CO9" s="11" t="n">
        <v>-329459928</v>
      </c>
      <c r="CP9" s="11" t="n">
        <v>-1305723720</v>
      </c>
      <c r="CQ9" s="11" t="n">
        <v>-852229280</v>
      </c>
      <c r="CR9" s="11" t="n">
        <v>315659320</v>
      </c>
      <c r="CS9" s="11" t="n">
        <v>-384619764</v>
      </c>
      <c r="CT9" s="11" t="n">
        <v>-283685868</v>
      </c>
      <c r="CU9" s="11" t="n">
        <v>-1024492764</v>
      </c>
      <c r="CV9" s="11" t="n">
        <v>-689123468</v>
      </c>
      <c r="CW9" s="11" t="n">
        <v>-81048180</v>
      </c>
      <c r="CX9" s="11" t="n">
        <v>-12520024</v>
      </c>
      <c r="CY9" s="11" t="n">
        <v>9332810</v>
      </c>
      <c r="CZ9" s="11" t="n">
        <v>-12030251</v>
      </c>
      <c r="DA9" s="11" t="n">
        <v>-25555279</v>
      </c>
      <c r="DB9" s="11" t="n">
        <v>5503856</v>
      </c>
      <c r="DC9" s="11" t="n">
        <v>-11383816</v>
      </c>
      <c r="DD9" s="11" t="n">
        <v>-6135760</v>
      </c>
      <c r="DE9" s="11" t="n">
        <v>3197296</v>
      </c>
      <c r="DF9" s="11" t="n">
        <v>-6660426</v>
      </c>
      <c r="DG9" s="11" t="n">
        <v>17340371</v>
      </c>
      <c r="DH9" s="11" t="n">
        <v>-143457806</v>
      </c>
      <c r="DI9" s="11" t="n">
        <v>-159114331</v>
      </c>
      <c r="DJ9" s="11" t="n">
        <v>44020601</v>
      </c>
      <c r="DK9" s="11" t="n">
        <v>256454559</v>
      </c>
      <c r="DL9" s="11" t="n">
        <v>260004961</v>
      </c>
      <c r="DM9" s="11" t="n">
        <v>367075175</v>
      </c>
      <c r="DN9" s="11" t="n">
        <v>200386168</v>
      </c>
      <c r="DO9" s="11" t="n">
        <v>50953546</v>
      </c>
      <c r="DP9" s="11" t="n">
        <v>118003749</v>
      </c>
      <c r="DQ9" s="11" t="n">
        <v>272094839</v>
      </c>
      <c r="DR9" s="11" t="n">
        <v>5191</v>
      </c>
      <c r="DS9" s="11" t="n">
        <v>20</v>
      </c>
      <c r="DT9" s="11" t="n">
        <v>-30198</v>
      </c>
      <c r="DU9" s="11" t="n">
        <v>1436</v>
      </c>
      <c r="DV9" s="11" t="n">
        <v>-28688</v>
      </c>
      <c r="DW9" s="11" t="n">
        <v>-4707</v>
      </c>
      <c r="DX9" s="11" t="n">
        <v>-742</v>
      </c>
      <c r="DY9" s="11" t="n">
        <v>-2805</v>
      </c>
      <c r="DZ9" s="11" t="n">
        <v>1730612</v>
      </c>
      <c r="EA9" s="11" t="n">
        <v>-139107</v>
      </c>
      <c r="EB9" s="11" t="n">
        <v>1858845</v>
      </c>
      <c r="EC9" s="11" t="n">
        <v>638095</v>
      </c>
      <c r="ED9" s="11" t="n">
        <v>174144</v>
      </c>
      <c r="EE9" s="11" t="n">
        <v>-9650</v>
      </c>
      <c r="EF9" s="11" t="n">
        <v>240</v>
      </c>
      <c r="EG9" s="11" t="n">
        <v>-8340</v>
      </c>
      <c r="EH9" s="11" t="n">
        <v>-85</v>
      </c>
      <c r="EI9" s="11" t="n">
        <v>270</v>
      </c>
      <c r="EJ9" s="11" t="n">
        <v>330494</v>
      </c>
      <c r="EK9" s="11" t="n">
        <v>-1249394</v>
      </c>
      <c r="EL9" s="11" t="n">
        <v>-2142786</v>
      </c>
      <c r="EM9" s="11" t="n">
        <v>-765688</v>
      </c>
      <c r="EN9" s="11" t="n">
        <v>-254556</v>
      </c>
      <c r="EO9" s="11" t="n">
        <v>50381</v>
      </c>
      <c r="EP9" s="11" t="n">
        <v>28290</v>
      </c>
      <c r="EQ9" s="11" t="n">
        <v>-1840895</v>
      </c>
      <c r="ER9" s="11" t="n">
        <v>-696702</v>
      </c>
      <c r="ES9" s="11" t="n">
        <v>-66698</v>
      </c>
      <c r="ET9" s="11" t="n">
        <v>3136</v>
      </c>
      <c r="EU9" s="11" t="n">
        <v>2119150</v>
      </c>
      <c r="EV9" s="11" t="n">
        <v>-131976</v>
      </c>
      <c r="EW9" s="11" t="n">
        <v>2127514</v>
      </c>
      <c r="EX9" s="11" t="n">
        <v>448605</v>
      </c>
      <c r="EY9" s="11" t="n">
        <v>21735</v>
      </c>
      <c r="EZ9" s="11" t="n">
        <v>26408</v>
      </c>
      <c r="FA9" s="11" t="n">
        <v>-1376</v>
      </c>
      <c r="FB9" s="11" t="n">
        <v>25528</v>
      </c>
      <c r="FC9" s="11" t="n">
        <v>4572</v>
      </c>
      <c r="FD9" s="11" t="n">
        <v>532</v>
      </c>
      <c r="FE9" s="11" t="n">
        <v>181528</v>
      </c>
      <c r="FF9" s="11" t="n">
        <v>-665092</v>
      </c>
      <c r="FG9" s="11" t="n">
        <v>-688140</v>
      </c>
      <c r="FH9" s="11" t="n">
        <v>176470</v>
      </c>
      <c r="FI9" s="11" t="n">
        <v>-140824</v>
      </c>
      <c r="FJ9" s="11" t="n">
        <v>4428</v>
      </c>
      <c r="FK9" s="11" t="n">
        <v>-12852</v>
      </c>
      <c r="FL9" s="11" t="n">
        <v>-550062</v>
      </c>
      <c r="FM9" s="11" t="n">
        <v>183988</v>
      </c>
      <c r="FN9" s="11" t="n">
        <v>44415</v>
      </c>
      <c r="FO9" s="11" t="n">
        <v>-2190602</v>
      </c>
      <c r="FP9" s="11" t="n">
        <v>155352</v>
      </c>
      <c r="FQ9" s="11" t="n">
        <v>-2272590</v>
      </c>
      <c r="FR9" s="11" t="n">
        <v>-627895</v>
      </c>
      <c r="FS9" s="11" t="n">
        <v>-116949</v>
      </c>
      <c r="FT9" s="11" t="n">
        <v>12789318</v>
      </c>
      <c r="FU9" s="11" t="n">
        <v>-49560802</v>
      </c>
      <c r="FV9" s="11" t="n">
        <v>-110933890</v>
      </c>
      <c r="FW9" s="11" t="n">
        <v>-63845580</v>
      </c>
      <c r="FX9" s="11" t="n">
        <v>-9753258</v>
      </c>
      <c r="FY9" s="11" t="n">
        <v>4201335</v>
      </c>
      <c r="FZ9" s="11" t="n">
        <v>3844989</v>
      </c>
      <c r="GA9" s="11" t="n">
        <v>-100880155</v>
      </c>
      <c r="GB9" s="11" t="n">
        <v>-63589251</v>
      </c>
      <c r="GC9" s="11" t="n">
        <v>-12377745</v>
      </c>
      <c r="GD9" s="11" t="n">
        <v>347024</v>
      </c>
      <c r="GE9" s="11" t="n">
        <v>-1305124</v>
      </c>
      <c r="GF9" s="11" t="n">
        <v>-2093756</v>
      </c>
      <c r="GG9" s="11" t="n">
        <v>-613198</v>
      </c>
      <c r="GH9" s="11" t="n">
        <v>-267456</v>
      </c>
      <c r="GI9" s="11" t="n">
        <v>49016</v>
      </c>
      <c r="GJ9" s="11" t="n">
        <v>24960</v>
      </c>
      <c r="GK9" s="11" t="n">
        <v>-1798030</v>
      </c>
      <c r="GL9" s="11" t="n">
        <v>-566472</v>
      </c>
      <c r="GM9" s="11" t="n">
        <v>-63983</v>
      </c>
      <c r="GN9" s="11" t="n">
        <v>-231508</v>
      </c>
      <c r="GO9" s="11" t="n">
        <v>-5349676</v>
      </c>
      <c r="GP9" s="11" t="n">
        <v>-6534078</v>
      </c>
      <c r="GQ9" s="11" t="n">
        <v>18722824</v>
      </c>
      <c r="GR9" s="11" t="n">
        <v>24164962</v>
      </c>
      <c r="GS9" s="11" t="n">
        <v>29970130</v>
      </c>
      <c r="GT9" s="11" t="n">
        <v>4155766</v>
      </c>
      <c r="GU9" s="11" t="n">
        <v>5052552</v>
      </c>
      <c r="GV9" s="11" t="n">
        <v>-538137</v>
      </c>
      <c r="GW9" s="11" t="n">
        <v>25164943</v>
      </c>
      <c r="GX9" s="11" t="n">
        <v>185</v>
      </c>
      <c r="GY9" s="11" t="n">
        <v>71061</v>
      </c>
      <c r="GZ9" s="11" t="n">
        <v>-7481</v>
      </c>
      <c r="HA9" s="11" t="n">
        <v>30523</v>
      </c>
      <c r="HB9" s="11" t="n">
        <v>-88961</v>
      </c>
      <c r="HC9" s="11" t="n">
        <v>-61369</v>
      </c>
      <c r="HD9" s="11" t="n">
        <v>1350</v>
      </c>
      <c r="HE9" s="11" t="n">
        <v>-80</v>
      </c>
      <c r="HF9" s="11" t="n">
        <v>1140</v>
      </c>
      <c r="HG9" s="11" t="n">
        <v>-175</v>
      </c>
      <c r="HH9" s="11" t="n">
        <v>-210</v>
      </c>
      <c r="HI9" s="11" t="n">
        <v>23862</v>
      </c>
      <c r="HJ9" s="11" t="n">
        <v>215154</v>
      </c>
      <c r="HK9" s="11" t="n">
        <v>581955</v>
      </c>
      <c r="HL9" s="11" t="n">
        <v>367164</v>
      </c>
      <c r="HM9" s="11" t="n">
        <v>-32900</v>
      </c>
      <c r="HN9" s="11" t="n">
        <v>-31393</v>
      </c>
      <c r="HO9" s="11" t="n">
        <v>-18046</v>
      </c>
      <c r="HP9" s="11" t="n">
        <v>519319</v>
      </c>
      <c r="HQ9" s="11" t="n">
        <v>343518</v>
      </c>
      <c r="HR9" s="11" t="n">
        <v>42931</v>
      </c>
      <c r="HS9" s="11" t="n">
        <v>-100075</v>
      </c>
      <c r="HT9" s="11" t="n">
        <v>9000</v>
      </c>
      <c r="HU9" s="11" t="n">
        <v>-82740</v>
      </c>
      <c r="HV9" s="11" t="n">
        <v>25330</v>
      </c>
      <c r="HW9" s="11" t="n">
        <v>26955</v>
      </c>
      <c r="HX9" s="11" t="n">
        <v>-589795</v>
      </c>
      <c r="HY9" s="11" t="n">
        <v>-15270259</v>
      </c>
      <c r="HZ9" s="11" t="n">
        <v>-38393497</v>
      </c>
      <c r="IA9" s="11" t="n">
        <v>-22843532</v>
      </c>
      <c r="IB9" s="11" t="n">
        <v>1860924</v>
      </c>
      <c r="IC9" s="11" t="n">
        <v>3303542</v>
      </c>
      <c r="ID9" s="11" t="n">
        <v>1895517</v>
      </c>
      <c r="IE9" s="11" t="n">
        <v>-35608030</v>
      </c>
      <c r="IF9" s="11" t="n">
        <v>-22999587</v>
      </c>
      <c r="IG9" s="11" t="n">
        <v>-4559281</v>
      </c>
      <c r="IH9" s="11" t="n">
        <v>22400</v>
      </c>
      <c r="II9" s="11" t="n">
        <v>12900</v>
      </c>
      <c r="IJ9" s="11" t="n">
        <v>90175</v>
      </c>
      <c r="IK9" s="11" t="n">
        <v>83100</v>
      </c>
      <c r="IL9" s="11" t="n">
        <v>-19680</v>
      </c>
      <c r="IM9" s="11" t="n">
        <v>-2440</v>
      </c>
      <c r="IN9" s="11" t="n">
        <v>-1440</v>
      </c>
      <c r="IO9" s="11" t="n">
        <v>77820</v>
      </c>
      <c r="IP9" s="11" t="n">
        <v>72180</v>
      </c>
      <c r="IQ9" s="11" t="n">
        <v>3255</v>
      </c>
      <c r="IR9" s="11" t="n">
        <v>-3341948</v>
      </c>
      <c r="IS9" s="11" t="n">
        <v>-8062249</v>
      </c>
      <c r="IT9" s="11" t="n">
        <v>-4623364</v>
      </c>
      <c r="IU9" s="11" t="n">
        <v>8810587</v>
      </c>
      <c r="IV9" s="11" t="n">
        <v>9735468</v>
      </c>
      <c r="IW9" s="11" t="n">
        <v>11297368</v>
      </c>
      <c r="IX9" s="11" t="n">
        <v>6719228</v>
      </c>
      <c r="IY9" s="11" t="n">
        <v>3847116</v>
      </c>
      <c r="IZ9" s="11" t="n">
        <v>-14671</v>
      </c>
      <c r="JA9" s="11" t="n">
        <v>9431469</v>
      </c>
      <c r="JB9" s="11" t="n">
        <v>-32594</v>
      </c>
      <c r="JC9" s="11" t="n">
        <v>184</v>
      </c>
      <c r="JD9" s="11" t="n">
        <v>-57382</v>
      </c>
      <c r="JE9" s="11" t="n">
        <v>-69731</v>
      </c>
      <c r="JF9" s="11" t="n">
        <v>-37849</v>
      </c>
      <c r="JG9" s="11" t="n">
        <v>-1247354</v>
      </c>
      <c r="JH9" s="11" t="n">
        <v>-16663544</v>
      </c>
      <c r="JI9" s="11" t="n">
        <v>-42458105</v>
      </c>
      <c r="JJ9" s="11" t="n">
        <v>-25350535</v>
      </c>
      <c r="JK9" s="11" t="n">
        <v>2290046</v>
      </c>
      <c r="JL9" s="11" t="n">
        <v>2908251</v>
      </c>
      <c r="JM9" s="11" t="n">
        <v>1591569</v>
      </c>
      <c r="JN9" s="11" t="n">
        <v>-39098159</v>
      </c>
      <c r="JO9" s="11" t="n">
        <v>-25279681</v>
      </c>
      <c r="JP9" s="11" t="n">
        <v>-4931010</v>
      </c>
      <c r="JQ9" s="11" t="n">
        <v>-12752</v>
      </c>
      <c r="JR9" s="11" t="n">
        <v>-217884</v>
      </c>
      <c r="JS9" s="11" t="n">
        <v>-539680</v>
      </c>
      <c r="JT9" s="11" t="n">
        <v>-313194</v>
      </c>
      <c r="JU9" s="11" t="n">
        <v>23680</v>
      </c>
      <c r="JV9" s="11" t="n">
        <v>30328</v>
      </c>
      <c r="JW9" s="11" t="n">
        <v>16576</v>
      </c>
      <c r="JX9" s="11" t="n">
        <v>-483974</v>
      </c>
      <c r="JY9" s="11" t="n">
        <v>-298368</v>
      </c>
      <c r="JZ9" s="11" t="n">
        <v>-43351</v>
      </c>
      <c r="KA9" s="11" t="n">
        <v>-1818892</v>
      </c>
      <c r="KB9" s="11" t="n">
        <v>-4042040</v>
      </c>
      <c r="KC9" s="11" t="n">
        <v>-2067674</v>
      </c>
      <c r="KD9" s="11" t="n">
        <v>7914350</v>
      </c>
      <c r="KE9" s="11" t="n">
        <v>9343866</v>
      </c>
      <c r="KF9" s="11" t="n">
        <v>11767595</v>
      </c>
      <c r="KG9" s="11" t="n">
        <v>3180062</v>
      </c>
      <c r="KH9" s="11" t="n">
        <v>1475264</v>
      </c>
      <c r="KI9" s="11" t="n">
        <v>-336609</v>
      </c>
      <c r="KJ9" s="11" t="n">
        <v>9917201</v>
      </c>
      <c r="KK9" s="11" t="n">
        <v>1486120</v>
      </c>
      <c r="KL9" s="11" t="n">
        <v>16463114</v>
      </c>
      <c r="KM9" s="11" t="n">
        <v>42183437</v>
      </c>
      <c r="KN9" s="11" t="n">
        <v>25223297</v>
      </c>
      <c r="KO9" s="11" t="n">
        <v>-2709264</v>
      </c>
      <c r="KP9" s="11" t="n">
        <v>-3417512</v>
      </c>
      <c r="KQ9" s="11" t="n">
        <v>-1868112</v>
      </c>
      <c r="KR9" s="11" t="n">
        <v>39043400</v>
      </c>
      <c r="KS9" s="11" t="n">
        <v>25288422</v>
      </c>
      <c r="KT9" s="11" t="n">
        <v>4977751</v>
      </c>
      <c r="KU9" s="11" t="n">
        <v>-129738446</v>
      </c>
      <c r="KV9" s="11" t="n">
        <v>-321536483</v>
      </c>
      <c r="KW9" s="11" t="n">
        <v>-190573623</v>
      </c>
      <c r="KX9" s="11" t="n">
        <v>120664407</v>
      </c>
      <c r="KY9" s="11" t="n">
        <v>90837937</v>
      </c>
      <c r="KZ9" s="11" t="n">
        <v>47882935</v>
      </c>
      <c r="LA9" s="11" t="n">
        <v>287826368</v>
      </c>
      <c r="LB9" s="11" t="n">
        <v>184337946</v>
      </c>
      <c r="LC9" s="11" t="n">
        <v>34062849</v>
      </c>
      <c r="LD9" s="11" t="n">
        <v>30079939</v>
      </c>
      <c r="LE9" s="11" t="n">
        <v>-3493408</v>
      </c>
      <c r="LF9" s="11" t="n">
        <v>-8102904</v>
      </c>
      <c r="LG9" s="11" t="n">
        <v>-4411744</v>
      </c>
      <c r="LH9" s="11" t="n">
        <v>9396902</v>
      </c>
      <c r="LI9" s="11" t="n">
        <v>10419228</v>
      </c>
      <c r="LJ9" s="11" t="n">
        <v>12300103</v>
      </c>
      <c r="LK9" s="11" t="n">
        <v>6738448</v>
      </c>
      <c r="LL9" s="11" t="n">
        <v>3651456</v>
      </c>
      <c r="LM9" s="11" t="n">
        <v>-40336</v>
      </c>
      <c r="LN9" s="11" t="n">
        <v>10275654</v>
      </c>
      <c r="LO9" s="11" t="n">
        <v>-48448274</v>
      </c>
      <c r="LP9" s="11" t="n">
        <v>-62833828</v>
      </c>
      <c r="LQ9" s="11" t="n">
        <v>-84557857</v>
      </c>
      <c r="LR9" s="11" t="n">
        <v>24517523</v>
      </c>
      <c r="LS9" s="11" t="n">
        <v>70560250</v>
      </c>
    </row>
    <row r="10" customFormat="false" ht="15" hidden="false" customHeight="true" outlineLevel="0" collapsed="false">
      <c r="A10" s="7" t="s">
        <v>76</v>
      </c>
      <c r="B10" s="11" t="n">
        <v>161204</v>
      </c>
      <c r="C10" s="11" t="n">
        <v>5392</v>
      </c>
      <c r="D10" s="11" t="n">
        <v>267788</v>
      </c>
      <c r="E10" s="11" t="n">
        <v>13047872</v>
      </c>
      <c r="F10" s="11" t="n">
        <v>265892</v>
      </c>
      <c r="G10" s="11" t="n">
        <v>1112596</v>
      </c>
      <c r="H10" s="11" t="n">
        <v>-4307444</v>
      </c>
      <c r="I10" s="11" t="n">
        <v>-8770480</v>
      </c>
      <c r="J10" s="11" t="n">
        <v>-1257710</v>
      </c>
      <c r="K10" s="11" t="n">
        <v>64518</v>
      </c>
      <c r="L10" s="11" t="n">
        <v>3185414</v>
      </c>
      <c r="M10" s="11" t="n">
        <v>7252</v>
      </c>
      <c r="N10" s="11" t="n">
        <v>-4782398</v>
      </c>
      <c r="O10" s="11" t="n">
        <v>1528080</v>
      </c>
      <c r="P10" s="11" t="n">
        <v>-3598130</v>
      </c>
      <c r="Q10" s="11" t="n">
        <v>2091434</v>
      </c>
      <c r="R10" s="11" t="n">
        <v>101905752</v>
      </c>
      <c r="S10" s="11" t="n">
        <v>2074726</v>
      </c>
      <c r="T10" s="11" t="n">
        <v>8520486</v>
      </c>
      <c r="U10" s="11" t="n">
        <v>-33555470</v>
      </c>
      <c r="V10" s="11" t="n">
        <v>-68547440</v>
      </c>
      <c r="W10" s="11" t="n">
        <v>69434</v>
      </c>
      <c r="X10" s="11" t="n">
        <v>-94370</v>
      </c>
      <c r="Y10" s="11" t="n">
        <v>-8389688</v>
      </c>
      <c r="Z10" s="11" t="n">
        <v>4262358</v>
      </c>
      <c r="AA10" s="11" t="n">
        <v>-2466950</v>
      </c>
      <c r="AB10" s="11" t="n">
        <v>-4667086</v>
      </c>
      <c r="AC10" s="11" t="n">
        <v>-409072950</v>
      </c>
      <c r="AD10" s="11" t="n">
        <v>208798694</v>
      </c>
      <c r="AE10" s="11" t="n">
        <v>-117927160</v>
      </c>
      <c r="AF10" s="11" t="n">
        <v>-7938202</v>
      </c>
      <c r="AG10" s="11" t="n">
        <v>2714212</v>
      </c>
      <c r="AH10" s="11" t="n">
        <v>-5540250</v>
      </c>
      <c r="AI10" s="11" t="n">
        <v>-117241358</v>
      </c>
      <c r="AJ10" s="11" t="n">
        <v>-285025130</v>
      </c>
      <c r="AK10" s="11" t="n">
        <v>179280530</v>
      </c>
      <c r="AL10" s="11" t="n">
        <v>-640746</v>
      </c>
      <c r="AM10" s="11" t="n">
        <v>-19882</v>
      </c>
      <c r="AN10" s="11" t="n">
        <v>-2795170</v>
      </c>
      <c r="AO10" s="11" t="n">
        <v>317000</v>
      </c>
      <c r="AP10" s="11" t="n">
        <v>-1208902</v>
      </c>
      <c r="AQ10" s="11" t="n">
        <v>2341696</v>
      </c>
      <c r="AR10" s="11" t="n">
        <v>2214498</v>
      </c>
      <c r="AS10" s="11" t="n">
        <v>1063726</v>
      </c>
      <c r="AT10" s="11" t="n">
        <v>51768568</v>
      </c>
      <c r="AU10" s="11" t="n">
        <v>1067458</v>
      </c>
      <c r="AV10" s="11" t="n">
        <v>4381858</v>
      </c>
      <c r="AW10" s="11" t="n">
        <v>-17042698</v>
      </c>
      <c r="AX10" s="11" t="n">
        <v>-34786416</v>
      </c>
      <c r="AY10" s="11" t="n">
        <v>-3034014</v>
      </c>
      <c r="AZ10" s="11" t="n">
        <v>559386</v>
      </c>
      <c r="BA10" s="11" t="n">
        <v>-1870976</v>
      </c>
      <c r="BB10" s="11" t="n">
        <v>3358710</v>
      </c>
      <c r="BC10" s="11" t="n">
        <v>2596966</v>
      </c>
      <c r="BD10" s="11" t="n">
        <v>30268410</v>
      </c>
      <c r="BE10" s="11" t="n">
        <v>-78557006</v>
      </c>
      <c r="BF10" s="11" t="n">
        <v>114848958</v>
      </c>
      <c r="BG10" s="11" t="n">
        <v>27167464</v>
      </c>
      <c r="BH10" s="11" t="n">
        <v>-4181846</v>
      </c>
      <c r="BI10" s="11" t="n">
        <v>12332808</v>
      </c>
      <c r="BJ10" s="11" t="n">
        <v>20899354</v>
      </c>
      <c r="BK10" s="11" t="n">
        <v>-16140518</v>
      </c>
      <c r="BL10" s="11" t="n">
        <v>-50487638</v>
      </c>
      <c r="BM10" s="11" t="n">
        <v>68230142</v>
      </c>
      <c r="BN10" s="11" t="n">
        <v>411562</v>
      </c>
      <c r="BO10" s="11" t="n">
        <v>34469086</v>
      </c>
      <c r="BP10" s="11" t="n">
        <v>-2444402</v>
      </c>
      <c r="BQ10" s="11" t="n">
        <v>-9577022</v>
      </c>
      <c r="BR10" s="11" t="n">
        <v>-12196120</v>
      </c>
      <c r="BS10" s="11" t="n">
        <v>-31579140</v>
      </c>
      <c r="BT10" s="11" t="n">
        <v>-725828</v>
      </c>
      <c r="BU10" s="11" t="n">
        <v>127766</v>
      </c>
      <c r="BV10" s="11" t="n">
        <v>-1073668</v>
      </c>
      <c r="BW10" s="11" t="n">
        <v>1125672</v>
      </c>
      <c r="BX10" s="11" t="n">
        <v>442526</v>
      </c>
      <c r="BY10" s="11" t="n">
        <v>6389710</v>
      </c>
      <c r="BZ10" s="11" t="n">
        <v>-106811672</v>
      </c>
      <c r="CA10" s="11" t="n">
        <v>72768136</v>
      </c>
      <c r="CB10" s="11" t="n">
        <v>-18630382</v>
      </c>
      <c r="CC10" s="11" t="n">
        <v>9349974</v>
      </c>
      <c r="CD10" s="11" t="n">
        <v>-2899552</v>
      </c>
      <c r="CE10" s="11" t="n">
        <v>7175174</v>
      </c>
      <c r="CF10" s="11" t="n">
        <v>-58011112</v>
      </c>
      <c r="CG10" s="11" t="n">
        <v>-92680066</v>
      </c>
      <c r="CH10" s="11" t="n">
        <v>73259080</v>
      </c>
      <c r="CI10" s="11" t="n">
        <v>-23971570</v>
      </c>
      <c r="CJ10" s="11" t="n">
        <v>4743688</v>
      </c>
      <c r="CK10" s="11" t="n">
        <v>18713708</v>
      </c>
      <c r="CL10" s="11" t="n">
        <v>9300414</v>
      </c>
      <c r="CM10" s="11" t="n">
        <v>30081788</v>
      </c>
      <c r="CN10" s="11" t="n">
        <v>254917694</v>
      </c>
      <c r="CO10" s="11" t="n">
        <v>1009491054</v>
      </c>
      <c r="CP10" s="11" t="n">
        <v>68559842</v>
      </c>
      <c r="CQ10" s="11" t="n">
        <v>680068064</v>
      </c>
      <c r="CR10" s="11" t="n">
        <v>-761540</v>
      </c>
      <c r="CS10" s="11" t="n">
        <v>85334986</v>
      </c>
      <c r="CT10" s="11" t="n">
        <v>185317412</v>
      </c>
      <c r="CU10" s="11" t="n">
        <v>338137046</v>
      </c>
      <c r="CV10" s="11" t="n">
        <v>735900932</v>
      </c>
      <c r="CW10" s="11" t="n">
        <v>-177815300</v>
      </c>
      <c r="CX10" s="11" t="n">
        <v>-924162</v>
      </c>
      <c r="CY10" s="11" t="n">
        <v>-95539532</v>
      </c>
      <c r="CZ10" s="11" t="n">
        <v>49163004</v>
      </c>
      <c r="DA10" s="11" t="n">
        <v>-27276962</v>
      </c>
      <c r="DB10" s="11" t="n">
        <v>18184676</v>
      </c>
      <c r="DC10" s="11" t="n">
        <v>-10087326</v>
      </c>
      <c r="DD10" s="11" t="n">
        <v>4238060</v>
      </c>
      <c r="DE10" s="11" t="n">
        <v>-75446844</v>
      </c>
      <c r="DF10" s="11" t="n">
        <v>-98597916</v>
      </c>
      <c r="DG10" s="11" t="n">
        <v>72277206</v>
      </c>
      <c r="DH10" s="11" t="n">
        <v>977065078</v>
      </c>
      <c r="DI10" s="11" t="n">
        <v>-525450774</v>
      </c>
      <c r="DJ10" s="11" t="n">
        <v>263849518</v>
      </c>
      <c r="DK10" s="11" t="n">
        <v>-2343600688</v>
      </c>
      <c r="DL10" s="11" t="n">
        <v>-1561747330</v>
      </c>
      <c r="DM10" s="11" t="n">
        <v>1472756818</v>
      </c>
      <c r="DN10" s="11" t="n">
        <v>-325507742</v>
      </c>
      <c r="DO10" s="11" t="n">
        <v>-711084824</v>
      </c>
      <c r="DP10" s="11" t="n">
        <v>470311694</v>
      </c>
      <c r="DQ10" s="11" t="n">
        <v>1185323334</v>
      </c>
      <c r="DR10" s="11" t="n">
        <v>-44943</v>
      </c>
      <c r="DS10" s="11" t="n">
        <v>-633</v>
      </c>
      <c r="DT10" s="11" t="n">
        <v>91363</v>
      </c>
      <c r="DU10" s="11" t="n">
        <v>-2110</v>
      </c>
      <c r="DV10" s="11" t="n">
        <v>98537</v>
      </c>
      <c r="DW10" s="11" t="n">
        <v>1266</v>
      </c>
      <c r="DX10" s="11" t="n">
        <v>14981</v>
      </c>
      <c r="DY10" s="11" t="n">
        <v>74637</v>
      </c>
      <c r="DZ10" s="11" t="n">
        <v>3640748</v>
      </c>
      <c r="EA10" s="11" t="n">
        <v>74059</v>
      </c>
      <c r="EB10" s="11" t="n">
        <v>313483</v>
      </c>
      <c r="EC10" s="11" t="n">
        <v>-1200855</v>
      </c>
      <c r="ED10" s="11" t="n">
        <v>-2444672</v>
      </c>
      <c r="EE10" s="11" t="n">
        <v>203005</v>
      </c>
      <c r="EF10" s="11" t="n">
        <v>-2461</v>
      </c>
      <c r="EG10" s="11" t="n">
        <v>168056</v>
      </c>
      <c r="EH10" s="11" t="n">
        <v>-14811</v>
      </c>
      <c r="EI10" s="11" t="n">
        <v>-9553</v>
      </c>
      <c r="EJ10" s="11" t="n">
        <v>-321479</v>
      </c>
      <c r="EK10" s="11" t="n">
        <v>7345029</v>
      </c>
      <c r="EL10" s="11" t="n">
        <v>2543731</v>
      </c>
      <c r="EM10" s="11" t="n">
        <v>6183268</v>
      </c>
      <c r="EN10" s="11" t="n">
        <v>177091</v>
      </c>
      <c r="EO10" s="11" t="n">
        <v>-54292</v>
      </c>
      <c r="EP10" s="11" t="n">
        <v>-90087</v>
      </c>
      <c r="EQ10" s="11" t="n">
        <v>2641691</v>
      </c>
      <c r="ER10" s="11" t="n">
        <v>5464409</v>
      </c>
      <c r="ES10" s="11" t="n">
        <v>-331421</v>
      </c>
      <c r="ET10" s="11" t="n">
        <v>22926</v>
      </c>
      <c r="EU10" s="11" t="n">
        <v>175268</v>
      </c>
      <c r="EV10" s="11" t="n">
        <v>18484</v>
      </c>
      <c r="EW10" s="11" t="n">
        <v>-2102096</v>
      </c>
      <c r="EX10" s="11" t="n">
        <v>416145</v>
      </c>
      <c r="EY10" s="11" t="n">
        <v>-1120025</v>
      </c>
      <c r="EZ10" s="11" t="n">
        <v>49074</v>
      </c>
      <c r="FA10" s="11" t="n">
        <v>-816</v>
      </c>
      <c r="FB10" s="11" t="n">
        <v>20658</v>
      </c>
      <c r="FC10" s="11" t="n">
        <v>6507</v>
      </c>
      <c r="FD10" s="11" t="n">
        <v>-8133</v>
      </c>
      <c r="FE10" s="11" t="n">
        <v>-45804</v>
      </c>
      <c r="FF10" s="11" t="n">
        <v>4657548</v>
      </c>
      <c r="FG10" s="11" t="n">
        <v>-841029</v>
      </c>
      <c r="FH10" s="11" t="n">
        <v>2335281</v>
      </c>
      <c r="FI10" s="11" t="n">
        <v>-58164</v>
      </c>
      <c r="FJ10" s="11" t="n">
        <v>20058</v>
      </c>
      <c r="FK10" s="11" t="n">
        <v>-46422</v>
      </c>
      <c r="FL10" s="11" t="n">
        <v>-971607</v>
      </c>
      <c r="FM10" s="11" t="n">
        <v>1754943</v>
      </c>
      <c r="FN10" s="11" t="n">
        <v>170265</v>
      </c>
      <c r="FO10" s="11" t="n">
        <v>1566124</v>
      </c>
      <c r="FP10" s="11" t="n">
        <v>7082</v>
      </c>
      <c r="FQ10" s="11" t="n">
        <v>3650870</v>
      </c>
      <c r="FR10" s="11" t="n">
        <v>-1303665</v>
      </c>
      <c r="FS10" s="11" t="n">
        <v>612971</v>
      </c>
      <c r="FT10" s="11" t="n">
        <v>-1208540</v>
      </c>
      <c r="FU10" s="11" t="n">
        <v>171509364</v>
      </c>
      <c r="FV10" s="11" t="n">
        <v>-38394200</v>
      </c>
      <c r="FW10" s="11" t="n">
        <v>81197428</v>
      </c>
      <c r="FX10" s="11" t="n">
        <v>3592852</v>
      </c>
      <c r="FY10" s="11" t="n">
        <v>-1179625</v>
      </c>
      <c r="FZ10" s="11" t="n">
        <v>840189</v>
      </c>
      <c r="GA10" s="11" t="n">
        <v>53264315</v>
      </c>
      <c r="GB10" s="11" t="n">
        <v>122155709</v>
      </c>
      <c r="GC10" s="11" t="n">
        <v>-52562705</v>
      </c>
      <c r="GD10" s="11" t="n">
        <v>70902</v>
      </c>
      <c r="GE10" s="11" t="n">
        <v>6403638</v>
      </c>
      <c r="GF10" s="11" t="n">
        <v>-3235053</v>
      </c>
      <c r="GG10" s="11" t="n">
        <v>1867671</v>
      </c>
      <c r="GH10" s="11" t="n">
        <v>-136326</v>
      </c>
      <c r="GI10" s="11" t="n">
        <v>44391</v>
      </c>
      <c r="GJ10" s="11" t="n">
        <v>-19305</v>
      </c>
      <c r="GK10" s="11" t="n">
        <v>-2210910</v>
      </c>
      <c r="GL10" s="11" t="n">
        <v>1847478</v>
      </c>
      <c r="GM10" s="11" t="n">
        <v>-288498</v>
      </c>
      <c r="GN10" s="11" t="n">
        <v>-12706152</v>
      </c>
      <c r="GO10" s="11" t="n">
        <v>4234605</v>
      </c>
      <c r="GP10" s="11" t="n">
        <v>-5117229</v>
      </c>
      <c r="GQ10" s="11" t="n">
        <v>-197289183</v>
      </c>
      <c r="GR10" s="11" t="n">
        <v>-127471305</v>
      </c>
      <c r="GS10" s="11" t="n">
        <v>121938141</v>
      </c>
      <c r="GT10" s="11" t="n">
        <v>-186849</v>
      </c>
      <c r="GU10" s="11" t="n">
        <v>6379497</v>
      </c>
      <c r="GV10" s="11" t="n">
        <v>-2050857</v>
      </c>
      <c r="GW10" s="11" t="n">
        <v>100929348</v>
      </c>
      <c r="GX10" s="11" t="n">
        <v>-3027</v>
      </c>
      <c r="GY10" s="11" t="n">
        <v>-1142427</v>
      </c>
      <c r="GZ10" s="11" t="n">
        <v>96765</v>
      </c>
      <c r="HA10" s="11" t="n">
        <v>-728697</v>
      </c>
      <c r="HB10" s="11" t="n">
        <v>647823</v>
      </c>
      <c r="HC10" s="11" t="n">
        <v>557847</v>
      </c>
      <c r="HD10" s="11" t="n">
        <v>-22244</v>
      </c>
      <c r="HE10" s="11" t="n">
        <v>1505</v>
      </c>
      <c r="HF10" s="11" t="n">
        <v>-16900</v>
      </c>
      <c r="HG10" s="11" t="n">
        <v>9039</v>
      </c>
      <c r="HH10" s="11" t="n">
        <v>6848</v>
      </c>
      <c r="HI10" s="11" t="n">
        <v>-143075</v>
      </c>
      <c r="HJ10" s="11" t="n">
        <v>-1023416</v>
      </c>
      <c r="HK10" s="11" t="n">
        <v>-1349117</v>
      </c>
      <c r="HL10" s="11" t="n">
        <v>-1514836</v>
      </c>
      <c r="HM10" s="11" t="n">
        <v>177945</v>
      </c>
      <c r="HN10" s="11" t="n">
        <v>33140</v>
      </c>
      <c r="HO10" s="11" t="n">
        <v>58445</v>
      </c>
      <c r="HP10" s="11" t="n">
        <v>-1440871</v>
      </c>
      <c r="HQ10" s="11" t="n">
        <v>-1465972</v>
      </c>
      <c r="HR10" s="11" t="n">
        <v>200227</v>
      </c>
      <c r="HS10" s="11" t="n">
        <v>1652021</v>
      </c>
      <c r="HT10" s="11" t="n">
        <v>-165686</v>
      </c>
      <c r="HU10" s="11" t="n">
        <v>1189036</v>
      </c>
      <c r="HV10" s="11" t="n">
        <v>-994962</v>
      </c>
      <c r="HW10" s="11" t="n">
        <v>-761765</v>
      </c>
      <c r="HX10" s="11" t="n">
        <v>-9721291</v>
      </c>
      <c r="HY10" s="11" t="n">
        <v>51061805</v>
      </c>
      <c r="HZ10" s="11" t="n">
        <v>-21953833</v>
      </c>
      <c r="IA10" s="11" t="n">
        <v>16952116</v>
      </c>
      <c r="IB10" s="11" t="n">
        <v>1875726</v>
      </c>
      <c r="IC10" s="11" t="n">
        <v>-3653024</v>
      </c>
      <c r="ID10" s="11" t="n">
        <v>-6182771</v>
      </c>
      <c r="IE10" s="11" t="n">
        <v>14951782</v>
      </c>
      <c r="IF10" s="11" t="n">
        <v>35746381</v>
      </c>
      <c r="IG10" s="11" t="n">
        <v>-20332897</v>
      </c>
      <c r="IH10" s="11" t="n">
        <v>-396177</v>
      </c>
      <c r="II10" s="11" t="n">
        <v>-485708</v>
      </c>
      <c r="IJ10" s="11" t="n">
        <v>-2378367</v>
      </c>
      <c r="IK10" s="11" t="n">
        <v>-1860476</v>
      </c>
      <c r="IL10" s="11" t="n">
        <v>333860</v>
      </c>
      <c r="IM10" s="11" t="n">
        <v>-72</v>
      </c>
      <c r="IN10" s="11" t="n">
        <v>3911</v>
      </c>
      <c r="IO10" s="11" t="n">
        <v>-2004348</v>
      </c>
      <c r="IP10" s="11" t="n">
        <v>-1563036</v>
      </c>
      <c r="IQ10" s="11" t="n">
        <v>23817</v>
      </c>
      <c r="IR10" s="11" t="n">
        <v>15103453</v>
      </c>
      <c r="IS10" s="11" t="n">
        <v>8730636</v>
      </c>
      <c r="IT10" s="11" t="n">
        <v>15013288</v>
      </c>
      <c r="IU10" s="11" t="n">
        <v>-79966819</v>
      </c>
      <c r="IV10" s="11" t="n">
        <v>-52520812</v>
      </c>
      <c r="IW10" s="11" t="n">
        <v>49129480</v>
      </c>
      <c r="IX10" s="11" t="n">
        <v>-7360088</v>
      </c>
      <c r="IY10" s="11" t="n">
        <v>-12502661</v>
      </c>
      <c r="IZ10" s="11" t="n">
        <v>88916</v>
      </c>
      <c r="JA10" s="11" t="n">
        <v>40602651</v>
      </c>
      <c r="JB10" s="11" t="n">
        <v>570962</v>
      </c>
      <c r="JC10" s="11" t="n">
        <v>-50606</v>
      </c>
      <c r="JD10" s="11" t="n">
        <v>513298</v>
      </c>
      <c r="JE10" s="11" t="n">
        <v>-358491</v>
      </c>
      <c r="JF10" s="11" t="n">
        <v>-209129</v>
      </c>
      <c r="JG10" s="11" t="n">
        <v>-847216</v>
      </c>
      <c r="JH10" s="11" t="n">
        <v>56275916</v>
      </c>
      <c r="JI10" s="11" t="n">
        <v>-13104553</v>
      </c>
      <c r="JJ10" s="11" t="n">
        <v>26294953</v>
      </c>
      <c r="JK10" s="11" t="n">
        <v>-4226244</v>
      </c>
      <c r="JL10" s="11" t="n">
        <v>629551</v>
      </c>
      <c r="JM10" s="11" t="n">
        <v>-2640911</v>
      </c>
      <c r="JN10" s="11" t="n">
        <v>23553001</v>
      </c>
      <c r="JO10" s="11" t="n">
        <v>44251759</v>
      </c>
      <c r="JP10" s="11" t="n">
        <v>-21309730</v>
      </c>
      <c r="JQ10" s="11" t="n">
        <v>-88002</v>
      </c>
      <c r="JR10" s="11" t="n">
        <v>584256</v>
      </c>
      <c r="JS10" s="11" t="n">
        <v>-929418</v>
      </c>
      <c r="JT10" s="11" t="n">
        <v>-245100</v>
      </c>
      <c r="JU10" s="11" t="n">
        <v>27330</v>
      </c>
      <c r="JV10" s="11" t="n">
        <v>27123</v>
      </c>
      <c r="JW10" s="11" t="n">
        <v>-10509</v>
      </c>
      <c r="JX10" s="11" t="n">
        <v>-468714</v>
      </c>
      <c r="JY10" s="11" t="n">
        <v>-6348</v>
      </c>
      <c r="JZ10" s="11" t="n">
        <v>-186531</v>
      </c>
      <c r="KA10" s="11" t="n">
        <v>7806828</v>
      </c>
      <c r="KB10" s="11" t="n">
        <v>-640689</v>
      </c>
      <c r="KC10" s="11" t="n">
        <v>4416513</v>
      </c>
      <c r="KD10" s="11" t="n">
        <v>-78196860</v>
      </c>
      <c r="KE10" s="11" t="n">
        <v>-51065064</v>
      </c>
      <c r="KF10" s="11" t="n">
        <v>48428667</v>
      </c>
      <c r="KG10" s="11" t="n">
        <v>2605107</v>
      </c>
      <c r="KH10" s="11" t="n">
        <v>-2303871</v>
      </c>
      <c r="KI10" s="11" t="n">
        <v>-1284699</v>
      </c>
      <c r="KJ10" s="11" t="n">
        <v>40116861</v>
      </c>
      <c r="KK10" s="11" t="n">
        <v>-3633378</v>
      </c>
      <c r="KL10" s="11" t="n">
        <v>-55858838</v>
      </c>
      <c r="KM10" s="11" t="n">
        <v>7977921</v>
      </c>
      <c r="KN10" s="11" t="n">
        <v>-29551823</v>
      </c>
      <c r="KO10" s="11" t="n">
        <v>8217356</v>
      </c>
      <c r="KP10" s="11" t="n">
        <v>-2988402</v>
      </c>
      <c r="KQ10" s="11" t="n">
        <v>1288448</v>
      </c>
      <c r="KR10" s="11" t="n">
        <v>-27900000</v>
      </c>
      <c r="KS10" s="11" t="n">
        <v>-47026938</v>
      </c>
      <c r="KT10" s="11" t="n">
        <v>21476871</v>
      </c>
      <c r="KU10" s="11" t="n">
        <v>441003388</v>
      </c>
      <c r="KV10" s="11" t="n">
        <v>-95230185</v>
      </c>
      <c r="KW10" s="11" t="n">
        <v>211180921</v>
      </c>
      <c r="KX10" s="11" t="n">
        <v>-495725269</v>
      </c>
      <c r="KY10" s="11" t="n">
        <v>-340215967</v>
      </c>
      <c r="KZ10" s="11" t="n">
        <v>310851463</v>
      </c>
      <c r="LA10" s="11" t="n">
        <v>-147343622</v>
      </c>
      <c r="LB10" s="11" t="n">
        <v>-321226934</v>
      </c>
      <c r="LC10" s="11" t="n">
        <v>139923329</v>
      </c>
      <c r="LD10" s="11" t="n">
        <v>247416819</v>
      </c>
      <c r="LE10" s="11" t="n">
        <v>12327462</v>
      </c>
      <c r="LF10" s="11" t="n">
        <v>-7144083</v>
      </c>
      <c r="LG10" s="11" t="n">
        <v>2995083</v>
      </c>
      <c r="LH10" s="11" t="n">
        <v>-82763934</v>
      </c>
      <c r="LI10" s="11" t="n">
        <v>-54218724</v>
      </c>
      <c r="LJ10" s="11" t="n">
        <v>51529497</v>
      </c>
      <c r="LK10" s="11" t="n">
        <v>6018108</v>
      </c>
      <c r="LL10" s="11" t="n">
        <v>-2402274</v>
      </c>
      <c r="LM10" s="11" t="n">
        <v>-69981</v>
      </c>
      <c r="LN10" s="11" t="n">
        <v>42597234</v>
      </c>
      <c r="LO10" s="11" t="n">
        <v>544016703</v>
      </c>
      <c r="LP10" s="11" t="n">
        <v>352972641</v>
      </c>
      <c r="LQ10" s="11" t="n">
        <v>-336731196</v>
      </c>
      <c r="LR10" s="11" t="n">
        <v>22915269</v>
      </c>
      <c r="LS10" s="11" t="n">
        <v>278330175</v>
      </c>
    </row>
    <row r="11" customFormat="false" ht="15" hidden="false" customHeight="true" outlineLevel="0" collapsed="false">
      <c r="A11" s="7" t="s">
        <v>77</v>
      </c>
      <c r="B11" s="11" t="n">
        <v>-1330093</v>
      </c>
      <c r="C11" s="11" t="n">
        <v>9642304</v>
      </c>
      <c r="D11" s="11" t="n">
        <v>-1345639</v>
      </c>
      <c r="E11" s="11" t="n">
        <v>-93794788</v>
      </c>
      <c r="F11" s="11" t="n">
        <v>-1224817</v>
      </c>
      <c r="G11" s="11" t="n">
        <v>-71049137</v>
      </c>
      <c r="H11" s="11" t="n">
        <v>49556101</v>
      </c>
      <c r="I11" s="11" t="n">
        <v>34605008</v>
      </c>
      <c r="J11" s="11" t="n">
        <v>19318382</v>
      </c>
      <c r="K11" s="11" t="n">
        <v>265032</v>
      </c>
      <c r="L11" s="11" t="n">
        <v>-13487014</v>
      </c>
      <c r="M11" s="11" t="n">
        <v>834614</v>
      </c>
      <c r="N11" s="11" t="n">
        <v>-17646404</v>
      </c>
      <c r="O11" s="11" t="n">
        <v>328217</v>
      </c>
      <c r="P11" s="11" t="n">
        <v>-5164933</v>
      </c>
      <c r="Q11" s="11" t="n">
        <v>-21465482</v>
      </c>
      <c r="R11" s="11" t="n">
        <v>-1264511320</v>
      </c>
      <c r="S11" s="11" t="n">
        <v>-23839750</v>
      </c>
      <c r="T11" s="11" t="n">
        <v>-903998726</v>
      </c>
      <c r="U11" s="11" t="n">
        <v>717377598</v>
      </c>
      <c r="V11" s="11" t="n">
        <v>540048416</v>
      </c>
      <c r="W11" s="11" t="n">
        <v>-32334034</v>
      </c>
      <c r="X11" s="11" t="n">
        <v>600314</v>
      </c>
      <c r="Y11" s="11" t="n">
        <v>-32009780</v>
      </c>
      <c r="Z11" s="11" t="n">
        <v>10206515</v>
      </c>
      <c r="AA11" s="11" t="n">
        <v>1670033</v>
      </c>
      <c r="AB11" s="11" t="n">
        <v>71274390</v>
      </c>
      <c r="AC11" s="11" t="n">
        <v>-523948338</v>
      </c>
      <c r="AD11" s="11" t="n">
        <v>-479349026</v>
      </c>
      <c r="AE11" s="11" t="n">
        <v>-715109412</v>
      </c>
      <c r="AF11" s="11" t="n">
        <v>-60832002</v>
      </c>
      <c r="AG11" s="11" t="n">
        <v>31397971</v>
      </c>
      <c r="AH11" s="11" t="n">
        <v>16958007</v>
      </c>
      <c r="AI11" s="11" t="n">
        <v>-639930775</v>
      </c>
      <c r="AJ11" s="11" t="n">
        <v>-734999721</v>
      </c>
      <c r="AK11" s="11" t="n">
        <v>200972333</v>
      </c>
      <c r="AL11" s="11" t="n">
        <v>4661150</v>
      </c>
      <c r="AM11" s="11" t="n">
        <v>108251</v>
      </c>
      <c r="AN11" s="11" t="n">
        <v>22167551</v>
      </c>
      <c r="AO11" s="11" t="n">
        <v>-2678153</v>
      </c>
      <c r="AP11" s="11" t="n">
        <v>13970579</v>
      </c>
      <c r="AQ11" s="11" t="n">
        <v>-20226529</v>
      </c>
      <c r="AR11" s="11" t="n">
        <v>-15832993</v>
      </c>
      <c r="AS11" s="11" t="n">
        <v>-5500378</v>
      </c>
      <c r="AT11" s="11" t="n">
        <v>-489392728</v>
      </c>
      <c r="AU11" s="11" t="n">
        <v>15122634</v>
      </c>
      <c r="AV11" s="11" t="n">
        <v>-350260662</v>
      </c>
      <c r="AW11" s="11" t="n">
        <v>320292462</v>
      </c>
      <c r="AX11" s="11" t="n">
        <v>236047904</v>
      </c>
      <c r="AY11" s="11" t="n">
        <v>14793057</v>
      </c>
      <c r="AZ11" s="11" t="n">
        <v>-2809138</v>
      </c>
      <c r="BA11" s="11" t="n">
        <v>8351458</v>
      </c>
      <c r="BB11" s="11" t="n">
        <v>-16429760</v>
      </c>
      <c r="BC11" s="11" t="n">
        <v>-13201683</v>
      </c>
      <c r="BD11" s="11" t="n">
        <v>-209269567</v>
      </c>
      <c r="BE11" s="11" t="n">
        <v>-198946895</v>
      </c>
      <c r="BF11" s="11" t="n">
        <v>-600413357</v>
      </c>
      <c r="BG11" s="11" t="n">
        <v>-539769732</v>
      </c>
      <c r="BH11" s="11" t="n">
        <v>155922828</v>
      </c>
      <c r="BI11" s="11" t="n">
        <v>-118407222</v>
      </c>
      <c r="BJ11" s="11" t="n">
        <v>-84257285</v>
      </c>
      <c r="BK11" s="11" t="n">
        <v>-559923258</v>
      </c>
      <c r="BL11" s="11" t="n">
        <v>-482273413</v>
      </c>
      <c r="BM11" s="11" t="n">
        <v>63666377</v>
      </c>
      <c r="BN11" s="11" t="n">
        <v>-643474</v>
      </c>
      <c r="BO11" s="11" t="n">
        <v>-369226974</v>
      </c>
      <c r="BP11" s="11" t="n">
        <v>41822522</v>
      </c>
      <c r="BQ11" s="11" t="n">
        <v>-264749546</v>
      </c>
      <c r="BR11" s="11" t="n">
        <v>294921996</v>
      </c>
      <c r="BS11" s="11" t="n">
        <v>211859832</v>
      </c>
      <c r="BT11" s="11" t="n">
        <v>-5514722</v>
      </c>
      <c r="BU11" s="11" t="n">
        <v>601570</v>
      </c>
      <c r="BV11" s="11" t="n">
        <v>-4219924</v>
      </c>
      <c r="BW11" s="11" t="n">
        <v>4057015</v>
      </c>
      <c r="BX11" s="11" t="n">
        <v>2734501</v>
      </c>
      <c r="BY11" s="11" t="n">
        <v>-13246396</v>
      </c>
      <c r="BZ11" s="11" t="n">
        <v>-152437586</v>
      </c>
      <c r="CA11" s="11" t="n">
        <v>-199624923</v>
      </c>
      <c r="CB11" s="11" t="n">
        <v>-246624645</v>
      </c>
      <c r="CC11" s="11" t="n">
        <v>26764842</v>
      </c>
      <c r="CD11" s="11" t="n">
        <v>12030985</v>
      </c>
      <c r="CE11" s="11" t="n">
        <v>20334607</v>
      </c>
      <c r="CF11" s="11" t="n">
        <v>-264898861</v>
      </c>
      <c r="CG11" s="11" t="n">
        <v>-264306703</v>
      </c>
      <c r="CH11" s="11" t="n">
        <v>82449366</v>
      </c>
      <c r="CI11" s="11" t="n">
        <v>368144434</v>
      </c>
      <c r="CJ11" s="11" t="n">
        <v>-47264872</v>
      </c>
      <c r="CK11" s="11" t="n">
        <v>264063364</v>
      </c>
      <c r="CL11" s="11" t="n">
        <v>-303805410</v>
      </c>
      <c r="CM11" s="11" t="n">
        <v>-217418120</v>
      </c>
      <c r="CN11" s="11" t="n">
        <v>-3193193470</v>
      </c>
      <c r="CO11" s="11" t="n">
        <v>51664978</v>
      </c>
      <c r="CP11" s="11" t="n">
        <v>-5593483074</v>
      </c>
      <c r="CQ11" s="11" t="n">
        <v>-3545779008</v>
      </c>
      <c r="CR11" s="11" t="n">
        <v>2283786996</v>
      </c>
      <c r="CS11" s="11" t="n">
        <v>-1917003558</v>
      </c>
      <c r="CT11" s="11" t="n">
        <v>-1430599736</v>
      </c>
      <c r="CU11" s="11" t="n">
        <v>-3969468834</v>
      </c>
      <c r="CV11" s="11" t="n">
        <v>-2512811128</v>
      </c>
      <c r="CW11" s="11" t="n">
        <v>-377291400</v>
      </c>
      <c r="CX11" s="11" t="n">
        <v>-60900646</v>
      </c>
      <c r="CY11" s="11" t="n">
        <v>-151218992</v>
      </c>
      <c r="CZ11" s="11" t="n">
        <v>-282583115</v>
      </c>
      <c r="DA11" s="11" t="n">
        <v>-298860819</v>
      </c>
      <c r="DB11" s="11" t="n">
        <v>63097452</v>
      </c>
      <c r="DC11" s="11" t="n">
        <v>-13977370</v>
      </c>
      <c r="DD11" s="11" t="n">
        <v>2403172</v>
      </c>
      <c r="DE11" s="11" t="n">
        <v>-327482870</v>
      </c>
      <c r="DF11" s="11" t="n">
        <v>-303674134</v>
      </c>
      <c r="DG11" s="11" t="n">
        <v>79742735</v>
      </c>
      <c r="DH11" s="11" t="n">
        <v>1320182742</v>
      </c>
      <c r="DI11" s="11" t="n">
        <v>1525748519</v>
      </c>
      <c r="DJ11" s="11" t="n">
        <v>2005680693</v>
      </c>
      <c r="DK11" s="11" t="n">
        <v>-2337236267</v>
      </c>
      <c r="DL11" s="11" t="n">
        <v>-1498405827</v>
      </c>
      <c r="DM11" s="11" t="n">
        <v>1819111179</v>
      </c>
      <c r="DN11" s="11" t="n">
        <v>-1883781768</v>
      </c>
      <c r="DO11" s="11" t="n">
        <v>-2025934422</v>
      </c>
      <c r="DP11" s="11" t="n">
        <v>520532693</v>
      </c>
      <c r="DQ11" s="11" t="n">
        <v>1448600839</v>
      </c>
      <c r="DR11" s="11" t="n">
        <v>346168</v>
      </c>
      <c r="DS11" s="11" t="n">
        <v>3024</v>
      </c>
      <c r="DT11" s="11" t="n">
        <v>-789122</v>
      </c>
      <c r="DU11" s="11" t="n">
        <v>14943</v>
      </c>
      <c r="DV11" s="11" t="n">
        <v>-655549</v>
      </c>
      <c r="DW11" s="11" t="n">
        <v>-46120</v>
      </c>
      <c r="DX11" s="11" t="n">
        <v>-27495</v>
      </c>
      <c r="DY11" s="11" t="n">
        <v>-372136</v>
      </c>
      <c r="DZ11" s="11" t="n">
        <v>-18690272</v>
      </c>
      <c r="EA11" s="11" t="n">
        <v>-427096</v>
      </c>
      <c r="EB11" s="11" t="n">
        <v>-13738840</v>
      </c>
      <c r="EC11" s="11" t="n">
        <v>13231736</v>
      </c>
      <c r="ED11" s="11" t="n">
        <v>9205568</v>
      </c>
      <c r="EE11" s="11" t="n">
        <v>-1011590</v>
      </c>
      <c r="EF11" s="11" t="n">
        <v>12333</v>
      </c>
      <c r="EG11" s="11" t="n">
        <v>-824743</v>
      </c>
      <c r="EH11" s="11" t="n">
        <v>66008</v>
      </c>
      <c r="EI11" s="11" t="n">
        <v>50859</v>
      </c>
      <c r="EJ11" s="11" t="n">
        <v>1780406</v>
      </c>
      <c r="EK11" s="11" t="n">
        <v>-4075386</v>
      </c>
      <c r="EL11" s="11" t="n">
        <v>-32653074</v>
      </c>
      <c r="EM11" s="11" t="n">
        <v>-22469452</v>
      </c>
      <c r="EN11" s="11" t="n">
        <v>-1401868</v>
      </c>
      <c r="EO11" s="11" t="n">
        <v>514271</v>
      </c>
      <c r="EP11" s="11" t="n">
        <v>363453</v>
      </c>
      <c r="EQ11" s="11" t="n">
        <v>-26887773</v>
      </c>
      <c r="ER11" s="11" t="n">
        <v>-18524099</v>
      </c>
      <c r="ES11" s="11" t="n">
        <v>-175505</v>
      </c>
      <c r="ET11" s="11" t="n">
        <v>25056</v>
      </c>
      <c r="EU11" s="11" t="n">
        <v>7951164</v>
      </c>
      <c r="EV11" s="11" t="n">
        <v>182</v>
      </c>
      <c r="EW11" s="11" t="n">
        <v>4928622</v>
      </c>
      <c r="EX11" s="11" t="n">
        <v>755272</v>
      </c>
      <c r="EY11" s="11" t="n">
        <v>-944878</v>
      </c>
      <c r="EZ11" s="11" t="n">
        <v>126576</v>
      </c>
      <c r="FA11" s="11" t="n">
        <v>-1080</v>
      </c>
      <c r="FB11" s="11" t="n">
        <v>90504</v>
      </c>
      <c r="FC11" s="11" t="n">
        <v>9936</v>
      </c>
      <c r="FD11" s="11" t="n">
        <v>-6264</v>
      </c>
      <c r="FE11" s="11" t="n">
        <v>-343642</v>
      </c>
      <c r="FF11" s="11" t="n">
        <v>3822114</v>
      </c>
      <c r="FG11" s="11" t="n">
        <v>-662378</v>
      </c>
      <c r="FH11" s="11" t="n">
        <v>2785472</v>
      </c>
      <c r="FI11" s="11" t="n">
        <v>213098</v>
      </c>
      <c r="FJ11" s="11" t="n">
        <v>32627</v>
      </c>
      <c r="FK11" s="11" t="n">
        <v>-40773</v>
      </c>
      <c r="FL11" s="11" t="n">
        <v>-773641</v>
      </c>
      <c r="FM11" s="11" t="n">
        <v>2180809</v>
      </c>
      <c r="FN11" s="11" t="n">
        <v>185875</v>
      </c>
      <c r="FO11" s="11" t="n">
        <v>-7194804</v>
      </c>
      <c r="FP11" s="11" t="n">
        <v>30718</v>
      </c>
      <c r="FQ11" s="11" t="n">
        <v>-4303914</v>
      </c>
      <c r="FR11" s="11" t="n">
        <v>-1769656</v>
      </c>
      <c r="FS11" s="11" t="n">
        <v>349450</v>
      </c>
      <c r="FT11" s="11" t="n">
        <v>9800180</v>
      </c>
      <c r="FU11" s="11" t="n">
        <v>49462932</v>
      </c>
      <c r="FV11" s="11" t="n">
        <v>-344699516</v>
      </c>
      <c r="FW11" s="11" t="n">
        <v>-160427752</v>
      </c>
      <c r="FX11" s="11" t="n">
        <v>-6073624</v>
      </c>
      <c r="FY11" s="11" t="n">
        <v>-938798</v>
      </c>
      <c r="FZ11" s="11" t="n">
        <v>1160934</v>
      </c>
      <c r="GA11" s="11" t="n">
        <v>-218364454</v>
      </c>
      <c r="GB11" s="11" t="n">
        <v>-93565082</v>
      </c>
      <c r="GC11" s="11" t="n">
        <v>-56201278</v>
      </c>
      <c r="GD11" s="11" t="n">
        <v>-154942</v>
      </c>
      <c r="GE11" s="11" t="n">
        <v>4245942</v>
      </c>
      <c r="GF11" s="11" t="n">
        <v>-6086702</v>
      </c>
      <c r="GG11" s="11" t="n">
        <v>-33376</v>
      </c>
      <c r="GH11" s="11" t="n">
        <v>74558</v>
      </c>
      <c r="GI11" s="11" t="n">
        <v>64097</v>
      </c>
      <c r="GJ11" s="11" t="n">
        <v>-7383</v>
      </c>
      <c r="GK11" s="11" t="n">
        <v>-4685395</v>
      </c>
      <c r="GL11" s="11" t="n">
        <v>186259</v>
      </c>
      <c r="GM11" s="11" t="n">
        <v>-303839</v>
      </c>
      <c r="GN11" s="11" t="n">
        <v>-6848676</v>
      </c>
      <c r="GO11" s="11" t="n">
        <v>15714008</v>
      </c>
      <c r="GP11" s="11" t="n">
        <v>3500316</v>
      </c>
      <c r="GQ11" s="11" t="n">
        <v>-161576052</v>
      </c>
      <c r="GR11" s="11" t="n">
        <v>-94445388</v>
      </c>
      <c r="GS11" s="11" t="n">
        <v>134120572</v>
      </c>
      <c r="GT11" s="11" t="n">
        <v>-10394758</v>
      </c>
      <c r="GU11" s="11" t="n">
        <v>-1358010</v>
      </c>
      <c r="GV11" s="11" t="n">
        <v>-2196798</v>
      </c>
      <c r="GW11" s="11" t="n">
        <v>111308384</v>
      </c>
      <c r="GX11" s="11" t="n">
        <v>17576</v>
      </c>
      <c r="GY11" s="11" t="n">
        <v>8534676</v>
      </c>
      <c r="GZ11" s="11" t="n">
        <v>-749378</v>
      </c>
      <c r="HA11" s="11" t="n">
        <v>5933254</v>
      </c>
      <c r="HB11" s="11" t="n">
        <v>-5102504</v>
      </c>
      <c r="HC11" s="11" t="n">
        <v>-4024318</v>
      </c>
      <c r="HD11" s="11" t="n">
        <v>114622</v>
      </c>
      <c r="HE11" s="11" t="n">
        <v>-7305</v>
      </c>
      <c r="HF11" s="11" t="n">
        <v>85115</v>
      </c>
      <c r="HG11" s="11" t="n">
        <v>-42232</v>
      </c>
      <c r="HH11" s="11" t="n">
        <v>-33759</v>
      </c>
      <c r="HI11" s="11" t="n">
        <v>1339861</v>
      </c>
      <c r="HJ11" s="11" t="n">
        <v>2636977</v>
      </c>
      <c r="HK11" s="11" t="n">
        <v>12768706</v>
      </c>
      <c r="HL11" s="11" t="n">
        <v>9851687</v>
      </c>
      <c r="HM11" s="11" t="n">
        <v>-1163000</v>
      </c>
      <c r="HN11" s="11" t="n">
        <v>-320099</v>
      </c>
      <c r="HO11" s="11" t="n">
        <v>-233238</v>
      </c>
      <c r="HP11" s="11" t="n">
        <v>10453257</v>
      </c>
      <c r="HQ11" s="11" t="n">
        <v>8092234</v>
      </c>
      <c r="HR11" s="11" t="n">
        <v>130885</v>
      </c>
      <c r="HS11" s="11" t="n">
        <v>-8225948</v>
      </c>
      <c r="HT11" s="11" t="n">
        <v>827278</v>
      </c>
      <c r="HU11" s="11" t="n">
        <v>-5680778</v>
      </c>
      <c r="HV11" s="11" t="n">
        <v>4813456</v>
      </c>
      <c r="HW11" s="11" t="n">
        <v>3858810</v>
      </c>
      <c r="HX11" s="11" t="n">
        <v>50990284</v>
      </c>
      <c r="HY11" s="11" t="n">
        <v>18379564</v>
      </c>
      <c r="HZ11" s="11" t="n">
        <v>-50730836</v>
      </c>
      <c r="IA11" s="11" t="n">
        <v>-9680104</v>
      </c>
      <c r="IB11" s="11" t="n">
        <v>-37061928</v>
      </c>
      <c r="IC11" s="11" t="n">
        <v>34939194</v>
      </c>
      <c r="ID11" s="11" t="n">
        <v>24893174</v>
      </c>
      <c r="IE11" s="11" t="n">
        <v>-24279438</v>
      </c>
      <c r="IF11" s="11" t="n">
        <v>1936886</v>
      </c>
      <c r="IG11" s="11" t="n">
        <v>-18133582</v>
      </c>
      <c r="IH11" s="11" t="n">
        <v>1976201</v>
      </c>
      <c r="II11" s="11" t="n">
        <v>2788429</v>
      </c>
      <c r="IJ11" s="11" t="n">
        <v>11625496</v>
      </c>
      <c r="IK11" s="11" t="n">
        <v>9365313</v>
      </c>
      <c r="IL11" s="11" t="n">
        <v>-1645180</v>
      </c>
      <c r="IM11" s="11" t="n">
        <v>-12784</v>
      </c>
      <c r="IN11" s="11" t="n">
        <v>-14823</v>
      </c>
      <c r="IO11" s="11" t="n">
        <v>9660144</v>
      </c>
      <c r="IP11" s="11" t="n">
        <v>7775673</v>
      </c>
      <c r="IQ11" s="11" t="n">
        <v>-26616</v>
      </c>
      <c r="IR11" s="11" t="n">
        <v>-12869164</v>
      </c>
      <c r="IS11" s="11" t="n">
        <v>-84250675</v>
      </c>
      <c r="IT11" s="11" t="n">
        <v>-60378427</v>
      </c>
      <c r="IU11" s="11" t="n">
        <v>-43172031</v>
      </c>
      <c r="IV11" s="11" t="n">
        <v>-24206651</v>
      </c>
      <c r="IW11" s="11" t="n">
        <v>44076883</v>
      </c>
      <c r="IX11" s="11" t="n">
        <v>70055124</v>
      </c>
      <c r="IY11" s="11" t="n">
        <v>50168288</v>
      </c>
      <c r="IZ11" s="11" t="n">
        <v>-241357</v>
      </c>
      <c r="JA11" s="11" t="n">
        <v>36526611</v>
      </c>
      <c r="JB11" s="11" t="n">
        <v>214044</v>
      </c>
      <c r="JC11" s="11" t="n">
        <v>-54250</v>
      </c>
      <c r="JD11" s="11" t="n">
        <v>179214</v>
      </c>
      <c r="JE11" s="11" t="n">
        <v>-407672</v>
      </c>
      <c r="JF11" s="11" t="n">
        <v>-243310</v>
      </c>
      <c r="JG11" s="11" t="n">
        <v>-17217018</v>
      </c>
      <c r="JH11" s="11" t="n">
        <v>14767638</v>
      </c>
      <c r="JI11" s="11" t="n">
        <v>-135820896</v>
      </c>
      <c r="JJ11" s="11" t="n">
        <v>-69139218</v>
      </c>
      <c r="JK11" s="11" t="n">
        <v>10672508</v>
      </c>
      <c r="JL11" s="11" t="n">
        <v>1632316</v>
      </c>
      <c r="JM11" s="11" t="n">
        <v>-2047570</v>
      </c>
      <c r="JN11" s="11" t="n">
        <v>-85592932</v>
      </c>
      <c r="JO11" s="11" t="n">
        <v>-41101838</v>
      </c>
      <c r="JP11" s="11" t="n">
        <v>-22707756</v>
      </c>
      <c r="JQ11" s="11" t="n">
        <v>-264830</v>
      </c>
      <c r="JR11" s="11" t="n">
        <v>132198</v>
      </c>
      <c r="JS11" s="11" t="n">
        <v>-2144326</v>
      </c>
      <c r="JT11" s="11" t="n">
        <v>-1175624</v>
      </c>
      <c r="JU11" s="11" t="n">
        <v>188230</v>
      </c>
      <c r="JV11" s="11" t="n">
        <v>39085</v>
      </c>
      <c r="JW11" s="11" t="n">
        <v>-3075</v>
      </c>
      <c r="JX11" s="11" t="n">
        <v>-1543607</v>
      </c>
      <c r="JY11" s="11" t="n">
        <v>-834049</v>
      </c>
      <c r="JZ11" s="11" t="n">
        <v>-198403</v>
      </c>
      <c r="KA11" s="11" t="n">
        <v>7637954</v>
      </c>
      <c r="KB11" s="11" t="n">
        <v>4435777</v>
      </c>
      <c r="KC11" s="11" t="n">
        <v>9019643</v>
      </c>
      <c r="KD11" s="11" t="n">
        <v>-64058695</v>
      </c>
      <c r="KE11" s="11" t="n">
        <v>-38408567</v>
      </c>
      <c r="KF11" s="11" t="n">
        <v>53340819</v>
      </c>
      <c r="KG11" s="11" t="n">
        <v>-2025514</v>
      </c>
      <c r="KH11" s="11" t="n">
        <v>-6499468</v>
      </c>
      <c r="KI11" s="11" t="n">
        <v>-1382671</v>
      </c>
      <c r="KJ11" s="11" t="n">
        <v>44324743</v>
      </c>
      <c r="KK11" s="11" t="n">
        <v>15315418</v>
      </c>
      <c r="KL11" s="11" t="n">
        <v>-14694390</v>
      </c>
      <c r="KM11" s="11" t="n">
        <v>132180092</v>
      </c>
      <c r="KN11" s="11" t="n">
        <v>66880990</v>
      </c>
      <c r="KO11" s="11" t="n">
        <v>-9098908</v>
      </c>
      <c r="KP11" s="11" t="n">
        <v>-4331366</v>
      </c>
      <c r="KQ11" s="11" t="n">
        <v>458320</v>
      </c>
      <c r="KR11" s="11" t="n">
        <v>82684082</v>
      </c>
      <c r="KS11" s="11" t="n">
        <v>39294340</v>
      </c>
      <c r="KT11" s="11" t="n">
        <v>22870210</v>
      </c>
      <c r="KU11" s="11" t="n">
        <v>125306144</v>
      </c>
      <c r="KV11" s="11" t="n">
        <v>-913799162</v>
      </c>
      <c r="KW11" s="11" t="n">
        <v>-432598834</v>
      </c>
      <c r="KX11" s="11" t="n">
        <v>-204712426</v>
      </c>
      <c r="KY11" s="11" t="n">
        <v>-132142850</v>
      </c>
      <c r="KZ11" s="11" t="n">
        <v>256920114</v>
      </c>
      <c r="LA11" s="11" t="n">
        <v>578327100</v>
      </c>
      <c r="LB11" s="11" t="n">
        <v>253257644</v>
      </c>
      <c r="LC11" s="11" t="n">
        <v>149689438</v>
      </c>
      <c r="LD11" s="11" t="n">
        <v>196134074</v>
      </c>
      <c r="LE11" s="11" t="n">
        <v>8721794</v>
      </c>
      <c r="LF11" s="11" t="n">
        <v>-10110093</v>
      </c>
      <c r="LG11" s="11" t="n">
        <v>1369253</v>
      </c>
      <c r="LH11" s="11" t="n">
        <v>-65573521</v>
      </c>
      <c r="LI11" s="11" t="n">
        <v>-39400985</v>
      </c>
      <c r="LJ11" s="11" t="n">
        <v>55967197</v>
      </c>
      <c r="LK11" s="11" t="n">
        <v>8473036</v>
      </c>
      <c r="LL11" s="11" t="n">
        <v>-1074478</v>
      </c>
      <c r="LM11" s="11" t="n">
        <v>-84691</v>
      </c>
      <c r="LN11" s="11" t="n">
        <v>46355517</v>
      </c>
      <c r="LO11" s="11" t="n">
        <v>437670802</v>
      </c>
      <c r="LP11" s="11" t="n">
        <v>257558346</v>
      </c>
      <c r="LQ11" s="11" t="n">
        <v>-367266286</v>
      </c>
      <c r="LR11" s="11" t="n">
        <v>40777516</v>
      </c>
      <c r="LS11" s="11" t="n">
        <v>304131098</v>
      </c>
    </row>
    <row r="12" customFormat="false" ht="15" hidden="false" customHeight="true" outlineLevel="0" collapsed="false">
      <c r="A12" s="7" t="s">
        <v>78</v>
      </c>
      <c r="B12" s="11" t="n">
        <v>-8466810</v>
      </c>
      <c r="C12" s="11" t="n">
        <v>-60083760</v>
      </c>
      <c r="D12" s="11" t="n">
        <v>-10077342</v>
      </c>
      <c r="E12" s="11" t="n">
        <v>-515541048</v>
      </c>
      <c r="F12" s="11" t="n">
        <v>-12698994</v>
      </c>
      <c r="G12" s="11" t="n">
        <v>-348316386</v>
      </c>
      <c r="H12" s="11" t="n">
        <v>311858250</v>
      </c>
      <c r="I12" s="11" t="n">
        <v>263133552</v>
      </c>
      <c r="J12" s="11" t="n">
        <v>10861230</v>
      </c>
      <c r="K12" s="11" t="n">
        <v>291882</v>
      </c>
      <c r="L12" s="11" t="n">
        <v>-10611522</v>
      </c>
      <c r="M12" s="11" t="n">
        <v>787894</v>
      </c>
      <c r="N12" s="11" t="n">
        <v>-16380244</v>
      </c>
      <c r="O12" s="11" t="n">
        <v>-1228890</v>
      </c>
      <c r="P12" s="11" t="n">
        <v>6675768</v>
      </c>
      <c r="Q12" s="11" t="n">
        <v>-10855914</v>
      </c>
      <c r="R12" s="11" t="n">
        <v>-736639896</v>
      </c>
      <c r="S12" s="11" t="n">
        <v>-10699078</v>
      </c>
      <c r="T12" s="11" t="n">
        <v>-563061062</v>
      </c>
      <c r="U12" s="11" t="n">
        <v>391331310</v>
      </c>
      <c r="V12" s="11" t="n">
        <v>384921744</v>
      </c>
      <c r="W12" s="11" t="n">
        <v>-30402606</v>
      </c>
      <c r="X12" s="11" t="n">
        <v>499984</v>
      </c>
      <c r="Y12" s="11" t="n">
        <v>-31503790</v>
      </c>
      <c r="Z12" s="11" t="n">
        <v>9288252</v>
      </c>
      <c r="AA12" s="11" t="n">
        <v>17016792</v>
      </c>
      <c r="AB12" s="11" t="n">
        <v>63890338</v>
      </c>
      <c r="AC12" s="11" t="n">
        <v>-560839462</v>
      </c>
      <c r="AD12" s="11" t="n">
        <v>-465681162</v>
      </c>
      <c r="AE12" s="11" t="n">
        <v>76697712</v>
      </c>
      <c r="AF12" s="11" t="n">
        <v>-56981202</v>
      </c>
      <c r="AG12" s="11" t="n">
        <v>27177364</v>
      </c>
      <c r="AH12" s="11" t="n">
        <v>34499048</v>
      </c>
      <c r="AI12" s="11" t="n">
        <v>-653889334</v>
      </c>
      <c r="AJ12" s="11" t="n">
        <v>-234434504</v>
      </c>
      <c r="AK12" s="11" t="n">
        <v>-284080488</v>
      </c>
      <c r="AL12" s="11" t="n">
        <v>37515810</v>
      </c>
      <c r="AM12" s="11" t="n">
        <v>786708</v>
      </c>
      <c r="AN12" s="11" t="n">
        <v>135844332</v>
      </c>
      <c r="AO12" s="11" t="n">
        <v>-16731364</v>
      </c>
      <c r="AP12" s="11" t="n">
        <v>82216834</v>
      </c>
      <c r="AQ12" s="11" t="n">
        <v>-128521350</v>
      </c>
      <c r="AR12" s="11" t="n">
        <v>-103553868</v>
      </c>
      <c r="AS12" s="11" t="n">
        <v>-39069174</v>
      </c>
      <c r="AT12" s="11" t="n">
        <v>-1320320376</v>
      </c>
      <c r="AU12" s="11" t="n">
        <v>-175000538</v>
      </c>
      <c r="AV12" s="11" t="n">
        <v>-959921722</v>
      </c>
      <c r="AW12" s="11" t="n">
        <v>469783650</v>
      </c>
      <c r="AX12" s="11" t="n">
        <v>431067024</v>
      </c>
      <c r="AY12" s="11" t="n">
        <v>113781876</v>
      </c>
      <c r="AZ12" s="11" t="n">
        <v>-21093904</v>
      </c>
      <c r="BA12" s="11" t="n">
        <v>65491474</v>
      </c>
      <c r="BB12" s="11" t="n">
        <v>-123991470</v>
      </c>
      <c r="BC12" s="11" t="n">
        <v>-98802084</v>
      </c>
      <c r="BD12" s="11" t="n">
        <v>-1222513708</v>
      </c>
      <c r="BE12" s="11" t="n">
        <v>-582350852</v>
      </c>
      <c r="BF12" s="11" t="n">
        <v>-2822061180</v>
      </c>
      <c r="BG12" s="11" t="n">
        <v>-2083555440</v>
      </c>
      <c r="BH12" s="11" t="n">
        <v>811625550</v>
      </c>
      <c r="BI12" s="11" t="n">
        <v>-809030290</v>
      </c>
      <c r="BJ12" s="11" t="n">
        <v>-675297212</v>
      </c>
      <c r="BK12" s="11" t="n">
        <v>-2258949260</v>
      </c>
      <c r="BL12" s="11" t="n">
        <v>-1704951628</v>
      </c>
      <c r="BM12" s="11" t="n">
        <v>-180014820</v>
      </c>
      <c r="BN12" s="11" t="n">
        <v>284118</v>
      </c>
      <c r="BO12" s="11" t="n">
        <v>-221280078</v>
      </c>
      <c r="BP12" s="11" t="n">
        <v>24954106</v>
      </c>
      <c r="BQ12" s="11" t="n">
        <v>-178047466</v>
      </c>
      <c r="BR12" s="11" t="n">
        <v>159422160</v>
      </c>
      <c r="BS12" s="11" t="n">
        <v>162418812</v>
      </c>
      <c r="BT12" s="11" t="n">
        <v>-5669040</v>
      </c>
      <c r="BU12" s="11" t="n">
        <v>650000</v>
      </c>
      <c r="BV12" s="11" t="n">
        <v>-4356314</v>
      </c>
      <c r="BW12" s="11" t="n">
        <v>4316418</v>
      </c>
      <c r="BX12" s="11" t="n">
        <v>4190172</v>
      </c>
      <c r="BY12" s="11" t="n">
        <v>-8328320</v>
      </c>
      <c r="BZ12" s="11" t="n">
        <v>-159767086</v>
      </c>
      <c r="CA12" s="11" t="n">
        <v>-180793578</v>
      </c>
      <c r="CB12" s="11" t="n">
        <v>-22676652</v>
      </c>
      <c r="CC12" s="11" t="n">
        <v>24718362</v>
      </c>
      <c r="CD12" s="11" t="n">
        <v>14388206</v>
      </c>
      <c r="CE12" s="11" t="n">
        <v>-3555676</v>
      </c>
      <c r="CF12" s="11" t="n">
        <v>-260575886</v>
      </c>
      <c r="CG12" s="11" t="n">
        <v>-135514688</v>
      </c>
      <c r="CH12" s="11" t="n">
        <v>-116364372</v>
      </c>
      <c r="CI12" s="11" t="n">
        <v>240441474</v>
      </c>
      <c r="CJ12" s="11" t="n">
        <v>-24662016</v>
      </c>
      <c r="CK12" s="11" t="n">
        <v>192689388</v>
      </c>
      <c r="CL12" s="11" t="n">
        <v>-169580934</v>
      </c>
      <c r="CM12" s="11" t="n">
        <v>-172408452</v>
      </c>
      <c r="CN12" s="11" t="n">
        <v>-1910435822</v>
      </c>
      <c r="CO12" s="11" t="n">
        <v>604229090</v>
      </c>
      <c r="CP12" s="11" t="n">
        <v>-2839724466</v>
      </c>
      <c r="CQ12" s="11" t="n">
        <v>-3173550624</v>
      </c>
      <c r="CR12" s="11" t="n">
        <v>1469044404</v>
      </c>
      <c r="CS12" s="11" t="n">
        <v>-1056141258</v>
      </c>
      <c r="CT12" s="11" t="n">
        <v>-1044366940</v>
      </c>
      <c r="CU12" s="11" t="n">
        <v>-1849593702</v>
      </c>
      <c r="CV12" s="11" t="n">
        <v>-2110015868</v>
      </c>
      <c r="CW12" s="11" t="n">
        <v>202049916</v>
      </c>
      <c r="CX12" s="11" t="n">
        <v>-57993520</v>
      </c>
      <c r="CY12" s="11" t="n">
        <v>-158121938</v>
      </c>
      <c r="CZ12" s="11" t="n">
        <v>-269200854</v>
      </c>
      <c r="DA12" s="11" t="n">
        <v>-105944436</v>
      </c>
      <c r="DB12" s="11" t="n">
        <v>62694432</v>
      </c>
      <c r="DC12" s="11" t="n">
        <v>-13290384</v>
      </c>
      <c r="DD12" s="11" t="n">
        <v>-30717536</v>
      </c>
      <c r="DE12" s="11" t="n">
        <v>-327258906</v>
      </c>
      <c r="DF12" s="11" t="n">
        <v>-198284956</v>
      </c>
      <c r="DG12" s="11" t="n">
        <v>-118308816</v>
      </c>
      <c r="DH12" s="11" t="n">
        <v>1402100814</v>
      </c>
      <c r="DI12" s="11" t="n">
        <v>1454014282</v>
      </c>
      <c r="DJ12" s="11" t="n">
        <v>76337388</v>
      </c>
      <c r="DK12" s="11" t="n">
        <v>-2543994232</v>
      </c>
      <c r="DL12" s="11" t="n">
        <v>-2353265748</v>
      </c>
      <c r="DM12" s="11" t="n">
        <v>-2301888780</v>
      </c>
      <c r="DN12" s="11" t="n">
        <v>-1893195270</v>
      </c>
      <c r="DO12" s="11" t="n">
        <v>-825178596</v>
      </c>
      <c r="DP12" s="11" t="n">
        <v>-752656208</v>
      </c>
      <c r="DQ12" s="11" t="n">
        <v>-1680294292</v>
      </c>
      <c r="DR12" s="11" t="n">
        <v>2512725</v>
      </c>
      <c r="DS12" s="11" t="n">
        <v>23097</v>
      </c>
      <c r="DT12" s="11" t="n">
        <v>-5230707</v>
      </c>
      <c r="DU12" s="11" t="n">
        <v>107599</v>
      </c>
      <c r="DV12" s="11" t="n">
        <v>-4437544</v>
      </c>
      <c r="DW12" s="11" t="n">
        <v>-284430</v>
      </c>
      <c r="DX12" s="11" t="n">
        <v>-284097</v>
      </c>
      <c r="DY12" s="11" t="n">
        <v>-2826783</v>
      </c>
      <c r="DZ12" s="11" t="n">
        <v>-190118052</v>
      </c>
      <c r="EA12" s="11" t="n">
        <v>-3005161</v>
      </c>
      <c r="EB12" s="11" t="n">
        <v>-134861609</v>
      </c>
      <c r="EC12" s="11" t="n">
        <v>90532845</v>
      </c>
      <c r="ED12" s="11" t="n">
        <v>76075008</v>
      </c>
      <c r="EE12" s="11" t="n">
        <v>-7632045</v>
      </c>
      <c r="EF12" s="11" t="n">
        <v>93424</v>
      </c>
      <c r="EG12" s="11" t="n">
        <v>-6231829</v>
      </c>
      <c r="EH12" s="11" t="n">
        <v>512199</v>
      </c>
      <c r="EI12" s="11" t="n">
        <v>379677</v>
      </c>
      <c r="EJ12" s="11" t="n">
        <v>14396971</v>
      </c>
      <c r="EK12" s="11" t="n">
        <v>-55014241</v>
      </c>
      <c r="EL12" s="11" t="n">
        <v>-209981619</v>
      </c>
      <c r="EM12" s="11" t="n">
        <v>-179859732</v>
      </c>
      <c r="EN12" s="11" t="n">
        <v>-11082195</v>
      </c>
      <c r="EO12" s="11" t="n">
        <v>3536593</v>
      </c>
      <c r="EP12" s="11" t="n">
        <v>2917883</v>
      </c>
      <c r="EQ12" s="11" t="n">
        <v>-175149358</v>
      </c>
      <c r="ER12" s="11" t="n">
        <v>-149598533</v>
      </c>
      <c r="ES12" s="11" t="n">
        <v>1624569</v>
      </c>
      <c r="ET12" s="11" t="n">
        <v>56994</v>
      </c>
      <c r="EU12" s="11" t="n">
        <v>3560736</v>
      </c>
      <c r="EV12" s="11" t="n">
        <v>95798</v>
      </c>
      <c r="EW12" s="11" t="n">
        <v>831262</v>
      </c>
      <c r="EX12" s="11" t="n">
        <v>165</v>
      </c>
      <c r="EY12" s="11" t="n">
        <v>2345631</v>
      </c>
      <c r="EZ12" s="11" t="n">
        <v>151374</v>
      </c>
      <c r="FA12" s="11" t="n">
        <v>-1560</v>
      </c>
      <c r="FB12" s="11" t="n">
        <v>108294</v>
      </c>
      <c r="FC12" s="11" t="n">
        <v>6453</v>
      </c>
      <c r="FD12" s="11" t="n">
        <v>28005</v>
      </c>
      <c r="FE12" s="11" t="n">
        <v>-351898</v>
      </c>
      <c r="FF12" s="11" t="n">
        <v>4557934</v>
      </c>
      <c r="FG12" s="11" t="n">
        <v>402717</v>
      </c>
      <c r="FH12" s="11" t="n">
        <v>-4480281</v>
      </c>
      <c r="FI12" s="11" t="n">
        <v>204778</v>
      </c>
      <c r="FJ12" s="11" t="n">
        <v>10851</v>
      </c>
      <c r="FK12" s="11" t="n">
        <v>111275</v>
      </c>
      <c r="FL12" s="11" t="n">
        <v>93804</v>
      </c>
      <c r="FM12" s="11" t="n">
        <v>-4048466</v>
      </c>
      <c r="FN12" s="11" t="n">
        <v>-265497</v>
      </c>
      <c r="FO12" s="11" t="n">
        <v>306504</v>
      </c>
      <c r="FP12" s="11" t="n">
        <v>-39608</v>
      </c>
      <c r="FQ12" s="11" t="n">
        <v>2123792</v>
      </c>
      <c r="FR12" s="11" t="n">
        <v>-2053665</v>
      </c>
      <c r="FS12" s="11" t="n">
        <v>-4364349</v>
      </c>
      <c r="FT12" s="11" t="n">
        <v>-2989720</v>
      </c>
      <c r="FU12" s="11" t="n">
        <v>128214856</v>
      </c>
      <c r="FV12" s="11" t="n">
        <v>-128304900</v>
      </c>
      <c r="FW12" s="11" t="n">
        <v>-285279852</v>
      </c>
      <c r="FX12" s="11" t="n">
        <v>4147448</v>
      </c>
      <c r="FY12" s="11" t="n">
        <v>-3451775</v>
      </c>
      <c r="FZ12" s="11" t="n">
        <v>-5705691</v>
      </c>
      <c r="GA12" s="11" t="n">
        <v>-29959015</v>
      </c>
      <c r="GB12" s="11" t="n">
        <v>-151060635</v>
      </c>
      <c r="GC12" s="11" t="n">
        <v>84507495</v>
      </c>
      <c r="GD12" s="11" t="n">
        <v>-96808</v>
      </c>
      <c r="GE12" s="11" t="n">
        <v>5058328</v>
      </c>
      <c r="GF12" s="11" t="n">
        <v>-5489163</v>
      </c>
      <c r="GG12" s="11" t="n">
        <v>-11742159</v>
      </c>
      <c r="GH12" s="11" t="n">
        <v>17128</v>
      </c>
      <c r="GI12" s="11" t="n">
        <v>60696</v>
      </c>
      <c r="GJ12" s="11" t="n">
        <v>138920</v>
      </c>
      <c r="GK12" s="11" t="n">
        <v>-4142619</v>
      </c>
      <c r="GL12" s="11" t="n">
        <v>-9336239</v>
      </c>
      <c r="GM12" s="11" t="n">
        <v>514962</v>
      </c>
      <c r="GN12" s="11" t="n">
        <v>-8844128</v>
      </c>
      <c r="GO12" s="11" t="n">
        <v>13018165</v>
      </c>
      <c r="GP12" s="11" t="n">
        <v>24431641</v>
      </c>
      <c r="GQ12" s="11" t="n">
        <v>-178738207</v>
      </c>
      <c r="GR12" s="11" t="n">
        <v>-203847787</v>
      </c>
      <c r="GS12" s="11" t="n">
        <v>-193704069</v>
      </c>
      <c r="GT12" s="11" t="n">
        <v>-7848301</v>
      </c>
      <c r="GU12" s="11" t="n">
        <v>-17014001</v>
      </c>
      <c r="GV12" s="11" t="n">
        <v>3363158</v>
      </c>
      <c r="GW12" s="11" t="n">
        <v>-162954815</v>
      </c>
      <c r="GX12" s="11" t="n">
        <v>131133</v>
      </c>
      <c r="GY12" s="11" t="n">
        <v>63491877</v>
      </c>
      <c r="GZ12" s="11" t="n">
        <v>-5442189</v>
      </c>
      <c r="HA12" s="11" t="n">
        <v>44062209</v>
      </c>
      <c r="HB12" s="11" t="n">
        <v>-36881445</v>
      </c>
      <c r="HC12" s="11" t="n">
        <v>-29473233</v>
      </c>
      <c r="HD12" s="11" t="n">
        <v>856596</v>
      </c>
      <c r="HE12" s="11" t="n">
        <v>-55640</v>
      </c>
      <c r="HF12" s="11" t="n">
        <v>636605</v>
      </c>
      <c r="HG12" s="11" t="n">
        <v>-324171</v>
      </c>
      <c r="HH12" s="11" t="n">
        <v>-256092</v>
      </c>
      <c r="HI12" s="11" t="n">
        <v>8610108</v>
      </c>
      <c r="HJ12" s="11" t="n">
        <v>20404737</v>
      </c>
      <c r="HK12" s="11" t="n">
        <v>83962641</v>
      </c>
      <c r="HL12" s="11" t="n">
        <v>68532648</v>
      </c>
      <c r="HM12" s="11" t="n">
        <v>-7724245</v>
      </c>
      <c r="HN12" s="11" t="n">
        <v>-2195357</v>
      </c>
      <c r="HO12" s="11" t="n">
        <v>-1877404</v>
      </c>
      <c r="HP12" s="11" t="n">
        <v>70121342</v>
      </c>
      <c r="HQ12" s="11" t="n">
        <v>57032389</v>
      </c>
      <c r="HR12" s="11" t="n">
        <v>-833691</v>
      </c>
      <c r="HS12" s="11" t="n">
        <v>-61505739</v>
      </c>
      <c r="HT12" s="11" t="n">
        <v>6279224</v>
      </c>
      <c r="HU12" s="11" t="n">
        <v>-42531314</v>
      </c>
      <c r="HV12" s="11" t="n">
        <v>36766458</v>
      </c>
      <c r="HW12" s="11" t="n">
        <v>29186835</v>
      </c>
      <c r="HX12" s="11" t="n">
        <v>487702269</v>
      </c>
      <c r="HY12" s="11" t="n">
        <v>73862181</v>
      </c>
      <c r="HZ12" s="11" t="n">
        <v>502931367</v>
      </c>
      <c r="IA12" s="11" t="n">
        <v>307733076</v>
      </c>
      <c r="IB12" s="11" t="n">
        <v>-344787590</v>
      </c>
      <c r="IC12" s="11" t="n">
        <v>240190046</v>
      </c>
      <c r="ID12" s="11" t="n">
        <v>200016469</v>
      </c>
      <c r="IE12" s="11" t="n">
        <v>391930624</v>
      </c>
      <c r="IF12" s="11" t="n">
        <v>247848341</v>
      </c>
      <c r="IG12" s="11" t="n">
        <v>54705783</v>
      </c>
      <c r="IH12" s="11" t="n">
        <v>14920568</v>
      </c>
      <c r="II12" s="11" t="n">
        <v>20762947</v>
      </c>
      <c r="IJ12" s="11" t="n">
        <v>88121403</v>
      </c>
      <c r="IK12" s="11" t="n">
        <v>70540584</v>
      </c>
      <c r="IL12" s="11" t="n">
        <v>-12437320</v>
      </c>
      <c r="IM12" s="11" t="n">
        <v>-77352</v>
      </c>
      <c r="IN12" s="11" t="n">
        <v>-121224</v>
      </c>
      <c r="IO12" s="11" t="n">
        <v>73347612</v>
      </c>
      <c r="IP12" s="11" t="n">
        <v>58631739</v>
      </c>
      <c r="IQ12" s="11" t="n">
        <v>-350253</v>
      </c>
      <c r="IR12" s="11" t="n">
        <v>-146719165</v>
      </c>
      <c r="IS12" s="11" t="n">
        <v>-576742709</v>
      </c>
      <c r="IT12" s="11" t="n">
        <v>-484690552</v>
      </c>
      <c r="IU12" s="11" t="n">
        <v>63953354</v>
      </c>
      <c r="IV12" s="11" t="n">
        <v>19171612</v>
      </c>
      <c r="IW12" s="11" t="n">
        <v>-135909300</v>
      </c>
      <c r="IX12" s="11" t="n">
        <v>479994100</v>
      </c>
      <c r="IY12" s="11" t="n">
        <v>402830885</v>
      </c>
      <c r="IZ12" s="11" t="n">
        <v>-2173059</v>
      </c>
      <c r="JA12" s="11" t="n">
        <v>-112869546</v>
      </c>
      <c r="JB12" s="11" t="n">
        <v>1254306</v>
      </c>
      <c r="JC12" s="11" t="n">
        <v>-128440</v>
      </c>
      <c r="JD12" s="11" t="n">
        <v>956044</v>
      </c>
      <c r="JE12" s="11" t="n">
        <v>-836559</v>
      </c>
      <c r="JF12" s="11" t="n">
        <v>-790929</v>
      </c>
      <c r="JG12" s="11" t="n">
        <v>-10132662</v>
      </c>
      <c r="JH12" s="11" t="n">
        <v>41435298</v>
      </c>
      <c r="JI12" s="11" t="n">
        <v>-52268181</v>
      </c>
      <c r="JJ12" s="11" t="n">
        <v>-101035695</v>
      </c>
      <c r="JK12" s="11" t="n">
        <v>3480268</v>
      </c>
      <c r="JL12" s="11" t="n">
        <v>-1405753</v>
      </c>
      <c r="JM12" s="11" t="n">
        <v>3956617</v>
      </c>
      <c r="JN12" s="11" t="n">
        <v>-12204047</v>
      </c>
      <c r="JO12" s="11" t="n">
        <v>-50882473</v>
      </c>
      <c r="JP12" s="11" t="n">
        <v>34426926</v>
      </c>
      <c r="JQ12" s="11" t="n">
        <v>-306800</v>
      </c>
      <c r="JR12" s="11" t="n">
        <v>155918</v>
      </c>
      <c r="JS12" s="11" t="n">
        <v>-2363886</v>
      </c>
      <c r="JT12" s="11" t="n">
        <v>-2717004</v>
      </c>
      <c r="JU12" s="11" t="n">
        <v>217880</v>
      </c>
      <c r="JV12" s="11" t="n">
        <v>37440</v>
      </c>
      <c r="JW12" s="11" t="n">
        <v>84760</v>
      </c>
      <c r="JX12" s="11" t="n">
        <v>-1697787</v>
      </c>
      <c r="JY12" s="11" t="n">
        <v>-1972609</v>
      </c>
      <c r="JZ12" s="11" t="n">
        <v>321507</v>
      </c>
      <c r="KA12" s="11" t="n">
        <v>8875414</v>
      </c>
      <c r="KB12" s="11" t="n">
        <v>6311522</v>
      </c>
      <c r="KC12" s="11" t="n">
        <v>-2764292</v>
      </c>
      <c r="KD12" s="11" t="n">
        <v>-71592395</v>
      </c>
      <c r="KE12" s="11" t="n">
        <v>-77195347</v>
      </c>
      <c r="KF12" s="11" t="n">
        <v>-77193291</v>
      </c>
      <c r="KG12" s="11" t="n">
        <v>-3399149</v>
      </c>
      <c r="KH12" s="11" t="n">
        <v>4415137</v>
      </c>
      <c r="KI12" s="11" t="n">
        <v>2081029</v>
      </c>
      <c r="KJ12" s="11" t="n">
        <v>-65178787</v>
      </c>
      <c r="KK12" s="11" t="n">
        <v>180952</v>
      </c>
      <c r="KL12" s="11" t="n">
        <v>-41598304</v>
      </c>
      <c r="KM12" s="11" t="n">
        <v>40697541</v>
      </c>
      <c r="KN12" s="11" t="n">
        <v>91795737</v>
      </c>
      <c r="KO12" s="11" t="n">
        <v>4121712</v>
      </c>
      <c r="KP12" s="11" t="n">
        <v>-4046712</v>
      </c>
      <c r="KQ12" s="11" t="n">
        <v>-9285712</v>
      </c>
      <c r="KR12" s="11" t="n">
        <v>3276078</v>
      </c>
      <c r="KS12" s="11" t="n">
        <v>43736902</v>
      </c>
      <c r="KT12" s="11" t="n">
        <v>-35560449</v>
      </c>
      <c r="KU12" s="11" t="n">
        <v>330065992</v>
      </c>
      <c r="KV12" s="11" t="n">
        <v>-321226555</v>
      </c>
      <c r="KW12" s="11" t="n">
        <v>-726977759</v>
      </c>
      <c r="KX12" s="11" t="n">
        <v>-389022251</v>
      </c>
      <c r="KY12" s="11" t="n">
        <v>-318367159</v>
      </c>
      <c r="KZ12" s="11" t="n">
        <v>-546989217</v>
      </c>
      <c r="LA12" s="11" t="n">
        <v>64540122</v>
      </c>
      <c r="LB12" s="11" t="n">
        <v>378579898</v>
      </c>
      <c r="LC12" s="11" t="n">
        <v>-226290151</v>
      </c>
      <c r="LD12" s="11" t="n">
        <v>-383949125</v>
      </c>
      <c r="LE12" s="11" t="n">
        <v>10152344</v>
      </c>
      <c r="LF12" s="11" t="n">
        <v>-9613488</v>
      </c>
      <c r="LG12" s="11" t="n">
        <v>-22061032</v>
      </c>
      <c r="LH12" s="11" t="n">
        <v>-73337901</v>
      </c>
      <c r="LI12" s="11" t="n">
        <v>-78697025</v>
      </c>
      <c r="LJ12" s="11" t="n">
        <v>-84843153</v>
      </c>
      <c r="LK12" s="11" t="n">
        <v>8066136</v>
      </c>
      <c r="LL12" s="11" t="n">
        <v>18471872</v>
      </c>
      <c r="LM12" s="11" t="n">
        <v>36264</v>
      </c>
      <c r="LN12" s="11" t="n">
        <v>-70910463</v>
      </c>
      <c r="LO12" s="11" t="n">
        <v>486963587</v>
      </c>
      <c r="LP12" s="11" t="n">
        <v>546729951</v>
      </c>
      <c r="LQ12" s="11" t="n">
        <v>540460159</v>
      </c>
      <c r="LR12" s="11" t="n">
        <v>-174682954</v>
      </c>
      <c r="LS12" s="11" t="n">
        <v>-451632737</v>
      </c>
    </row>
    <row r="13" customFormat="false" ht="15" hidden="false" customHeight="true" outlineLevel="0" collapsed="false">
      <c r="A13" s="7" t="s">
        <v>79</v>
      </c>
      <c r="B13" s="11" t="n">
        <v>1304190</v>
      </c>
      <c r="C13" s="11" t="n">
        <v>-35302800</v>
      </c>
      <c r="D13" s="11" t="n">
        <v>964186</v>
      </c>
      <c r="E13" s="11" t="n">
        <v>89917720</v>
      </c>
      <c r="F13" s="11" t="n">
        <v>5650630</v>
      </c>
      <c r="G13" s="11" t="n">
        <v>48022094</v>
      </c>
      <c r="H13" s="11" t="n">
        <v>-62391254</v>
      </c>
      <c r="I13" s="11" t="n">
        <v>-35883208</v>
      </c>
      <c r="J13" s="11" t="n">
        <v>11433090</v>
      </c>
      <c r="K13" s="11" t="n">
        <v>308</v>
      </c>
      <c r="L13" s="11" t="n">
        <v>1982180</v>
      </c>
      <c r="M13" s="11" t="n">
        <v>-433870</v>
      </c>
      <c r="N13" s="11" t="n">
        <v>4318387</v>
      </c>
      <c r="O13" s="11" t="n">
        <v>951773</v>
      </c>
      <c r="P13" s="11" t="n">
        <v>-1783619</v>
      </c>
      <c r="Q13" s="11" t="n">
        <v>-8460806</v>
      </c>
      <c r="R13" s="11" t="n">
        <v>-841912520</v>
      </c>
      <c r="S13" s="11" t="n">
        <v>-37791530</v>
      </c>
      <c r="T13" s="11" t="n">
        <v>-537875674</v>
      </c>
      <c r="U13" s="11" t="n">
        <v>521185234</v>
      </c>
      <c r="V13" s="11" t="n">
        <v>362847968</v>
      </c>
      <c r="W13" s="11" t="n">
        <v>1444188</v>
      </c>
      <c r="X13" s="11" t="n">
        <v>-322094</v>
      </c>
      <c r="Y13" s="11" t="n">
        <v>3181237</v>
      </c>
      <c r="Z13" s="11" t="n">
        <v>718379</v>
      </c>
      <c r="AA13" s="11" t="n">
        <v>-1310153</v>
      </c>
      <c r="AB13" s="11" t="n">
        <v>-38501420</v>
      </c>
      <c r="AC13" s="11" t="n">
        <v>224745688</v>
      </c>
      <c r="AD13" s="11" t="n">
        <v>160445912</v>
      </c>
      <c r="AE13" s="11" t="n">
        <v>-68434796</v>
      </c>
      <c r="AF13" s="11" t="n">
        <v>34685861</v>
      </c>
      <c r="AG13" s="11" t="n">
        <v>-16632221</v>
      </c>
      <c r="AH13" s="11" t="n">
        <v>-19665247</v>
      </c>
      <c r="AI13" s="11" t="n">
        <v>241633284</v>
      </c>
      <c r="AJ13" s="11" t="n">
        <v>53139849</v>
      </c>
      <c r="AK13" s="11" t="n">
        <v>111513579</v>
      </c>
      <c r="AL13" s="11" t="n">
        <v>16297530</v>
      </c>
      <c r="AM13" s="11" t="n">
        <v>124978</v>
      </c>
      <c r="AN13" s="11" t="n">
        <v>-24913130</v>
      </c>
      <c r="AO13" s="11" t="n">
        <v>1020820</v>
      </c>
      <c r="AP13" s="11" t="n">
        <v>-9825223</v>
      </c>
      <c r="AQ13" s="11" t="n">
        <v>25683913</v>
      </c>
      <c r="AR13" s="11" t="n">
        <v>13864421</v>
      </c>
      <c r="AS13" s="11" t="n">
        <v>-15431742</v>
      </c>
      <c r="AT13" s="11" t="n">
        <v>-449270040</v>
      </c>
      <c r="AU13" s="11" t="n">
        <v>-98244210</v>
      </c>
      <c r="AV13" s="11" t="n">
        <v>-334141218</v>
      </c>
      <c r="AW13" s="11" t="n">
        <v>84427338</v>
      </c>
      <c r="AX13" s="11" t="n">
        <v>73114176</v>
      </c>
      <c r="AY13" s="11" t="n">
        <v>-27034886</v>
      </c>
      <c r="AZ13" s="11" t="n">
        <v>213202</v>
      </c>
      <c r="BA13" s="11" t="n">
        <v>-11865639</v>
      </c>
      <c r="BB13" s="11" t="n">
        <v>24966917</v>
      </c>
      <c r="BC13" s="11" t="n">
        <v>13688567</v>
      </c>
      <c r="BD13" s="11" t="n">
        <v>178321170</v>
      </c>
      <c r="BE13" s="11" t="n">
        <v>239933614</v>
      </c>
      <c r="BF13" s="11" t="n">
        <v>578962786</v>
      </c>
      <c r="BG13" s="11" t="n">
        <v>270431532</v>
      </c>
      <c r="BH13" s="11" t="n">
        <v>-80157503</v>
      </c>
      <c r="BI13" s="11" t="n">
        <v>160115113</v>
      </c>
      <c r="BJ13" s="11" t="n">
        <v>88156641</v>
      </c>
      <c r="BK13" s="11" t="n">
        <v>475687822</v>
      </c>
      <c r="BL13" s="11" t="n">
        <v>240178201</v>
      </c>
      <c r="BM13" s="11" t="n">
        <v>43400563</v>
      </c>
      <c r="BN13" s="11" t="n">
        <v>1091762</v>
      </c>
      <c r="BO13" s="11" t="n">
        <v>-243169090</v>
      </c>
      <c r="BP13" s="11" t="n">
        <v>14370710</v>
      </c>
      <c r="BQ13" s="11" t="n">
        <v>-140095922</v>
      </c>
      <c r="BR13" s="11" t="n">
        <v>213262592</v>
      </c>
      <c r="BS13" s="11" t="n">
        <v>143830084</v>
      </c>
      <c r="BT13" s="11" t="n">
        <v>-195832</v>
      </c>
      <c r="BU13" s="11" t="n">
        <v>41818</v>
      </c>
      <c r="BV13" s="11" t="n">
        <v>-416143</v>
      </c>
      <c r="BW13" s="11" t="n">
        <v>-85141</v>
      </c>
      <c r="BX13" s="11" t="n">
        <v>174195</v>
      </c>
      <c r="BY13" s="11" t="n">
        <v>-6736450</v>
      </c>
      <c r="BZ13" s="11" t="n">
        <v>67558543</v>
      </c>
      <c r="CA13" s="11" t="n">
        <v>57216957</v>
      </c>
      <c r="CB13" s="11" t="n">
        <v>-12999451</v>
      </c>
      <c r="CC13" s="11" t="n">
        <v>-111507</v>
      </c>
      <c r="CD13" s="11" t="n">
        <v>-9289343</v>
      </c>
      <c r="CE13" s="11" t="n">
        <v>-3216251</v>
      </c>
      <c r="CF13" s="11" t="n">
        <v>92213909</v>
      </c>
      <c r="CG13" s="11" t="n">
        <v>32470331</v>
      </c>
      <c r="CH13" s="11" t="n">
        <v>45243482</v>
      </c>
      <c r="CI13" s="11" t="n">
        <v>260347342</v>
      </c>
      <c r="CJ13" s="11" t="n">
        <v>-7025960</v>
      </c>
      <c r="CK13" s="11" t="n">
        <v>155037408</v>
      </c>
      <c r="CL13" s="11" t="n">
        <v>-207588994</v>
      </c>
      <c r="CM13" s="11" t="n">
        <v>-141087148</v>
      </c>
      <c r="CN13" s="11" t="n">
        <v>-1862017410</v>
      </c>
      <c r="CO13" s="11" t="n">
        <v>-1123600658</v>
      </c>
      <c r="CP13" s="11" t="n">
        <v>-4619250542</v>
      </c>
      <c r="CQ13" s="11" t="n">
        <v>-2874020784</v>
      </c>
      <c r="CR13" s="11" t="n">
        <v>1139157880</v>
      </c>
      <c r="CS13" s="11" t="n">
        <v>-1360027910</v>
      </c>
      <c r="CT13" s="11" t="n">
        <v>-931501620</v>
      </c>
      <c r="CU13" s="11" t="n">
        <v>-3646681214</v>
      </c>
      <c r="CV13" s="11" t="n">
        <v>-2320386068</v>
      </c>
      <c r="CW13" s="11" t="n">
        <v>-211647260</v>
      </c>
      <c r="CX13" s="11" t="n">
        <v>-8711878</v>
      </c>
      <c r="CY13" s="11" t="n">
        <v>71426225</v>
      </c>
      <c r="CZ13" s="11" t="n">
        <v>57538915</v>
      </c>
      <c r="DA13" s="11" t="n">
        <v>-16232317</v>
      </c>
      <c r="DB13" s="11" t="n">
        <v>3260372</v>
      </c>
      <c r="DC13" s="11" t="n">
        <v>-8499246</v>
      </c>
      <c r="DD13" s="11" t="n">
        <v>-4283072</v>
      </c>
      <c r="DE13" s="11" t="n">
        <v>91216535</v>
      </c>
      <c r="DF13" s="11" t="n">
        <v>29040842</v>
      </c>
      <c r="DG13" s="11" t="n">
        <v>44124329</v>
      </c>
      <c r="DH13" s="11" t="n">
        <v>-548442497</v>
      </c>
      <c r="DI13" s="11" t="n">
        <v>-566093003</v>
      </c>
      <c r="DJ13" s="11" t="n">
        <v>19922379</v>
      </c>
      <c r="DK13" s="11" t="n">
        <v>1018965140</v>
      </c>
      <c r="DL13" s="11" t="n">
        <v>858541883</v>
      </c>
      <c r="DM13" s="11" t="n">
        <v>923186597</v>
      </c>
      <c r="DN13" s="11" t="n">
        <v>746913751</v>
      </c>
      <c r="DO13" s="11" t="n">
        <v>262178182</v>
      </c>
      <c r="DP13" s="11" t="n">
        <v>297747775</v>
      </c>
      <c r="DQ13" s="11" t="n">
        <v>682124949</v>
      </c>
      <c r="DR13" s="11" t="n">
        <v>-363930</v>
      </c>
      <c r="DS13" s="11" t="n">
        <v>-3040</v>
      </c>
      <c r="DT13" s="11" t="n">
        <v>794540</v>
      </c>
      <c r="DU13" s="11" t="n">
        <v>-19780</v>
      </c>
      <c r="DV13" s="11" t="n">
        <v>686230</v>
      </c>
      <c r="DW13" s="11" t="n">
        <v>57020</v>
      </c>
      <c r="DX13" s="11" t="n">
        <v>40330</v>
      </c>
      <c r="DY13" s="11" t="n">
        <v>351342</v>
      </c>
      <c r="DZ13" s="11" t="n">
        <v>3584040</v>
      </c>
      <c r="EA13" s="11" t="n">
        <v>2112210</v>
      </c>
      <c r="EB13" s="11" t="n">
        <v>-5174982</v>
      </c>
      <c r="EC13" s="11" t="n">
        <v>-18953538</v>
      </c>
      <c r="ED13" s="11" t="n">
        <v>-11104776</v>
      </c>
      <c r="EE13" s="11" t="n">
        <v>796996</v>
      </c>
      <c r="EF13" s="11" t="n">
        <v>-1452</v>
      </c>
      <c r="EG13" s="11" t="n">
        <v>619266</v>
      </c>
      <c r="EH13" s="11" t="n">
        <v>-103276</v>
      </c>
      <c r="EI13" s="11" t="n">
        <v>-53826</v>
      </c>
      <c r="EJ13" s="11" t="n">
        <v>-4806220</v>
      </c>
      <c r="EK13" s="11" t="n">
        <v>18056236</v>
      </c>
      <c r="EL13" s="11" t="n">
        <v>41941324</v>
      </c>
      <c r="EM13" s="11" t="n">
        <v>24641368</v>
      </c>
      <c r="EN13" s="11" t="n">
        <v>3701538</v>
      </c>
      <c r="EO13" s="11" t="n">
        <v>-699208</v>
      </c>
      <c r="EP13" s="11" t="n">
        <v>-369486</v>
      </c>
      <c r="EQ13" s="11" t="n">
        <v>34928170</v>
      </c>
      <c r="ER13" s="11" t="n">
        <v>20365794</v>
      </c>
      <c r="ES13" s="11" t="n">
        <v>-360514</v>
      </c>
      <c r="ET13" s="11" t="n">
        <v>-26564</v>
      </c>
      <c r="EU13" s="11" t="n">
        <v>7518400</v>
      </c>
      <c r="EV13" s="11" t="n">
        <v>-294470</v>
      </c>
      <c r="EW13" s="11" t="n">
        <v>7220819</v>
      </c>
      <c r="EX13" s="11" t="n">
        <v>765451</v>
      </c>
      <c r="EY13" s="11" t="n">
        <v>-144163</v>
      </c>
      <c r="EZ13" s="11" t="n">
        <v>4808</v>
      </c>
      <c r="FA13" s="11" t="n">
        <v>-1016</v>
      </c>
      <c r="FB13" s="11" t="n">
        <v>10228</v>
      </c>
      <c r="FC13" s="11" t="n">
        <v>2232</v>
      </c>
      <c r="FD13" s="11" t="n">
        <v>-4148</v>
      </c>
      <c r="FE13" s="11" t="n">
        <v>234260</v>
      </c>
      <c r="FF13" s="11" t="n">
        <v>-1587882</v>
      </c>
      <c r="FG13" s="11" t="n">
        <v>-493178</v>
      </c>
      <c r="FH13" s="11" t="n">
        <v>1147914</v>
      </c>
      <c r="FI13" s="11" t="n">
        <v>-162796</v>
      </c>
      <c r="FJ13" s="11" t="n">
        <v>-4534</v>
      </c>
      <c r="FK13" s="11" t="n">
        <v>-40468</v>
      </c>
      <c r="FL13" s="11" t="n">
        <v>-311995</v>
      </c>
      <c r="FM13" s="11" t="n">
        <v>1072032</v>
      </c>
      <c r="FN13" s="11" t="n">
        <v>107413</v>
      </c>
      <c r="FO13" s="11" t="n">
        <v>-7519952</v>
      </c>
      <c r="FP13" s="11" t="n">
        <v>130110</v>
      </c>
      <c r="FQ13" s="11" t="n">
        <v>-6593325</v>
      </c>
      <c r="FR13" s="11" t="n">
        <v>644483</v>
      </c>
      <c r="FS13" s="11" t="n">
        <v>949737</v>
      </c>
      <c r="FT13" s="11" t="n">
        <v>46535960</v>
      </c>
      <c r="FU13" s="11" t="n">
        <v>-178021292</v>
      </c>
      <c r="FV13" s="11" t="n">
        <v>-399097868</v>
      </c>
      <c r="FW13" s="11" t="n">
        <v>-227992916</v>
      </c>
      <c r="FX13" s="11" t="n">
        <v>-37721565</v>
      </c>
      <c r="FY13" s="11" t="n">
        <v>10893455</v>
      </c>
      <c r="FZ13" s="11" t="n">
        <v>9822015</v>
      </c>
      <c r="GA13" s="11" t="n">
        <v>-365177018</v>
      </c>
      <c r="GB13" s="11" t="n">
        <v>-222382377</v>
      </c>
      <c r="GC13" s="11" t="n">
        <v>-30864619</v>
      </c>
      <c r="GD13" s="11" t="n">
        <v>264068</v>
      </c>
      <c r="GE13" s="11" t="n">
        <v>-1702054</v>
      </c>
      <c r="GF13" s="11" t="n">
        <v>-748502</v>
      </c>
      <c r="GG13" s="11" t="n">
        <v>1002350</v>
      </c>
      <c r="GH13" s="11" t="n">
        <v>-202080</v>
      </c>
      <c r="GI13" s="11" t="n">
        <v>35582</v>
      </c>
      <c r="GJ13" s="11" t="n">
        <v>16008</v>
      </c>
      <c r="GK13" s="11" t="n">
        <v>-802141</v>
      </c>
      <c r="GL13" s="11" t="n">
        <v>663876</v>
      </c>
      <c r="GM13" s="11" t="n">
        <v>-180437</v>
      </c>
      <c r="GN13" s="11" t="n">
        <v>4281542</v>
      </c>
      <c r="GO13" s="11" t="n">
        <v>-9382602</v>
      </c>
      <c r="GP13" s="11" t="n">
        <v>-14208994</v>
      </c>
      <c r="GQ13" s="11" t="n">
        <v>72611744</v>
      </c>
      <c r="GR13" s="11" t="n">
        <v>75332382</v>
      </c>
      <c r="GS13" s="11" t="n">
        <v>75889966</v>
      </c>
      <c r="GT13" s="11" t="n">
        <v>6603187</v>
      </c>
      <c r="GU13" s="11" t="n">
        <v>10613988</v>
      </c>
      <c r="GV13" s="11" t="n">
        <v>-1345819</v>
      </c>
      <c r="GW13" s="11" t="n">
        <v>63824289</v>
      </c>
      <c r="GX13" s="11" t="n">
        <v>-3114</v>
      </c>
      <c r="GY13" s="11" t="n">
        <v>2976870</v>
      </c>
      <c r="GZ13" s="11" t="n">
        <v>37680</v>
      </c>
      <c r="HA13" s="11" t="n">
        <v>5833629</v>
      </c>
      <c r="HB13" s="11" t="n">
        <v>7879551</v>
      </c>
      <c r="HC13" s="11" t="n">
        <v>4372797</v>
      </c>
      <c r="HD13" s="11" t="n">
        <v>18068</v>
      </c>
      <c r="HE13" s="11" t="n">
        <v>484</v>
      </c>
      <c r="HF13" s="11" t="n">
        <v>42858</v>
      </c>
      <c r="HG13" s="11" t="n">
        <v>65332</v>
      </c>
      <c r="HH13" s="11" t="n">
        <v>36182</v>
      </c>
      <c r="HI13" s="11" t="n">
        <v>-244060</v>
      </c>
      <c r="HJ13" s="11" t="n">
        <v>-7122892</v>
      </c>
      <c r="HK13" s="11" t="n">
        <v>-16736398</v>
      </c>
      <c r="HL13" s="11" t="n">
        <v>-9216896</v>
      </c>
      <c r="HM13" s="11" t="n">
        <v>388114</v>
      </c>
      <c r="HN13" s="11" t="n">
        <v>434166</v>
      </c>
      <c r="HO13" s="11" t="n">
        <v>241842</v>
      </c>
      <c r="HP13" s="11" t="n">
        <v>-13943755</v>
      </c>
      <c r="HQ13" s="11" t="n">
        <v>-7598918</v>
      </c>
      <c r="HR13" s="11" t="n">
        <v>188073</v>
      </c>
      <c r="HS13" s="11" t="n">
        <v>-2904570</v>
      </c>
      <c r="HT13" s="11" t="n">
        <v>-54450</v>
      </c>
      <c r="HU13" s="11" t="n">
        <v>-5587569</v>
      </c>
      <c r="HV13" s="11" t="n">
        <v>-7444827</v>
      </c>
      <c r="HW13" s="11" t="n">
        <v>-4126527</v>
      </c>
      <c r="HX13" s="11" t="n">
        <v>16906350</v>
      </c>
      <c r="HY13" s="11" t="n">
        <v>-99780750</v>
      </c>
      <c r="HZ13" s="11" t="n">
        <v>-232634970</v>
      </c>
      <c r="IA13" s="11" t="n">
        <v>-133898700</v>
      </c>
      <c r="IB13" s="11" t="n">
        <v>-34393545</v>
      </c>
      <c r="IC13" s="11" t="n">
        <v>-47694435</v>
      </c>
      <c r="ID13" s="11" t="n">
        <v>-26528985</v>
      </c>
      <c r="IE13" s="11" t="n">
        <v>-191771424</v>
      </c>
      <c r="IF13" s="11" t="n">
        <v>-115824465</v>
      </c>
      <c r="IG13" s="11" t="n">
        <v>-12696603</v>
      </c>
      <c r="IH13" s="11" t="n">
        <v>-135520</v>
      </c>
      <c r="II13" s="11" t="n">
        <v>-7555512</v>
      </c>
      <c r="IJ13" s="11" t="n">
        <v>-17741886</v>
      </c>
      <c r="IK13" s="11" t="n">
        <v>-9805736</v>
      </c>
      <c r="IL13" s="11" t="n">
        <v>119064</v>
      </c>
      <c r="IM13" s="11" t="n">
        <v>14762</v>
      </c>
      <c r="IN13" s="11" t="n">
        <v>8712</v>
      </c>
      <c r="IO13" s="11" t="n">
        <v>-14764503</v>
      </c>
      <c r="IP13" s="11" t="n">
        <v>-8129328</v>
      </c>
      <c r="IQ13" s="11" t="n">
        <v>72425</v>
      </c>
      <c r="IR13" s="11" t="n">
        <v>48633160</v>
      </c>
      <c r="IS13" s="11" t="n">
        <v>114122650</v>
      </c>
      <c r="IT13" s="11" t="n">
        <v>63322680</v>
      </c>
      <c r="IU13" s="11" t="n">
        <v>-4345698</v>
      </c>
      <c r="IV13" s="11" t="n">
        <v>11447320</v>
      </c>
      <c r="IW13" s="11" t="n">
        <v>32520604</v>
      </c>
      <c r="IX13" s="11" t="n">
        <v>-94967359</v>
      </c>
      <c r="IY13" s="11" t="n">
        <v>-52507080</v>
      </c>
      <c r="IZ13" s="11" t="n">
        <v>438807</v>
      </c>
      <c r="JA13" s="11" t="n">
        <v>27045367</v>
      </c>
      <c r="JB13" s="11" t="n">
        <v>152956</v>
      </c>
      <c r="JC13" s="11" t="n">
        <v>5270</v>
      </c>
      <c r="JD13" s="11" t="n">
        <v>364023</v>
      </c>
      <c r="JE13" s="11" t="n">
        <v>568595</v>
      </c>
      <c r="JF13" s="11" t="n">
        <v>320413</v>
      </c>
      <c r="JG13" s="11" t="n">
        <v>-3187130</v>
      </c>
      <c r="JH13" s="11" t="n">
        <v>-61451699</v>
      </c>
      <c r="JI13" s="11" t="n">
        <v>-156521771</v>
      </c>
      <c r="JJ13" s="11" t="n">
        <v>-91516477</v>
      </c>
      <c r="JK13" s="11" t="n">
        <v>5467835</v>
      </c>
      <c r="JL13" s="11" t="n">
        <v>6454905</v>
      </c>
      <c r="JM13" s="11" t="n">
        <v>3523275</v>
      </c>
      <c r="JN13" s="11" t="n">
        <v>-144070163</v>
      </c>
      <c r="JO13" s="11" t="n">
        <v>-89072539</v>
      </c>
      <c r="JP13" s="11" t="n">
        <v>-12318582</v>
      </c>
      <c r="JQ13" s="11" t="n">
        <v>-6804</v>
      </c>
      <c r="JR13" s="11" t="n">
        <v>-6994</v>
      </c>
      <c r="JS13" s="11" t="n">
        <v>-90062</v>
      </c>
      <c r="JT13" s="11" t="n">
        <v>-81878</v>
      </c>
      <c r="JU13" s="11" t="n">
        <v>15952</v>
      </c>
      <c r="JV13" s="11" t="n">
        <v>22190</v>
      </c>
      <c r="JW13" s="11" t="n">
        <v>11432</v>
      </c>
      <c r="JX13" s="11" t="n">
        <v>-188341</v>
      </c>
      <c r="JY13" s="11" t="n">
        <v>-180212</v>
      </c>
      <c r="JZ13" s="11" t="n">
        <v>-115709</v>
      </c>
      <c r="KA13" s="11" t="n">
        <v>-2587846</v>
      </c>
      <c r="KB13" s="11" t="n">
        <v>-5086004</v>
      </c>
      <c r="KC13" s="11" t="n">
        <v>-2364878</v>
      </c>
      <c r="KD13" s="11" t="n">
        <v>29026319</v>
      </c>
      <c r="KE13" s="11" t="n">
        <v>28710714</v>
      </c>
      <c r="KF13" s="11" t="n">
        <v>29900969</v>
      </c>
      <c r="KG13" s="11" t="n">
        <v>3484367</v>
      </c>
      <c r="KH13" s="11" t="n">
        <v>1196396</v>
      </c>
      <c r="KI13" s="11" t="n">
        <v>-832827</v>
      </c>
      <c r="KJ13" s="11" t="n">
        <v>25237859</v>
      </c>
      <c r="KK13" s="11" t="n">
        <v>2241050</v>
      </c>
      <c r="KL13" s="11" t="n">
        <v>65086089</v>
      </c>
      <c r="KM13" s="11" t="n">
        <v>164673417</v>
      </c>
      <c r="KN13" s="11" t="n">
        <v>96173707</v>
      </c>
      <c r="KO13" s="11" t="n">
        <v>-3091020</v>
      </c>
      <c r="KP13" s="11" t="n">
        <v>-2657110</v>
      </c>
      <c r="KQ13" s="11" t="n">
        <v>-1380960</v>
      </c>
      <c r="KR13" s="11" t="n">
        <v>149960031</v>
      </c>
      <c r="KS13" s="11" t="n">
        <v>92543034</v>
      </c>
      <c r="KT13" s="11" t="n">
        <v>12555149</v>
      </c>
      <c r="KU13" s="11" t="n">
        <v>-455827145</v>
      </c>
      <c r="KV13" s="11" t="n">
        <v>-1137990485</v>
      </c>
      <c r="KW13" s="11" t="n">
        <v>-663099885</v>
      </c>
      <c r="KX13" s="11" t="n">
        <v>444105906</v>
      </c>
      <c r="KY13" s="11" t="n">
        <v>303432835</v>
      </c>
      <c r="KZ13" s="11" t="n">
        <v>111483277</v>
      </c>
      <c r="LA13" s="11" t="n">
        <v>1029146375</v>
      </c>
      <c r="LB13" s="11" t="n">
        <v>633710070</v>
      </c>
      <c r="LC13" s="11" t="n">
        <v>84964635</v>
      </c>
      <c r="LD13" s="11" t="n">
        <v>67662529</v>
      </c>
      <c r="LE13" s="11" t="n">
        <v>-2792776</v>
      </c>
      <c r="LF13" s="11" t="n">
        <v>-6005678</v>
      </c>
      <c r="LG13" s="11" t="n">
        <v>-3078488</v>
      </c>
      <c r="LH13" s="11" t="n">
        <v>30793545</v>
      </c>
      <c r="LI13" s="11" t="n">
        <v>30443264</v>
      </c>
      <c r="LJ13" s="11" t="n">
        <v>31522357</v>
      </c>
      <c r="LK13" s="11" t="n">
        <v>4972204</v>
      </c>
      <c r="LL13" s="11" t="n">
        <v>2525136</v>
      </c>
      <c r="LM13" s="11" t="n">
        <v>-50744</v>
      </c>
      <c r="LN13" s="11" t="n">
        <v>26358086</v>
      </c>
      <c r="LO13" s="11" t="n">
        <v>-196604921</v>
      </c>
      <c r="LP13" s="11" t="n">
        <v>-200187880</v>
      </c>
      <c r="LQ13" s="11" t="n">
        <v>-213772267</v>
      </c>
      <c r="LR13" s="11" t="n">
        <v>64165181</v>
      </c>
      <c r="LS13" s="11" t="n">
        <v>178646914</v>
      </c>
    </row>
    <row r="14" customFormat="false" ht="15" hidden="false" customHeight="true" outlineLevel="0" collapsed="false">
      <c r="A14" s="7" t="s">
        <v>80</v>
      </c>
      <c r="B14" s="11" t="n">
        <v>2052046</v>
      </c>
      <c r="C14" s="11" t="n">
        <v>55627288</v>
      </c>
      <c r="D14" s="11" t="n">
        <v>1494610</v>
      </c>
      <c r="E14" s="11" t="n">
        <v>89722592</v>
      </c>
      <c r="F14" s="11" t="n">
        <v>2869046</v>
      </c>
      <c r="G14" s="11" t="n">
        <v>155230686</v>
      </c>
      <c r="H14" s="11" t="n">
        <v>-97049390</v>
      </c>
      <c r="I14" s="11" t="n">
        <v>-19150088</v>
      </c>
      <c r="J14" s="11" t="n">
        <v>7753195</v>
      </c>
      <c r="K14" s="11" t="n">
        <v>2553</v>
      </c>
      <c r="L14" s="11" t="n">
        <v>7884089</v>
      </c>
      <c r="M14" s="11" t="n">
        <v>-128226</v>
      </c>
      <c r="N14" s="11" t="n">
        <v>-540813</v>
      </c>
      <c r="O14" s="11" t="n">
        <v>1394552</v>
      </c>
      <c r="P14" s="11" t="n">
        <v>-6241531</v>
      </c>
      <c r="Q14" s="11" t="n">
        <v>-5577841</v>
      </c>
      <c r="R14" s="11" t="n">
        <v>-125273148</v>
      </c>
      <c r="S14" s="11" t="n">
        <v>-14316023</v>
      </c>
      <c r="T14" s="11" t="n">
        <v>-601164759</v>
      </c>
      <c r="U14" s="11" t="n">
        <v>404483131</v>
      </c>
      <c r="V14" s="11" t="n">
        <v>-96842408</v>
      </c>
      <c r="W14" s="11" t="n">
        <v>5630759</v>
      </c>
      <c r="X14" s="11" t="n">
        <v>-96963</v>
      </c>
      <c r="Y14" s="11" t="n">
        <v>-587028</v>
      </c>
      <c r="Z14" s="11" t="n">
        <v>1136465</v>
      </c>
      <c r="AA14" s="11" t="n">
        <v>-4522201</v>
      </c>
      <c r="AB14" s="11" t="n">
        <v>-16629541</v>
      </c>
      <c r="AC14" s="11" t="n">
        <v>-620052225</v>
      </c>
      <c r="AD14" s="11" t="n">
        <v>433844489</v>
      </c>
      <c r="AE14" s="11" t="n">
        <v>-199325620</v>
      </c>
      <c r="AF14" s="11" t="n">
        <v>8943753</v>
      </c>
      <c r="AG14" s="11" t="n">
        <v>-4114538</v>
      </c>
      <c r="AH14" s="11" t="n">
        <v>-9923159</v>
      </c>
      <c r="AI14" s="11" t="n">
        <v>79916187</v>
      </c>
      <c r="AJ14" s="11" t="n">
        <v>-477198735</v>
      </c>
      <c r="AK14" s="11" t="n">
        <v>308200971</v>
      </c>
      <c r="AL14" s="11" t="n">
        <v>-21486029</v>
      </c>
      <c r="AM14" s="11" t="n">
        <v>206167</v>
      </c>
      <c r="AN14" s="11" t="n">
        <v>-17258325</v>
      </c>
      <c r="AO14" s="11" t="n">
        <v>4158960</v>
      </c>
      <c r="AP14" s="11" t="n">
        <v>-49233783</v>
      </c>
      <c r="AQ14" s="11" t="n">
        <v>39937524</v>
      </c>
      <c r="AR14" s="11" t="n">
        <v>5998317</v>
      </c>
      <c r="AS14" s="11" t="n">
        <v>21238191</v>
      </c>
      <c r="AT14" s="11" t="n">
        <v>471601708</v>
      </c>
      <c r="AU14" s="11" t="n">
        <v>142782409</v>
      </c>
      <c r="AV14" s="11" t="n">
        <v>290709465</v>
      </c>
      <c r="AW14" s="11" t="n">
        <v>66475187</v>
      </c>
      <c r="AX14" s="11" t="n">
        <v>-37908136</v>
      </c>
      <c r="AY14" s="11" t="n">
        <v>-21584459</v>
      </c>
      <c r="AZ14" s="11" t="n">
        <v>2740933</v>
      </c>
      <c r="BA14" s="11" t="n">
        <v>-51455352</v>
      </c>
      <c r="BB14" s="11" t="n">
        <v>38838995</v>
      </c>
      <c r="BC14" s="11" t="n">
        <v>6292871</v>
      </c>
      <c r="BD14" s="11" t="n">
        <v>205973745</v>
      </c>
      <c r="BE14" s="11" t="n">
        <v>-847135491</v>
      </c>
      <c r="BF14" s="11" t="n">
        <v>929992923</v>
      </c>
      <c r="BG14" s="11" t="n">
        <v>101209284</v>
      </c>
      <c r="BH14" s="11" t="n">
        <v>-383447643</v>
      </c>
      <c r="BI14" s="11" t="n">
        <v>252531924</v>
      </c>
      <c r="BJ14" s="11" t="n">
        <v>47198697</v>
      </c>
      <c r="BK14" s="11" t="n">
        <v>692684589</v>
      </c>
      <c r="BL14" s="11" t="n">
        <v>-5705727</v>
      </c>
      <c r="BM14" s="11" t="n">
        <v>89020467</v>
      </c>
      <c r="BN14" s="11" t="n">
        <v>805687</v>
      </c>
      <c r="BO14" s="11" t="n">
        <v>17343961</v>
      </c>
      <c r="BP14" s="11" t="n">
        <v>14371101</v>
      </c>
      <c r="BQ14" s="11" t="n">
        <v>-191681397</v>
      </c>
      <c r="BR14" s="11" t="n">
        <v>165496678</v>
      </c>
      <c r="BS14" s="11" t="n">
        <v>-42688904</v>
      </c>
      <c r="BT14" s="11" t="n">
        <v>-813578</v>
      </c>
      <c r="BU14" s="11" t="n">
        <v>18057</v>
      </c>
      <c r="BV14" s="11" t="n">
        <v>-6918</v>
      </c>
      <c r="BW14" s="11" t="n">
        <v>-90422</v>
      </c>
      <c r="BX14" s="11" t="n">
        <v>634543</v>
      </c>
      <c r="BY14" s="11" t="n">
        <v>14900565</v>
      </c>
      <c r="BZ14" s="11" t="n">
        <v>-193707672</v>
      </c>
      <c r="CA14" s="11" t="n">
        <v>165171066</v>
      </c>
      <c r="CB14" s="11" t="n">
        <v>-29447247</v>
      </c>
      <c r="CC14" s="11" t="n">
        <v>4172553</v>
      </c>
      <c r="CD14" s="11" t="n">
        <v>-5321964</v>
      </c>
      <c r="CE14" s="11" t="n">
        <v>12275133</v>
      </c>
      <c r="CF14" s="11" t="n">
        <v>22933374</v>
      </c>
      <c r="CG14" s="11" t="n">
        <v>-151330989</v>
      </c>
      <c r="CH14" s="11" t="n">
        <v>125550918</v>
      </c>
      <c r="CI14" s="11" t="n">
        <v>540305</v>
      </c>
      <c r="CJ14" s="11" t="n">
        <v>-8851252</v>
      </c>
      <c r="CK14" s="11" t="n">
        <v>200371458</v>
      </c>
      <c r="CL14" s="11" t="n">
        <v>-161095001</v>
      </c>
      <c r="CM14" s="11" t="n">
        <v>40775008</v>
      </c>
      <c r="CN14" s="11" t="n">
        <v>-200177671</v>
      </c>
      <c r="CO14" s="11" t="n">
        <v>4441924929</v>
      </c>
      <c r="CP14" s="11" t="n">
        <v>-3578863873</v>
      </c>
      <c r="CQ14" s="11" t="n">
        <v>906388184</v>
      </c>
      <c r="CR14" s="11" t="n">
        <v>1468235322</v>
      </c>
      <c r="CS14" s="11" t="n">
        <v>-1055322635</v>
      </c>
      <c r="CT14" s="11" t="n">
        <v>258328000</v>
      </c>
      <c r="CU14" s="11" t="n">
        <v>-2832236121</v>
      </c>
      <c r="CV14" s="11" t="n">
        <v>915774288</v>
      </c>
      <c r="CW14" s="11" t="n">
        <v>-159914040</v>
      </c>
      <c r="CX14" s="11" t="n">
        <v>8925833</v>
      </c>
      <c r="CY14" s="11" t="n">
        <v>-202329282</v>
      </c>
      <c r="CZ14" s="11" t="n">
        <v>162733424</v>
      </c>
      <c r="DA14" s="11" t="n">
        <v>-41599897</v>
      </c>
      <c r="DB14" s="11" t="n">
        <v>4414710</v>
      </c>
      <c r="DC14" s="11" t="n">
        <v>-4603823</v>
      </c>
      <c r="DD14" s="11" t="n">
        <v>7884916</v>
      </c>
      <c r="DE14" s="11" t="n">
        <v>23870862</v>
      </c>
      <c r="DF14" s="11" t="n">
        <v>-158158674</v>
      </c>
      <c r="DG14" s="11" t="n">
        <v>122299041</v>
      </c>
      <c r="DH14" s="11" t="n">
        <v>1580448693</v>
      </c>
      <c r="DI14" s="11" t="n">
        <v>-1168333719</v>
      </c>
      <c r="DJ14" s="11" t="n">
        <v>438827943</v>
      </c>
      <c r="DK14" s="11" t="n">
        <v>-2330729778</v>
      </c>
      <c r="DL14" s="11" t="n">
        <v>-2581410585</v>
      </c>
      <c r="DM14" s="11" t="n">
        <v>2555437833</v>
      </c>
      <c r="DN14" s="11" t="n">
        <v>237316953</v>
      </c>
      <c r="DO14" s="11" t="n">
        <v>-1179095226</v>
      </c>
      <c r="DP14" s="11" t="n">
        <v>805742955</v>
      </c>
      <c r="DQ14" s="11" t="n">
        <v>2126462481</v>
      </c>
      <c r="DR14" s="11" t="n">
        <v>-667702</v>
      </c>
      <c r="DS14" s="11" t="n">
        <v>-4764</v>
      </c>
      <c r="DT14" s="11" t="n">
        <v>1294416</v>
      </c>
      <c r="DU14" s="11" t="n">
        <v>-25972</v>
      </c>
      <c r="DV14" s="11" t="n">
        <v>1011590</v>
      </c>
      <c r="DW14" s="11" t="n">
        <v>88760</v>
      </c>
      <c r="DX14" s="11" t="n">
        <v>31546</v>
      </c>
      <c r="DY14" s="11" t="n">
        <v>357178</v>
      </c>
      <c r="DZ14" s="11" t="n">
        <v>64283552</v>
      </c>
      <c r="EA14" s="11" t="n">
        <v>229486</v>
      </c>
      <c r="EB14" s="11" t="n">
        <v>77931902</v>
      </c>
      <c r="EC14" s="11" t="n">
        <v>-29172150</v>
      </c>
      <c r="ED14" s="11" t="n">
        <v>-5375968</v>
      </c>
      <c r="EE14" s="11" t="n">
        <v>1151088</v>
      </c>
      <c r="EF14" s="11" t="n">
        <v>-12256</v>
      </c>
      <c r="EG14" s="11" t="n">
        <v>1097174</v>
      </c>
      <c r="EH14" s="11" t="n">
        <v>-160660</v>
      </c>
      <c r="EI14" s="11" t="n">
        <v>-21482</v>
      </c>
      <c r="EJ14" s="11" t="n">
        <v>-2945360</v>
      </c>
      <c r="EK14" s="11" t="n">
        <v>-53688176</v>
      </c>
      <c r="EL14" s="11" t="n">
        <v>65098960</v>
      </c>
      <c r="EM14" s="11" t="n">
        <v>13459040</v>
      </c>
      <c r="EN14" s="11" t="n">
        <v>3379042</v>
      </c>
      <c r="EO14" s="11" t="n">
        <v>-1104220</v>
      </c>
      <c r="EP14" s="11" t="n">
        <v>-198270</v>
      </c>
      <c r="EQ14" s="11" t="n">
        <v>54556510</v>
      </c>
      <c r="ER14" s="11" t="n">
        <v>11826706</v>
      </c>
      <c r="ES14" s="11" t="n">
        <v>-663610</v>
      </c>
      <c r="ET14" s="11" t="n">
        <v>-17169</v>
      </c>
      <c r="EU14" s="11" t="n">
        <v>7456013</v>
      </c>
      <c r="EV14" s="11" t="n">
        <v>-139852</v>
      </c>
      <c r="EW14" s="11" t="n">
        <v>3646094</v>
      </c>
      <c r="EX14" s="11" t="n">
        <v>789124</v>
      </c>
      <c r="EY14" s="11" t="n">
        <v>-1911702</v>
      </c>
      <c r="EZ14" s="11" t="n">
        <v>19914</v>
      </c>
      <c r="FA14" s="11" t="n">
        <v>-330</v>
      </c>
      <c r="FB14" s="11" t="n">
        <v>3</v>
      </c>
      <c r="FC14" s="11" t="n">
        <v>3348</v>
      </c>
      <c r="FD14" s="11" t="n">
        <v>-14451</v>
      </c>
      <c r="FE14" s="11" t="n">
        <v>-18902</v>
      </c>
      <c r="FF14" s="11" t="n">
        <v>4227733</v>
      </c>
      <c r="FG14" s="11" t="n">
        <v>-538652</v>
      </c>
      <c r="FH14" s="11" t="n">
        <v>4058315</v>
      </c>
      <c r="FI14" s="11" t="n">
        <v>-70056</v>
      </c>
      <c r="FJ14" s="11" t="n">
        <v>12104</v>
      </c>
      <c r="FK14" s="11" t="n">
        <v>-80968</v>
      </c>
      <c r="FL14" s="11" t="n">
        <v>-710860</v>
      </c>
      <c r="FM14" s="11" t="n">
        <v>3068552</v>
      </c>
      <c r="FN14" s="11" t="n">
        <v>291412</v>
      </c>
      <c r="FO14" s="11" t="n">
        <v>-5641451</v>
      </c>
      <c r="FP14" s="11" t="n">
        <v>68911</v>
      </c>
      <c r="FQ14" s="11" t="n">
        <v>-3954335</v>
      </c>
      <c r="FR14" s="11" t="n">
        <v>327989</v>
      </c>
      <c r="FS14" s="11" t="n">
        <v>1160874</v>
      </c>
      <c r="FT14" s="11" t="n">
        <v>16026961</v>
      </c>
      <c r="FU14" s="11" t="n">
        <v>519209769</v>
      </c>
      <c r="FV14" s="11" t="n">
        <v>-401729549</v>
      </c>
      <c r="FW14" s="11" t="n">
        <v>124018960</v>
      </c>
      <c r="FX14" s="11" t="n">
        <v>-17576194</v>
      </c>
      <c r="FY14" s="11" t="n">
        <v>5838968</v>
      </c>
      <c r="FZ14" s="11" t="n">
        <v>1783054</v>
      </c>
      <c r="GA14" s="11" t="n">
        <v>-251403074</v>
      </c>
      <c r="GB14" s="11" t="n">
        <v>193771006</v>
      </c>
      <c r="GC14" s="11" t="n">
        <v>-89876566</v>
      </c>
      <c r="GD14" s="11" t="n">
        <v>28504</v>
      </c>
      <c r="GE14" s="11" t="n">
        <v>4585573</v>
      </c>
      <c r="GF14" s="11" t="n">
        <v>-1480526</v>
      </c>
      <c r="GG14" s="11" t="n">
        <v>3401885</v>
      </c>
      <c r="GH14" s="11" t="n">
        <v>-75993</v>
      </c>
      <c r="GI14" s="11" t="n">
        <v>19742</v>
      </c>
      <c r="GJ14" s="11" t="n">
        <v>-35689</v>
      </c>
      <c r="GK14" s="11" t="n">
        <v>-771163</v>
      </c>
      <c r="GL14" s="11" t="n">
        <v>3328127</v>
      </c>
      <c r="GM14" s="11" t="n">
        <v>-502439</v>
      </c>
      <c r="GN14" s="11" t="n">
        <v>-10403927</v>
      </c>
      <c r="GO14" s="11" t="n">
        <v>2176290</v>
      </c>
      <c r="GP14" s="11" t="n">
        <v>-9037895</v>
      </c>
      <c r="GQ14" s="11" t="n">
        <v>-190280233</v>
      </c>
      <c r="GR14" s="11" t="n">
        <v>-212284735</v>
      </c>
      <c r="GS14" s="11" t="n">
        <v>209702155</v>
      </c>
      <c r="GT14" s="11" t="n">
        <v>1403716</v>
      </c>
      <c r="GU14" s="11" t="n">
        <v>11069008</v>
      </c>
      <c r="GV14" s="11" t="n">
        <v>-3534820</v>
      </c>
      <c r="GW14" s="11" t="n">
        <v>173802252</v>
      </c>
      <c r="GX14" s="11" t="n">
        <v>116965</v>
      </c>
      <c r="GY14" s="11" t="n">
        <v>-19168809</v>
      </c>
      <c r="GZ14" s="11" t="n">
        <v>1625198</v>
      </c>
      <c r="HA14" s="11" t="n">
        <v>-26611756</v>
      </c>
      <c r="HB14" s="11" t="n">
        <v>12065648</v>
      </c>
      <c r="HC14" s="11" t="n">
        <v>1621450</v>
      </c>
      <c r="HD14" s="11" t="n">
        <v>89982</v>
      </c>
      <c r="HE14" s="11" t="n">
        <v>7046</v>
      </c>
      <c r="HF14" s="11" t="n">
        <v>-12667</v>
      </c>
      <c r="HG14" s="11" t="n">
        <v>101636</v>
      </c>
      <c r="HH14" s="11" t="n">
        <v>17095</v>
      </c>
      <c r="HI14" s="11" t="n">
        <v>-2405010</v>
      </c>
      <c r="HJ14" s="11" t="n">
        <v>22548543</v>
      </c>
      <c r="HK14" s="11" t="n">
        <v>-25938804</v>
      </c>
      <c r="HL14" s="11" t="n">
        <v>-4049007</v>
      </c>
      <c r="HM14" s="11" t="n">
        <v>1427094</v>
      </c>
      <c r="HN14" s="11" t="n">
        <v>685368</v>
      </c>
      <c r="HO14" s="11" t="n">
        <v>139854</v>
      </c>
      <c r="HP14" s="11" t="n">
        <v>-21817440</v>
      </c>
      <c r="HQ14" s="11" t="n">
        <v>-3713838</v>
      </c>
      <c r="HR14" s="11" t="n">
        <v>354504</v>
      </c>
      <c r="HS14" s="11" t="n">
        <v>21514991</v>
      </c>
      <c r="HT14" s="11" t="n">
        <v>-829177</v>
      </c>
      <c r="HU14" s="11" t="n">
        <v>27887349</v>
      </c>
      <c r="HV14" s="11" t="n">
        <v>-11564597</v>
      </c>
      <c r="HW14" s="11" t="n">
        <v>-1809110</v>
      </c>
      <c r="HX14" s="11" t="n">
        <v>-163055485</v>
      </c>
      <c r="HY14" s="11" t="n">
        <v>324750347</v>
      </c>
      <c r="HZ14" s="11" t="n">
        <v>-324137623</v>
      </c>
      <c r="IA14" s="11" t="n">
        <v>-1769744</v>
      </c>
      <c r="IB14" s="11" t="n">
        <v>198833906</v>
      </c>
      <c r="IC14" s="11" t="n">
        <v>-75152414</v>
      </c>
      <c r="ID14" s="11" t="n">
        <v>-13642482</v>
      </c>
      <c r="IE14" s="11" t="n">
        <v>-245583748</v>
      </c>
      <c r="IF14" s="11" t="n">
        <v>25013054</v>
      </c>
      <c r="IG14" s="11" t="n">
        <v>-26304182</v>
      </c>
      <c r="IH14" s="11" t="n">
        <v>-1933960</v>
      </c>
      <c r="II14" s="11" t="n">
        <v>23783951</v>
      </c>
      <c r="IJ14" s="11" t="n">
        <v>-27592042</v>
      </c>
      <c r="IK14" s="11" t="n">
        <v>-4536281</v>
      </c>
      <c r="IL14" s="11" t="n">
        <v>1590143</v>
      </c>
      <c r="IM14" s="11" t="n">
        <v>23854</v>
      </c>
      <c r="IN14" s="11" t="n">
        <v>12207</v>
      </c>
      <c r="IO14" s="11" t="n">
        <v>-22980121</v>
      </c>
      <c r="IP14" s="11" t="n">
        <v>-3879949</v>
      </c>
      <c r="IQ14" s="11" t="n">
        <v>118207</v>
      </c>
      <c r="IR14" s="11" t="n">
        <v>-151059765</v>
      </c>
      <c r="IS14" s="11" t="n">
        <v>179975190</v>
      </c>
      <c r="IT14" s="11" t="n">
        <v>34219995</v>
      </c>
      <c r="IU14" s="11" t="n">
        <v>-58157211</v>
      </c>
      <c r="IV14" s="11" t="n">
        <v>-66514893</v>
      </c>
      <c r="IW14" s="11" t="n">
        <v>66072465</v>
      </c>
      <c r="IX14" s="11" t="n">
        <v>-149842638</v>
      </c>
      <c r="IY14" s="11" t="n">
        <v>-29089884</v>
      </c>
      <c r="IZ14" s="11" t="n">
        <v>713910</v>
      </c>
      <c r="JA14" s="11" t="n">
        <v>54779514</v>
      </c>
      <c r="JB14" s="11" t="n">
        <v>813212</v>
      </c>
      <c r="JC14" s="11" t="n">
        <v>17291</v>
      </c>
      <c r="JD14" s="11" t="n">
        <v>-45577</v>
      </c>
      <c r="JE14" s="11" t="n">
        <v>448486</v>
      </c>
      <c r="JF14" s="11" t="n">
        <v>-293190</v>
      </c>
      <c r="JG14" s="11" t="n">
        <v>-14133103</v>
      </c>
      <c r="JH14" s="11" t="n">
        <v>192490541</v>
      </c>
      <c r="JI14" s="11" t="n">
        <v>-157387870</v>
      </c>
      <c r="JJ14" s="11" t="n">
        <v>36776134</v>
      </c>
      <c r="JK14" s="11" t="n">
        <v>3300750</v>
      </c>
      <c r="JL14" s="11" t="n">
        <v>4447924</v>
      </c>
      <c r="JM14" s="11" t="n">
        <v>-4313498</v>
      </c>
      <c r="JN14" s="11" t="n">
        <v>-97337528</v>
      </c>
      <c r="JO14" s="11" t="n">
        <v>67338106</v>
      </c>
      <c r="JP14" s="11" t="n">
        <v>-36461548</v>
      </c>
      <c r="JQ14" s="11" t="n">
        <v>-35686</v>
      </c>
      <c r="JR14" s="11" t="n">
        <v>53006</v>
      </c>
      <c r="JS14" s="11" t="n">
        <v>-361612</v>
      </c>
      <c r="JT14" s="11" t="n">
        <v>-344408</v>
      </c>
      <c r="JU14" s="11" t="n">
        <v>-873</v>
      </c>
      <c r="JV14" s="11" t="n">
        <v>11992</v>
      </c>
      <c r="JW14" s="11" t="n">
        <v>-20189</v>
      </c>
      <c r="JX14" s="11" t="n">
        <v>-8966</v>
      </c>
      <c r="JY14" s="11" t="n">
        <v>38413</v>
      </c>
      <c r="JZ14" s="11" t="n">
        <v>-320314</v>
      </c>
      <c r="KA14" s="11" t="n">
        <v>7525809</v>
      </c>
      <c r="KB14" s="11" t="n">
        <v>-622032</v>
      </c>
      <c r="KC14" s="11" t="n">
        <v>7599429</v>
      </c>
      <c r="KD14" s="11" t="n">
        <v>-75336306</v>
      </c>
      <c r="KE14" s="11" t="n">
        <v>-83919861</v>
      </c>
      <c r="KF14" s="11" t="n">
        <v>83009514</v>
      </c>
      <c r="KG14" s="11" t="n">
        <v>2513772</v>
      </c>
      <c r="KH14" s="11" t="n">
        <v>-4071744</v>
      </c>
      <c r="KI14" s="11" t="n">
        <v>-2201820</v>
      </c>
      <c r="KJ14" s="11" t="n">
        <v>68790684</v>
      </c>
      <c r="KK14" s="11" t="n">
        <v>8945517</v>
      </c>
      <c r="KL14" s="11" t="n">
        <v>-202273463</v>
      </c>
      <c r="KM14" s="11" t="n">
        <v>162900366</v>
      </c>
      <c r="KN14" s="11" t="n">
        <v>-41352458</v>
      </c>
      <c r="KO14" s="11" t="n">
        <v>-3799502</v>
      </c>
      <c r="KP14" s="11" t="n">
        <v>-1469763</v>
      </c>
      <c r="KQ14" s="11" t="n">
        <v>2345896</v>
      </c>
      <c r="KR14" s="11" t="n">
        <v>102423853</v>
      </c>
      <c r="KS14" s="11" t="n">
        <v>-70608692</v>
      </c>
      <c r="KT14" s="11" t="n">
        <v>35925146</v>
      </c>
      <c r="KU14" s="11" t="n">
        <v>1397943316</v>
      </c>
      <c r="KV14" s="11" t="n">
        <v>-1099801509</v>
      </c>
      <c r="KW14" s="11" t="n">
        <v>314133358</v>
      </c>
      <c r="KX14" s="11" t="n">
        <v>-588542617</v>
      </c>
      <c r="KY14" s="11" t="n">
        <v>-640818178</v>
      </c>
      <c r="KZ14" s="11" t="n">
        <v>636401818</v>
      </c>
      <c r="LA14" s="11" t="n">
        <v>696811978</v>
      </c>
      <c r="LB14" s="11" t="n">
        <v>-500024756</v>
      </c>
      <c r="LC14" s="11" t="n">
        <v>236802230</v>
      </c>
      <c r="LD14" s="11" t="n">
        <v>529932546</v>
      </c>
      <c r="LE14" s="11" t="n">
        <v>8293243</v>
      </c>
      <c r="LF14" s="11" t="n">
        <v>-3170706</v>
      </c>
      <c r="LG14" s="11" t="n">
        <v>5603227</v>
      </c>
      <c r="LH14" s="11" t="n">
        <v>-79327180</v>
      </c>
      <c r="LI14" s="11" t="n">
        <v>-88361371</v>
      </c>
      <c r="LJ14" s="11" t="n">
        <v>87379102</v>
      </c>
      <c r="LK14" s="11" t="n">
        <v>2709313</v>
      </c>
      <c r="LL14" s="11" t="n">
        <v>-4554746</v>
      </c>
      <c r="LM14" s="11" t="n">
        <v>-89125</v>
      </c>
      <c r="LN14" s="11" t="n">
        <v>72434121</v>
      </c>
      <c r="LO14" s="11" t="n">
        <v>524112123</v>
      </c>
      <c r="LP14" s="11" t="n">
        <v>584405514</v>
      </c>
      <c r="LQ14" s="11" t="n">
        <v>-577542135</v>
      </c>
      <c r="LR14" s="11" t="n">
        <v>-5784909</v>
      </c>
      <c r="LS14" s="11" t="n">
        <v>478767480</v>
      </c>
    </row>
    <row r="15" customFormat="false" ht="15" hidden="false" customHeight="true" outlineLevel="0" collapsed="false">
      <c r="A15" s="7" t="s">
        <v>81</v>
      </c>
      <c r="B15" s="11" t="n">
        <v>2468200</v>
      </c>
      <c r="C15" s="11" t="n">
        <v>-306875016</v>
      </c>
      <c r="D15" s="11" t="n">
        <v>148984</v>
      </c>
      <c r="E15" s="11" t="n">
        <v>292047392</v>
      </c>
      <c r="F15" s="11" t="n">
        <v>-5925056</v>
      </c>
      <c r="G15" s="11" t="n">
        <v>286444152</v>
      </c>
      <c r="H15" s="11" t="n">
        <v>-91990120</v>
      </c>
      <c r="I15" s="11" t="n">
        <v>8328336</v>
      </c>
      <c r="J15" s="11" t="n">
        <v>43740347</v>
      </c>
      <c r="K15" s="11" t="n">
        <v>154872</v>
      </c>
      <c r="L15" s="11" t="n">
        <v>-7470064</v>
      </c>
      <c r="M15" s="11" t="n">
        <v>709027</v>
      </c>
      <c r="N15" s="11" t="n">
        <v>-9833034</v>
      </c>
      <c r="O15" s="11" t="n">
        <v>-600560</v>
      </c>
      <c r="P15" s="11" t="n">
        <v>-10394862</v>
      </c>
      <c r="Q15" s="11" t="n">
        <v>-21895697</v>
      </c>
      <c r="R15" s="11" t="n">
        <v>-4246770220</v>
      </c>
      <c r="S15" s="11" t="n">
        <v>16846825</v>
      </c>
      <c r="T15" s="11" t="n">
        <v>-3853680471</v>
      </c>
      <c r="U15" s="11" t="n">
        <v>1704876683</v>
      </c>
      <c r="V15" s="11" t="n">
        <v>1144817736</v>
      </c>
      <c r="W15" s="11" t="n">
        <v>-18775984</v>
      </c>
      <c r="X15" s="11" t="n">
        <v>414577</v>
      </c>
      <c r="Y15" s="11" t="n">
        <v>-18567030</v>
      </c>
      <c r="Z15" s="11" t="n">
        <v>5735848</v>
      </c>
      <c r="AA15" s="11" t="n">
        <v>-1150026</v>
      </c>
      <c r="AB15" s="11" t="n">
        <v>65962620</v>
      </c>
      <c r="AC15" s="11" t="n">
        <v>-296554488</v>
      </c>
      <c r="AD15" s="11" t="n">
        <v>-349470896</v>
      </c>
      <c r="AE15" s="11" t="n">
        <v>-1204756152</v>
      </c>
      <c r="AF15" s="11" t="n">
        <v>-58680561</v>
      </c>
      <c r="AG15" s="11" t="n">
        <v>27867203</v>
      </c>
      <c r="AH15" s="11" t="n">
        <v>22561026</v>
      </c>
      <c r="AI15" s="11" t="n">
        <v>-436175706</v>
      </c>
      <c r="AJ15" s="11" t="n">
        <v>-1173184758</v>
      </c>
      <c r="AK15" s="11" t="n">
        <v>389444238</v>
      </c>
      <c r="AL15" s="11" t="n">
        <v>132611787</v>
      </c>
      <c r="AM15" s="11" t="n">
        <v>946912</v>
      </c>
      <c r="AN15" s="11" t="n">
        <v>-98814744</v>
      </c>
      <c r="AO15" s="11" t="n">
        <v>8977067</v>
      </c>
      <c r="AP15" s="11" t="n">
        <v>-101497314</v>
      </c>
      <c r="AQ15" s="11" t="n">
        <v>37548640</v>
      </c>
      <c r="AR15" s="11" t="n">
        <v>-6080302</v>
      </c>
      <c r="AS15" s="11" t="n">
        <v>-125735625</v>
      </c>
      <c r="AT15" s="11" t="n">
        <v>-3405376548</v>
      </c>
      <c r="AU15" s="11" t="n">
        <v>-797790015</v>
      </c>
      <c r="AV15" s="11" t="n">
        <v>-2770796943</v>
      </c>
      <c r="AW15" s="11" t="n">
        <v>273978891</v>
      </c>
      <c r="AX15" s="11" t="n">
        <v>308507112</v>
      </c>
      <c r="AY15" s="11" t="n">
        <v>-118007048</v>
      </c>
      <c r="AZ15" s="11" t="n">
        <v>2814985</v>
      </c>
      <c r="BA15" s="11" t="n">
        <v>-116019318</v>
      </c>
      <c r="BB15" s="11" t="n">
        <v>37558016</v>
      </c>
      <c r="BC15" s="11" t="n">
        <v>-3562138</v>
      </c>
      <c r="BD15" s="11" t="n">
        <v>824992348</v>
      </c>
      <c r="BE15" s="11" t="n">
        <v>-541739040</v>
      </c>
      <c r="BF15" s="11" t="n">
        <v>760068968</v>
      </c>
      <c r="BG15" s="11" t="n">
        <v>-386019752</v>
      </c>
      <c r="BH15" s="11" t="n">
        <v>-798173193</v>
      </c>
      <c r="BI15" s="11" t="n">
        <v>244438731</v>
      </c>
      <c r="BJ15" s="11" t="n">
        <v>-15694798</v>
      </c>
      <c r="BK15" s="11" t="n">
        <v>574847358</v>
      </c>
      <c r="BL15" s="11" t="n">
        <v>-363164742</v>
      </c>
      <c r="BM15" s="11" t="n">
        <v>99914926</v>
      </c>
      <c r="BN15" s="11" t="n">
        <v>8459771</v>
      </c>
      <c r="BO15" s="11" t="n">
        <v>-1349798499</v>
      </c>
      <c r="BP15" s="11" t="n">
        <v>120992905</v>
      </c>
      <c r="BQ15" s="11" t="n">
        <v>-1270379841</v>
      </c>
      <c r="BR15" s="11" t="n">
        <v>697687334</v>
      </c>
      <c r="BS15" s="11" t="n">
        <v>450744148</v>
      </c>
      <c r="BT15" s="11" t="n">
        <v>-3334472</v>
      </c>
      <c r="BU15" s="11" t="n">
        <v>291269</v>
      </c>
      <c r="BV15" s="11" t="n">
        <v>-2596254</v>
      </c>
      <c r="BW15" s="11" t="n">
        <v>2586464</v>
      </c>
      <c r="BX15" s="11" t="n">
        <v>3606414</v>
      </c>
      <c r="BY15" s="11" t="n">
        <v>1216699</v>
      </c>
      <c r="BZ15" s="11" t="n">
        <v>-86482986</v>
      </c>
      <c r="CA15" s="11" t="n">
        <v>-137685328</v>
      </c>
      <c r="CB15" s="11" t="n">
        <v>-397757630</v>
      </c>
      <c r="CC15" s="11" t="n">
        <v>6607029</v>
      </c>
      <c r="CD15" s="11" t="n">
        <v>12970694</v>
      </c>
      <c r="CE15" s="11" t="n">
        <v>36060398</v>
      </c>
      <c r="CF15" s="11" t="n">
        <v>-174285828</v>
      </c>
      <c r="CG15" s="11" t="n">
        <v>-403234242</v>
      </c>
      <c r="CH15" s="11" t="n">
        <v>159616124</v>
      </c>
      <c r="CI15" s="11" t="n">
        <v>1497049909</v>
      </c>
      <c r="CJ15" s="11" t="n">
        <v>-63825380</v>
      </c>
      <c r="CK15" s="11" t="n">
        <v>1381267194</v>
      </c>
      <c r="CL15" s="11" t="n">
        <v>-678989053</v>
      </c>
      <c r="CM15" s="11" t="n">
        <v>-447052996</v>
      </c>
      <c r="CN15" s="11" t="n">
        <v>-11227374275</v>
      </c>
      <c r="CO15" s="11" t="n">
        <v>4419698853</v>
      </c>
      <c r="CP15" s="11" t="n">
        <v>-15127401829</v>
      </c>
      <c r="CQ15" s="11" t="n">
        <v>-8434628168</v>
      </c>
      <c r="CR15" s="11" t="n">
        <v>10170612690</v>
      </c>
      <c r="CS15" s="11" t="n">
        <v>-4447247895</v>
      </c>
      <c r="CT15" s="11" t="n">
        <v>-2993145340</v>
      </c>
      <c r="CU15" s="11" t="n">
        <v>-11952879213</v>
      </c>
      <c r="CV15" s="11" t="n">
        <v>-6462466956</v>
      </c>
      <c r="CW15" s="11" t="n">
        <v>-691847420</v>
      </c>
      <c r="CX15" s="11" t="n">
        <v>-26386091</v>
      </c>
      <c r="CY15" s="11" t="n">
        <v>-84999342</v>
      </c>
      <c r="CZ15" s="11" t="n">
        <v>-190075560</v>
      </c>
      <c r="DA15" s="11" t="n">
        <v>-461986034</v>
      </c>
      <c r="DB15" s="11" t="n">
        <v>27969246</v>
      </c>
      <c r="DC15" s="11" t="n">
        <v>-3863747</v>
      </c>
      <c r="DD15" s="11" t="n">
        <v>11816876</v>
      </c>
      <c r="DE15" s="11" t="n">
        <v>-213926574</v>
      </c>
      <c r="DF15" s="11" t="n">
        <v>-451638492</v>
      </c>
      <c r="DG15" s="11" t="n">
        <v>152773538</v>
      </c>
      <c r="DH15" s="11" t="n">
        <v>715365597</v>
      </c>
      <c r="DI15" s="11" t="n">
        <v>1158876829</v>
      </c>
      <c r="DJ15" s="11" t="n">
        <v>3316077318</v>
      </c>
      <c r="DK15" s="11" t="n">
        <v>-1420056822</v>
      </c>
      <c r="DL15" s="11" t="n">
        <v>-1842808962</v>
      </c>
      <c r="DM15" s="11" t="n">
        <v>3597362834</v>
      </c>
      <c r="DN15" s="11" t="n">
        <v>-1333160823</v>
      </c>
      <c r="DO15" s="11" t="n">
        <v>-3194667816</v>
      </c>
      <c r="DP15" s="11" t="n">
        <v>1004574250</v>
      </c>
      <c r="DQ15" s="11" t="n">
        <v>2907393258</v>
      </c>
      <c r="DR15" s="11" t="n">
        <v>-483420</v>
      </c>
      <c r="DS15" s="11" t="n">
        <v>-4320</v>
      </c>
      <c r="DT15" s="11" t="n">
        <v>1399440</v>
      </c>
      <c r="DU15" s="11" t="n">
        <v>-23220</v>
      </c>
      <c r="DV15" s="11" t="n">
        <v>1131440</v>
      </c>
      <c r="DW15" s="11" t="n">
        <v>85600</v>
      </c>
      <c r="DX15" s="11" t="n">
        <v>11120</v>
      </c>
      <c r="DY15" s="11" t="n">
        <v>566292</v>
      </c>
      <c r="DZ15" s="11" t="n">
        <v>-116794272</v>
      </c>
      <c r="EA15" s="11" t="n">
        <v>1726500</v>
      </c>
      <c r="EB15" s="11" t="n">
        <v>-84570876</v>
      </c>
      <c r="EC15" s="11" t="n">
        <v>-28659900</v>
      </c>
      <c r="ED15" s="11" t="n">
        <v>248616</v>
      </c>
      <c r="EE15" s="11" t="n">
        <v>595632</v>
      </c>
      <c r="EF15" s="11" t="n">
        <v>-11772</v>
      </c>
      <c r="EG15" s="11" t="n">
        <v>569648</v>
      </c>
      <c r="EH15" s="11" t="n">
        <v>-155840</v>
      </c>
      <c r="EI15" s="11" t="n">
        <v>15248</v>
      </c>
      <c r="EJ15" s="11" t="n">
        <v>611952</v>
      </c>
      <c r="EK15" s="11" t="n">
        <v>-28533872</v>
      </c>
      <c r="EL15" s="11" t="n">
        <v>62285840</v>
      </c>
      <c r="EM15" s="11" t="n">
        <v>-3406304</v>
      </c>
      <c r="EN15" s="11" t="n">
        <v>-21316</v>
      </c>
      <c r="EO15" s="11" t="n">
        <v>-1070900</v>
      </c>
      <c r="EP15" s="11" t="n">
        <v>51656</v>
      </c>
      <c r="EQ15" s="11" t="n">
        <v>52103120</v>
      </c>
      <c r="ER15" s="11" t="n">
        <v>-2527248</v>
      </c>
      <c r="ES15" s="11" t="n">
        <v>-703280</v>
      </c>
      <c r="ET15" s="11" t="n">
        <v>-46224</v>
      </c>
      <c r="EU15" s="11" t="n">
        <v>23337174</v>
      </c>
      <c r="EV15" s="11" t="n">
        <v>-272625</v>
      </c>
      <c r="EW15" s="11" t="n">
        <v>18124987</v>
      </c>
      <c r="EX15" s="11" t="n">
        <v>1399340</v>
      </c>
      <c r="EY15" s="11" t="n">
        <v>-1838867</v>
      </c>
      <c r="EZ15" s="11" t="n">
        <v>74736</v>
      </c>
      <c r="FA15" s="11" t="n">
        <v>-216</v>
      </c>
      <c r="FB15" s="11" t="n">
        <v>53784</v>
      </c>
      <c r="FC15" s="11" t="n">
        <v>4320</v>
      </c>
      <c r="FD15" s="11" t="n">
        <v>-17496</v>
      </c>
      <c r="FE15" s="11" t="n">
        <v>-331734</v>
      </c>
      <c r="FF15" s="11" t="n">
        <v>2150884</v>
      </c>
      <c r="FG15" s="11" t="n">
        <v>81440</v>
      </c>
      <c r="FH15" s="11" t="n">
        <v>5860108</v>
      </c>
      <c r="FI15" s="11" t="n">
        <v>232517</v>
      </c>
      <c r="FJ15" s="11" t="n">
        <v>18940</v>
      </c>
      <c r="FK15" s="11" t="n">
        <v>-94597</v>
      </c>
      <c r="FL15" s="11" t="n">
        <v>-65720</v>
      </c>
      <c r="FM15" s="11" t="n">
        <v>4720776</v>
      </c>
      <c r="FN15" s="11" t="n">
        <v>357800</v>
      </c>
      <c r="FO15" s="11" t="n">
        <v>-16170114</v>
      </c>
      <c r="FP15" s="11" t="n">
        <v>154275</v>
      </c>
      <c r="FQ15" s="11" t="n">
        <v>-13145569</v>
      </c>
      <c r="FR15" s="11" t="n">
        <v>1101196</v>
      </c>
      <c r="FS15" s="11" t="n">
        <v>2130329</v>
      </c>
      <c r="FT15" s="11" t="n">
        <v>17480850</v>
      </c>
      <c r="FU15" s="11" t="n">
        <v>296324962</v>
      </c>
      <c r="FV15" s="11" t="n">
        <v>-1045480486</v>
      </c>
      <c r="FW15" s="11" t="n">
        <v>-432268292</v>
      </c>
      <c r="FX15" s="11" t="n">
        <v>-17038300</v>
      </c>
      <c r="FY15" s="11" t="n">
        <v>11165125</v>
      </c>
      <c r="FZ15" s="11" t="n">
        <v>6427175</v>
      </c>
      <c r="GA15" s="11" t="n">
        <v>-829748263</v>
      </c>
      <c r="GB15" s="11" t="n">
        <v>-312375225</v>
      </c>
      <c r="GC15" s="11" t="n">
        <v>-108298883</v>
      </c>
      <c r="GD15" s="11" t="n">
        <v>-173874</v>
      </c>
      <c r="GE15" s="11" t="n">
        <v>2439292</v>
      </c>
      <c r="GF15" s="11" t="n">
        <v>-3291664</v>
      </c>
      <c r="GG15" s="11" t="n">
        <v>2676100</v>
      </c>
      <c r="GH15" s="11" t="n">
        <v>118079</v>
      </c>
      <c r="GI15" s="11" t="n">
        <v>19564</v>
      </c>
      <c r="GJ15" s="11" t="n">
        <v>-48439</v>
      </c>
      <c r="GK15" s="11" t="n">
        <v>-2509856</v>
      </c>
      <c r="GL15" s="11" t="n">
        <v>2496912</v>
      </c>
      <c r="GM15" s="11" t="n">
        <v>-615904</v>
      </c>
      <c r="GN15" s="11" t="n">
        <v>-5823342</v>
      </c>
      <c r="GO15" s="11" t="n">
        <v>14800326</v>
      </c>
      <c r="GP15" s="11" t="n">
        <v>1755072</v>
      </c>
      <c r="GQ15" s="11" t="n">
        <v>-97391396</v>
      </c>
      <c r="GR15" s="11" t="n">
        <v>-114249276</v>
      </c>
      <c r="GS15" s="11" t="n">
        <v>261018092</v>
      </c>
      <c r="GT15" s="11" t="n">
        <v>-10706233</v>
      </c>
      <c r="GU15" s="11" t="n">
        <v>430425</v>
      </c>
      <c r="GV15" s="11" t="n">
        <v>-4320653</v>
      </c>
      <c r="GW15" s="11" t="n">
        <v>217246224</v>
      </c>
      <c r="GX15" s="11" t="n">
        <v>-46644</v>
      </c>
      <c r="GY15" s="11" t="n">
        <v>55835514</v>
      </c>
      <c r="GZ15" s="11" t="n">
        <v>510675</v>
      </c>
      <c r="HA15" s="11" t="n">
        <v>40910967</v>
      </c>
      <c r="HB15" s="11" t="n">
        <v>11953380</v>
      </c>
      <c r="HC15" s="11" t="n">
        <v>-593427</v>
      </c>
      <c r="HD15" s="11" t="n">
        <v>363936</v>
      </c>
      <c r="HE15" s="11" t="n">
        <v>6804</v>
      </c>
      <c r="HF15" s="11" t="n">
        <v>256424</v>
      </c>
      <c r="HG15" s="11" t="n">
        <v>98560</v>
      </c>
      <c r="HH15" s="11" t="n">
        <v>-6376</v>
      </c>
      <c r="HI15" s="11" t="n">
        <v>-4160274</v>
      </c>
      <c r="HJ15" s="11" t="n">
        <v>12250404</v>
      </c>
      <c r="HK15" s="11" t="n">
        <v>-24716640</v>
      </c>
      <c r="HL15" s="11" t="n">
        <v>3002268</v>
      </c>
      <c r="HM15" s="11" t="n">
        <v>3160297</v>
      </c>
      <c r="HN15" s="11" t="n">
        <v>664580</v>
      </c>
      <c r="HO15" s="11" t="n">
        <v>-16757</v>
      </c>
      <c r="HP15" s="11" t="n">
        <v>-20732600</v>
      </c>
      <c r="HQ15" s="11" t="n">
        <v>2329976</v>
      </c>
      <c r="HR15" s="11" t="n">
        <v>380040</v>
      </c>
      <c r="HS15" s="11" t="n">
        <v>-54138126</v>
      </c>
      <c r="HT15" s="11" t="n">
        <v>-764805</v>
      </c>
      <c r="HU15" s="11" t="n">
        <v>-39764241</v>
      </c>
      <c r="HV15" s="11" t="n">
        <v>-11237208</v>
      </c>
      <c r="HW15" s="11" t="n">
        <v>671169</v>
      </c>
      <c r="HX15" s="11" t="n">
        <v>322791630</v>
      </c>
      <c r="HY15" s="11" t="n">
        <v>116065278</v>
      </c>
      <c r="HZ15" s="11" t="n">
        <v>-422311722</v>
      </c>
      <c r="IA15" s="11" t="n">
        <v>-114656556</v>
      </c>
      <c r="IB15" s="11" t="n">
        <v>-235449540</v>
      </c>
      <c r="IC15" s="11" t="n">
        <v>-72966375</v>
      </c>
      <c r="ID15" s="11" t="n">
        <v>2382015</v>
      </c>
      <c r="IE15" s="11" t="n">
        <v>-334277451</v>
      </c>
      <c r="IF15" s="11" t="n">
        <v>-82775889</v>
      </c>
      <c r="IG15" s="11" t="n">
        <v>-29034291</v>
      </c>
      <c r="IH15" s="11" t="n">
        <v>-1929846</v>
      </c>
      <c r="II15" s="11" t="n">
        <v>12634508</v>
      </c>
      <c r="IJ15" s="11" t="n">
        <v>-26717888</v>
      </c>
      <c r="IK15" s="11" t="n">
        <v>2163668</v>
      </c>
      <c r="IL15" s="11" t="n">
        <v>1595951</v>
      </c>
      <c r="IM15" s="11" t="n">
        <v>23128</v>
      </c>
      <c r="IN15" s="11" t="n">
        <v>6641</v>
      </c>
      <c r="IO15" s="11" t="n">
        <v>-22246672</v>
      </c>
      <c r="IP15" s="11" t="n">
        <v>1745840</v>
      </c>
      <c r="IQ15" s="11" t="n">
        <v>117872</v>
      </c>
      <c r="IR15" s="11" t="n">
        <v>-79468978</v>
      </c>
      <c r="IS15" s="11" t="n">
        <v>174356002</v>
      </c>
      <c r="IT15" s="11" t="n">
        <v>-8813464</v>
      </c>
      <c r="IU15" s="11" t="n">
        <v>-41277412</v>
      </c>
      <c r="IV15" s="11" t="n">
        <v>-31396652</v>
      </c>
      <c r="IW15" s="11" t="n">
        <v>73462524</v>
      </c>
      <c r="IX15" s="11" t="n">
        <v>-145141941</v>
      </c>
      <c r="IY15" s="11" t="n">
        <v>7015121</v>
      </c>
      <c r="IZ15" s="11" t="n">
        <v>705619</v>
      </c>
      <c r="JA15" s="11" t="n">
        <v>60986528</v>
      </c>
      <c r="JB15" s="11" t="n">
        <v>3087174</v>
      </c>
      <c r="JC15" s="11" t="n">
        <v>75135</v>
      </c>
      <c r="JD15" s="11" t="n">
        <v>2163019</v>
      </c>
      <c r="JE15" s="11" t="n">
        <v>1007948</v>
      </c>
      <c r="JF15" s="11" t="n">
        <v>120685</v>
      </c>
      <c r="JG15" s="11" t="n">
        <v>-56141385</v>
      </c>
      <c r="JH15" s="11" t="n">
        <v>118471743</v>
      </c>
      <c r="JI15" s="11" t="n">
        <v>-415426008</v>
      </c>
      <c r="JJ15" s="11" t="n">
        <v>-183743277</v>
      </c>
      <c r="JK15" s="11" t="n">
        <v>42218630</v>
      </c>
      <c r="JL15" s="11" t="n">
        <v>8219350</v>
      </c>
      <c r="JM15" s="11" t="n">
        <v>-2277205</v>
      </c>
      <c r="JN15" s="11" t="n">
        <v>-329747434</v>
      </c>
      <c r="JO15" s="11" t="n">
        <v>-133370507</v>
      </c>
      <c r="JP15" s="11" t="n">
        <v>-43751334</v>
      </c>
      <c r="JQ15" s="11" t="n">
        <v>-135906</v>
      </c>
      <c r="JR15" s="11" t="n">
        <v>94868</v>
      </c>
      <c r="JS15" s="11" t="n">
        <v>-1341152</v>
      </c>
      <c r="JT15" s="11" t="n">
        <v>-1363636</v>
      </c>
      <c r="JU15" s="11" t="n">
        <v>97531</v>
      </c>
      <c r="JV15" s="11" t="n">
        <v>11732</v>
      </c>
      <c r="JW15" s="11" t="n">
        <v>-27875</v>
      </c>
      <c r="JX15" s="11" t="n">
        <v>-970648</v>
      </c>
      <c r="JY15" s="11" t="n">
        <v>-959136</v>
      </c>
      <c r="JZ15" s="11" t="n">
        <v>-392792</v>
      </c>
      <c r="KA15" s="11" t="n">
        <v>3490247</v>
      </c>
      <c r="KB15" s="11" t="n">
        <v>6101128</v>
      </c>
      <c r="KC15" s="11" t="n">
        <v>16709327</v>
      </c>
      <c r="KD15" s="11" t="n">
        <v>-38701408</v>
      </c>
      <c r="KE15" s="11" t="n">
        <v>-46683788</v>
      </c>
      <c r="KF15" s="11" t="n">
        <v>103674816</v>
      </c>
      <c r="KG15" s="11" t="n">
        <v>-4077094</v>
      </c>
      <c r="KH15" s="11" t="n">
        <v>-12707077</v>
      </c>
      <c r="KI15" s="11" t="n">
        <v>-2693794</v>
      </c>
      <c r="KJ15" s="11" t="n">
        <v>86368552</v>
      </c>
      <c r="KK15" s="11" t="n">
        <v>36587385</v>
      </c>
      <c r="KL15" s="11" t="n">
        <v>-121287535</v>
      </c>
      <c r="KM15" s="11" t="n">
        <v>426146974</v>
      </c>
      <c r="KN15" s="11" t="n">
        <v>184496939</v>
      </c>
      <c r="KO15" s="11" t="n">
        <v>-28586710</v>
      </c>
      <c r="KP15" s="11" t="n">
        <v>-1574135</v>
      </c>
      <c r="KQ15" s="11" t="n">
        <v>3059960</v>
      </c>
      <c r="KR15" s="11" t="n">
        <v>338178389</v>
      </c>
      <c r="KS15" s="11" t="n">
        <v>134008634</v>
      </c>
      <c r="KT15" s="11" t="n">
        <v>43578293</v>
      </c>
      <c r="KU15" s="11" t="n">
        <v>801600080</v>
      </c>
      <c r="KV15" s="11" t="n">
        <v>-2826251465</v>
      </c>
      <c r="KW15" s="11" t="n">
        <v>-1177526005</v>
      </c>
      <c r="KX15" s="11" t="n">
        <v>32514623</v>
      </c>
      <c r="KY15" s="11" t="n">
        <v>-138668957</v>
      </c>
      <c r="KZ15" s="11" t="n">
        <v>536676789</v>
      </c>
      <c r="LA15" s="11" t="n">
        <v>2242714470</v>
      </c>
      <c r="LB15" s="11" t="n">
        <v>852991550</v>
      </c>
      <c r="LC15" s="11" t="n">
        <v>287033395</v>
      </c>
      <c r="LD15" s="11" t="n">
        <v>422566793</v>
      </c>
      <c r="LE15" s="11" t="n">
        <v>4215095</v>
      </c>
      <c r="LF15" s="11" t="n">
        <v>-2865626</v>
      </c>
      <c r="LG15" s="11" t="n">
        <v>8038949</v>
      </c>
      <c r="LH15" s="11" t="n">
        <v>-39595212</v>
      </c>
      <c r="LI15" s="11" t="n">
        <v>-47904392</v>
      </c>
      <c r="LJ15" s="11" t="n">
        <v>108082964</v>
      </c>
      <c r="LK15" s="11" t="n">
        <v>2420341</v>
      </c>
      <c r="LL15" s="11" t="n">
        <v>-6633574</v>
      </c>
      <c r="LM15" s="11" t="n">
        <v>-106203</v>
      </c>
      <c r="LN15" s="11" t="n">
        <v>89820688</v>
      </c>
      <c r="LO15" s="11" t="n">
        <v>262818247</v>
      </c>
      <c r="LP15" s="11" t="n">
        <v>311785227</v>
      </c>
      <c r="LQ15" s="11" t="n">
        <v>-713208679</v>
      </c>
      <c r="LR15" s="11" t="n">
        <v>58111660</v>
      </c>
      <c r="LS15" s="11" t="n">
        <v>592644023</v>
      </c>
    </row>
    <row r="16" customFormat="false" ht="15" hidden="false" customHeight="true" outlineLevel="0" collapsed="false">
      <c r="A16" s="7" t="s">
        <v>82</v>
      </c>
      <c r="B16" s="11" t="n">
        <v>-4843090</v>
      </c>
      <c r="C16" s="11" t="n">
        <v>-765775160</v>
      </c>
      <c r="D16" s="11" t="n">
        <v>-5043166</v>
      </c>
      <c r="E16" s="11" t="n">
        <v>-401712784</v>
      </c>
      <c r="F16" s="11" t="n">
        <v>-9510482</v>
      </c>
      <c r="G16" s="11" t="n">
        <v>-302959978</v>
      </c>
      <c r="H16" s="11" t="n">
        <v>223805170</v>
      </c>
      <c r="I16" s="11" t="n">
        <v>177102776</v>
      </c>
      <c r="J16" s="11" t="n">
        <v>40119705</v>
      </c>
      <c r="K16" s="11" t="n">
        <v>133527</v>
      </c>
      <c r="L16" s="11" t="n">
        <v>-1117917</v>
      </c>
      <c r="M16" s="11" t="n">
        <v>554829</v>
      </c>
      <c r="N16" s="11" t="n">
        <v>-4561334</v>
      </c>
      <c r="O16" s="11" t="n">
        <v>-2808520</v>
      </c>
      <c r="P16" s="11" t="n">
        <v>2586013</v>
      </c>
      <c r="Q16" s="11" t="n">
        <v>-20664219</v>
      </c>
      <c r="R16" s="11" t="n">
        <v>-3504512916</v>
      </c>
      <c r="S16" s="11" t="n">
        <v>8943987</v>
      </c>
      <c r="T16" s="11" t="n">
        <v>-3230916877</v>
      </c>
      <c r="U16" s="11" t="n">
        <v>1409906185</v>
      </c>
      <c r="V16" s="11" t="n">
        <v>1875995624</v>
      </c>
      <c r="W16" s="11" t="n">
        <v>-12239571</v>
      </c>
      <c r="X16" s="11" t="n">
        <v>315540</v>
      </c>
      <c r="Y16" s="11" t="n">
        <v>-13102565</v>
      </c>
      <c r="Z16" s="11" t="n">
        <v>3245903</v>
      </c>
      <c r="AA16" s="11" t="n">
        <v>7575679</v>
      </c>
      <c r="AB16" s="11" t="n">
        <v>48215877</v>
      </c>
      <c r="AC16" s="11" t="n">
        <v>-308410967</v>
      </c>
      <c r="AD16" s="11" t="n">
        <v>-284614573</v>
      </c>
      <c r="AE16" s="11" t="n">
        <v>173618140</v>
      </c>
      <c r="AF16" s="11" t="n">
        <v>-43664575</v>
      </c>
      <c r="AG16" s="11" t="n">
        <v>20124181</v>
      </c>
      <c r="AH16" s="11" t="n">
        <v>25367273</v>
      </c>
      <c r="AI16" s="11" t="n">
        <v>-386472126</v>
      </c>
      <c r="AJ16" s="11" t="n">
        <v>-5031183</v>
      </c>
      <c r="AK16" s="11" t="n">
        <v>-222205197</v>
      </c>
      <c r="AL16" s="11" t="n">
        <v>319683265</v>
      </c>
      <c r="AM16" s="11" t="n">
        <v>155957</v>
      </c>
      <c r="AN16" s="11" t="n">
        <v>121258453</v>
      </c>
      <c r="AO16" s="11" t="n">
        <v>-8654481</v>
      </c>
      <c r="AP16" s="11" t="n">
        <v>89319536</v>
      </c>
      <c r="AQ16" s="11" t="n">
        <v>-92034700</v>
      </c>
      <c r="AR16" s="11" t="n">
        <v>-70074747</v>
      </c>
      <c r="AS16" s="11" t="n">
        <v>-308230443</v>
      </c>
      <c r="AT16" s="11" t="n">
        <v>-7343275292</v>
      </c>
      <c r="AU16" s="11" t="n">
        <v>-1996190141</v>
      </c>
      <c r="AV16" s="11" t="n">
        <v>-5874875949</v>
      </c>
      <c r="AW16" s="11" t="n">
        <v>220702145</v>
      </c>
      <c r="AX16" s="11" t="n">
        <v>610208168</v>
      </c>
      <c r="AY16" s="11" t="n">
        <v>113331899</v>
      </c>
      <c r="AZ16" s="11" t="n">
        <v>-9318268</v>
      </c>
      <c r="BA16" s="11" t="n">
        <v>83253567</v>
      </c>
      <c r="BB16" s="11" t="n">
        <v>-88629839</v>
      </c>
      <c r="BC16" s="11" t="n">
        <v>-67266593</v>
      </c>
      <c r="BD16" s="11" t="n">
        <v>-955968605</v>
      </c>
      <c r="BE16" s="11" t="n">
        <v>-176676209</v>
      </c>
      <c r="BF16" s="11" t="n">
        <v>-2030366331</v>
      </c>
      <c r="BG16" s="11" t="n">
        <v>-1378193068</v>
      </c>
      <c r="BH16" s="11" t="n">
        <v>716780653</v>
      </c>
      <c r="BI16" s="11" t="n">
        <v>-580664813</v>
      </c>
      <c r="BJ16" s="11" t="n">
        <v>-454085559</v>
      </c>
      <c r="BK16" s="11" t="n">
        <v>-1629673772</v>
      </c>
      <c r="BL16" s="11" t="n">
        <v>-1117283807</v>
      </c>
      <c r="BM16" s="11" t="n">
        <v>-127296869</v>
      </c>
      <c r="BN16" s="11" t="n">
        <v>7521933</v>
      </c>
      <c r="BO16" s="11" t="n">
        <v>-1078285293</v>
      </c>
      <c r="BP16" s="11" t="n">
        <v>108316131</v>
      </c>
      <c r="BQ16" s="11" t="n">
        <v>-1040999771</v>
      </c>
      <c r="BR16" s="11" t="n">
        <v>577021730</v>
      </c>
      <c r="BS16" s="11" t="n">
        <v>751190512</v>
      </c>
      <c r="BT16" s="11" t="n">
        <v>-3379170</v>
      </c>
      <c r="BU16" s="11" t="n">
        <v>256476</v>
      </c>
      <c r="BV16" s="11" t="n">
        <v>-2609479</v>
      </c>
      <c r="BW16" s="11" t="n">
        <v>2447014</v>
      </c>
      <c r="BX16" s="11" t="n">
        <v>2015279</v>
      </c>
      <c r="BY16" s="11" t="n">
        <v>11893794</v>
      </c>
      <c r="BZ16" s="11" t="n">
        <v>-93586631</v>
      </c>
      <c r="CA16" s="11" t="n">
        <v>-91562194</v>
      </c>
      <c r="CB16" s="11" t="n">
        <v>48571921</v>
      </c>
      <c r="CC16" s="11" t="n">
        <v>-2081541</v>
      </c>
      <c r="CD16" s="11" t="n">
        <v>15562338</v>
      </c>
      <c r="CE16" s="11" t="n">
        <v>3406689</v>
      </c>
      <c r="CF16" s="11" t="n">
        <v>-138477028</v>
      </c>
      <c r="CG16" s="11" t="n">
        <v>-18305017</v>
      </c>
      <c r="CH16" s="11" t="n">
        <v>-89779306</v>
      </c>
      <c r="CI16" s="11" t="n">
        <v>1212437499</v>
      </c>
      <c r="CJ16" s="11" t="n">
        <v>-57466632</v>
      </c>
      <c r="CK16" s="11" t="n">
        <v>1141937298</v>
      </c>
      <c r="CL16" s="11" t="n">
        <v>-561542595</v>
      </c>
      <c r="CM16" s="11" t="n">
        <v>-738636504</v>
      </c>
      <c r="CN16" s="11" t="n">
        <v>-9221182221</v>
      </c>
      <c r="CO16" s="11" t="n">
        <v>4096415755</v>
      </c>
      <c r="CP16" s="11" t="n">
        <v>-12510037195</v>
      </c>
      <c r="CQ16" s="11" t="n">
        <v>-15196980152</v>
      </c>
      <c r="CR16" s="11" t="n">
        <v>8490833302</v>
      </c>
      <c r="CS16" s="11" t="n">
        <v>-3677861245</v>
      </c>
      <c r="CT16" s="11" t="n">
        <v>-4897392680</v>
      </c>
      <c r="CU16" s="11" t="n">
        <v>-9885347615</v>
      </c>
      <c r="CV16" s="11" t="n">
        <v>-11817711224</v>
      </c>
      <c r="CW16" s="11" t="n">
        <v>-582808160</v>
      </c>
      <c r="CX16" s="11" t="n">
        <v>-15524148</v>
      </c>
      <c r="CY16" s="11" t="n">
        <v>-92392483</v>
      </c>
      <c r="CZ16" s="11" t="n">
        <v>-142158092</v>
      </c>
      <c r="DA16" s="11" t="n">
        <v>6990023</v>
      </c>
      <c r="DB16" s="11" t="n">
        <v>19000640</v>
      </c>
      <c r="DC16" s="11" t="n">
        <v>-452084</v>
      </c>
      <c r="DD16" s="11" t="n">
        <v>-9788872</v>
      </c>
      <c r="DE16" s="11" t="n">
        <v>-176683699</v>
      </c>
      <c r="DF16" s="11" t="n">
        <v>-49703422</v>
      </c>
      <c r="DG16" s="11" t="n">
        <v>-89842447</v>
      </c>
      <c r="DH16" s="11" t="n">
        <v>755141017</v>
      </c>
      <c r="DI16" s="11" t="n">
        <v>921002528</v>
      </c>
      <c r="DJ16" s="11" t="n">
        <v>-247745921</v>
      </c>
      <c r="DK16" s="11" t="n">
        <v>-1433617855</v>
      </c>
      <c r="DL16" s="11" t="n">
        <v>-1134452449</v>
      </c>
      <c r="DM16" s="11" t="n">
        <v>-1853967031</v>
      </c>
      <c r="DN16" s="11" t="n">
        <v>-1149243401</v>
      </c>
      <c r="DO16" s="11" t="n">
        <v>-172933658</v>
      </c>
      <c r="DP16" s="11" t="n">
        <v>-587959985</v>
      </c>
      <c r="DQ16" s="11" t="n">
        <v>-1398204027</v>
      </c>
      <c r="DR16" s="11" t="n">
        <v>2118530</v>
      </c>
      <c r="DS16" s="11" t="n">
        <v>12540</v>
      </c>
      <c r="DT16" s="11" t="n">
        <v>-2892520</v>
      </c>
      <c r="DU16" s="11" t="n">
        <v>63640</v>
      </c>
      <c r="DV16" s="11" t="n">
        <v>-2441710</v>
      </c>
      <c r="DW16" s="11" t="n">
        <v>-205000</v>
      </c>
      <c r="DX16" s="11" t="n">
        <v>-187270</v>
      </c>
      <c r="DY16" s="11" t="n">
        <v>-223262</v>
      </c>
      <c r="DZ16" s="11" t="n">
        <v>-633079408</v>
      </c>
      <c r="EA16" s="11" t="n">
        <v>5902366</v>
      </c>
      <c r="EB16" s="11" t="n">
        <v>-518600866</v>
      </c>
      <c r="EC16" s="11" t="n">
        <v>65485890</v>
      </c>
      <c r="ED16" s="11" t="n">
        <v>47860112</v>
      </c>
      <c r="EE16" s="11" t="n">
        <v>-4052152</v>
      </c>
      <c r="EF16" s="11" t="n">
        <v>41644</v>
      </c>
      <c r="EG16" s="11" t="n">
        <v>-3327022</v>
      </c>
      <c r="EH16" s="11" t="n">
        <v>366020</v>
      </c>
      <c r="EI16" s="11" t="n">
        <v>263558</v>
      </c>
      <c r="EJ16" s="11" t="n">
        <v>10958760</v>
      </c>
      <c r="EK16" s="11" t="n">
        <v>-21587112</v>
      </c>
      <c r="EL16" s="11" t="n">
        <v>-150670760</v>
      </c>
      <c r="EM16" s="11" t="n">
        <v>-121307280</v>
      </c>
      <c r="EN16" s="11" t="n">
        <v>-8775846</v>
      </c>
      <c r="EO16" s="11" t="n">
        <v>2538320</v>
      </c>
      <c r="EP16" s="11" t="n">
        <v>1959450</v>
      </c>
      <c r="EQ16" s="11" t="n">
        <v>-125658230</v>
      </c>
      <c r="ER16" s="11" t="n">
        <v>-101003478</v>
      </c>
      <c r="ES16" s="11" t="n">
        <v>1157510</v>
      </c>
      <c r="ET16" s="11" t="n">
        <v>-45471</v>
      </c>
      <c r="EU16" s="11" t="n">
        <v>23472351</v>
      </c>
      <c r="EV16" s="11" t="n">
        <v>-284487</v>
      </c>
      <c r="EW16" s="11" t="n">
        <v>18231617</v>
      </c>
      <c r="EX16" s="11" t="n">
        <v>469660</v>
      </c>
      <c r="EY16" s="11" t="n">
        <v>2682536</v>
      </c>
      <c r="EZ16" s="11" t="n">
        <v>76854</v>
      </c>
      <c r="FA16" s="11" t="n">
        <v>-318</v>
      </c>
      <c r="FB16" s="11" t="n">
        <v>55509</v>
      </c>
      <c r="FC16" s="11" t="n">
        <v>-1620</v>
      </c>
      <c r="FD16" s="11" t="n">
        <v>11859</v>
      </c>
      <c r="FE16" s="11" t="n">
        <v>-316680</v>
      </c>
      <c r="FF16" s="11" t="n">
        <v>2160629</v>
      </c>
      <c r="FG16" s="11" t="n">
        <v>1630060</v>
      </c>
      <c r="FH16" s="11" t="n">
        <v>-1587715</v>
      </c>
      <c r="FI16" s="11" t="n">
        <v>219787</v>
      </c>
      <c r="FJ16" s="11" t="n">
        <v>-13420</v>
      </c>
      <c r="FK16" s="11" t="n">
        <v>55435</v>
      </c>
      <c r="FL16" s="11" t="n">
        <v>1222880</v>
      </c>
      <c r="FM16" s="11" t="n">
        <v>-1480149</v>
      </c>
      <c r="FN16" s="11" t="n">
        <v>-218060</v>
      </c>
      <c r="FO16" s="11" t="n">
        <v>-16061721</v>
      </c>
      <c r="FP16" s="11" t="n">
        <v>156666</v>
      </c>
      <c r="FQ16" s="11" t="n">
        <v>-13052318</v>
      </c>
      <c r="FR16" s="11" t="n">
        <v>1356059</v>
      </c>
      <c r="FS16" s="11" t="n">
        <v>744544</v>
      </c>
      <c r="FT16" s="11" t="n">
        <v>19617591</v>
      </c>
      <c r="FU16" s="11" t="n">
        <v>297715991</v>
      </c>
      <c r="FV16" s="11" t="n">
        <v>-865902239</v>
      </c>
      <c r="FW16" s="11" t="n">
        <v>-1331889400</v>
      </c>
      <c r="FX16" s="11" t="n">
        <v>-18845864</v>
      </c>
      <c r="FY16" s="11" t="n">
        <v>10102283</v>
      </c>
      <c r="FZ16" s="11" t="n">
        <v>13900624</v>
      </c>
      <c r="GA16" s="11" t="n">
        <v>-678526973</v>
      </c>
      <c r="GB16" s="11" t="n">
        <v>-1068539376</v>
      </c>
      <c r="GC16" s="11" t="n">
        <v>72309704</v>
      </c>
      <c r="GD16" s="11" t="n">
        <v>-152466</v>
      </c>
      <c r="GE16" s="11" t="n">
        <v>2453273</v>
      </c>
      <c r="GF16" s="11" t="n">
        <v>-1719746</v>
      </c>
      <c r="GG16" s="11" t="n">
        <v>-5447365</v>
      </c>
      <c r="GH16" s="11" t="n">
        <v>99970</v>
      </c>
      <c r="GI16" s="11" t="n">
        <v>3902</v>
      </c>
      <c r="GJ16" s="11" t="n">
        <v>46066</v>
      </c>
      <c r="GK16" s="11" t="n">
        <v>-1190401</v>
      </c>
      <c r="GL16" s="11" t="n">
        <v>-4312998</v>
      </c>
      <c r="GM16" s="11" t="n">
        <v>380191</v>
      </c>
      <c r="GN16" s="11" t="n">
        <v>-5822469</v>
      </c>
      <c r="GO16" s="11" t="n">
        <v>10320060</v>
      </c>
      <c r="GP16" s="11" t="n">
        <v>19296315</v>
      </c>
      <c r="GQ16" s="11" t="n">
        <v>-100381441</v>
      </c>
      <c r="GR16" s="11" t="n">
        <v>-102462285</v>
      </c>
      <c r="GS16" s="11" t="n">
        <v>-151065635</v>
      </c>
      <c r="GT16" s="11" t="n">
        <v>-6915743</v>
      </c>
      <c r="GU16" s="11" t="n">
        <v>-14411544</v>
      </c>
      <c r="GV16" s="11" t="n">
        <v>2624255</v>
      </c>
      <c r="GW16" s="11" t="n">
        <v>-126758721</v>
      </c>
      <c r="GX16" s="11" t="n">
        <v>-759521</v>
      </c>
      <c r="GY16" s="11" t="n">
        <v>243972321</v>
      </c>
      <c r="GZ16" s="11" t="n">
        <v>-7986517</v>
      </c>
      <c r="HA16" s="11" t="n">
        <v>200244047</v>
      </c>
      <c r="HB16" s="11" t="n">
        <v>-26727400</v>
      </c>
      <c r="HC16" s="11" t="n">
        <v>-18291704</v>
      </c>
      <c r="HD16" s="11" t="n">
        <v>407114</v>
      </c>
      <c r="HE16" s="11" t="n">
        <v>-24458</v>
      </c>
      <c r="HF16" s="11" t="n">
        <v>309899</v>
      </c>
      <c r="HG16" s="11" t="n">
        <v>-231700</v>
      </c>
      <c r="HH16" s="11" t="n">
        <v>-175411</v>
      </c>
      <c r="HI16" s="11" t="n">
        <v>3575480</v>
      </c>
      <c r="HJ16" s="11" t="n">
        <v>7788299</v>
      </c>
      <c r="HK16" s="11" t="n">
        <v>60100100</v>
      </c>
      <c r="HL16" s="11" t="n">
        <v>46540675</v>
      </c>
      <c r="HM16" s="11" t="n">
        <v>-3189583</v>
      </c>
      <c r="HN16" s="11" t="n">
        <v>-1575700</v>
      </c>
      <c r="HO16" s="11" t="n">
        <v>-1255455</v>
      </c>
      <c r="HP16" s="11" t="n">
        <v>50181300</v>
      </c>
      <c r="HQ16" s="11" t="n">
        <v>38782901</v>
      </c>
      <c r="HR16" s="11" t="n">
        <v>-592600</v>
      </c>
      <c r="HS16" s="11" t="n">
        <v>-252678439</v>
      </c>
      <c r="HT16" s="11" t="n">
        <v>2957738</v>
      </c>
      <c r="HU16" s="11" t="n">
        <v>-207028050</v>
      </c>
      <c r="HV16" s="11" t="n">
        <v>26294233</v>
      </c>
      <c r="HW16" s="11" t="n">
        <v>19086160</v>
      </c>
      <c r="HX16" s="11" t="n">
        <v>1706884265</v>
      </c>
      <c r="HY16" s="11" t="n">
        <v>-116177623</v>
      </c>
      <c r="HZ16" s="11" t="n">
        <v>445507967</v>
      </c>
      <c r="IA16" s="11" t="n">
        <v>-45522824</v>
      </c>
      <c r="IB16" s="11" t="n">
        <v>-1397148484</v>
      </c>
      <c r="IC16" s="11" t="n">
        <v>172406941</v>
      </c>
      <c r="ID16" s="11" t="n">
        <v>129463008</v>
      </c>
      <c r="IE16" s="11" t="n">
        <v>352930169</v>
      </c>
      <c r="IF16" s="11" t="n">
        <v>-46073920</v>
      </c>
      <c r="IG16" s="11" t="n">
        <v>38388808</v>
      </c>
      <c r="IH16" s="11" t="n">
        <v>6551330</v>
      </c>
      <c r="II16" s="11" t="n">
        <v>7872359</v>
      </c>
      <c r="IJ16" s="11" t="n">
        <v>62988178</v>
      </c>
      <c r="IK16" s="11" t="n">
        <v>48125509</v>
      </c>
      <c r="IL16" s="11" t="n">
        <v>-5459878</v>
      </c>
      <c r="IM16" s="11" t="n">
        <v>-55566</v>
      </c>
      <c r="IN16" s="11" t="n">
        <v>-68478</v>
      </c>
      <c r="IO16" s="11" t="n">
        <v>52427573</v>
      </c>
      <c r="IP16" s="11" t="n">
        <v>40025510</v>
      </c>
      <c r="IQ16" s="11" t="n">
        <v>-250203</v>
      </c>
      <c r="IR16" s="11" t="n">
        <v>-56191275</v>
      </c>
      <c r="IS16" s="11" t="n">
        <v>-413944540</v>
      </c>
      <c r="IT16" s="11" t="n">
        <v>-326275995</v>
      </c>
      <c r="IU16" s="11" t="n">
        <v>42841073</v>
      </c>
      <c r="IV16" s="11" t="n">
        <v>20709069</v>
      </c>
      <c r="IW16" s="11" t="n">
        <v>-96200125</v>
      </c>
      <c r="IX16" s="11" t="n">
        <v>344504759</v>
      </c>
      <c r="IY16" s="11" t="n">
        <v>271331052</v>
      </c>
      <c r="IZ16" s="11" t="n">
        <v>-1559415</v>
      </c>
      <c r="JA16" s="11" t="n">
        <v>-79901027</v>
      </c>
      <c r="JB16" s="11" t="n">
        <v>3178656</v>
      </c>
      <c r="JC16" s="11" t="n">
        <v>69426</v>
      </c>
      <c r="JD16" s="11" t="n">
        <v>2238344</v>
      </c>
      <c r="JE16" s="11" t="n">
        <v>742042</v>
      </c>
      <c r="JF16" s="11" t="n">
        <v>1354328</v>
      </c>
      <c r="JG16" s="11" t="n">
        <v>-55725138</v>
      </c>
      <c r="JH16" s="11" t="n">
        <v>119039448</v>
      </c>
      <c r="JI16" s="11" t="n">
        <v>-350214042</v>
      </c>
      <c r="JJ16" s="11" t="n">
        <v>-511587672</v>
      </c>
      <c r="JK16" s="11" t="n">
        <v>41840470</v>
      </c>
      <c r="JL16" s="11" t="n">
        <v>5359634</v>
      </c>
      <c r="JM16" s="11" t="n">
        <v>12569032</v>
      </c>
      <c r="JN16" s="11" t="n">
        <v>-274402694</v>
      </c>
      <c r="JO16" s="11" t="n">
        <v>-410968552</v>
      </c>
      <c r="JP16" s="11" t="n">
        <v>29787792</v>
      </c>
      <c r="JQ16" s="11" t="n">
        <v>-139572</v>
      </c>
      <c r="JR16" s="11" t="n">
        <v>97168</v>
      </c>
      <c r="JS16" s="11" t="n">
        <v>-1367428</v>
      </c>
      <c r="JT16" s="11" t="n">
        <v>-1460048</v>
      </c>
      <c r="JU16" s="11" t="n">
        <v>100406</v>
      </c>
      <c r="JV16" s="11" t="n">
        <v>2716</v>
      </c>
      <c r="JW16" s="11" t="n">
        <v>27578</v>
      </c>
      <c r="JX16" s="11" t="n">
        <v>-985598</v>
      </c>
      <c r="JY16" s="11" t="n">
        <v>-1069536</v>
      </c>
      <c r="JZ16" s="11" t="n">
        <v>241778</v>
      </c>
      <c r="KA16" s="11" t="n">
        <v>3523462</v>
      </c>
      <c r="KB16" s="11" t="n">
        <v>8594840</v>
      </c>
      <c r="KC16" s="11" t="n">
        <v>3132790</v>
      </c>
      <c r="KD16" s="11" t="n">
        <v>-40503998</v>
      </c>
      <c r="KE16" s="11" t="n">
        <v>-39039568</v>
      </c>
      <c r="KF16" s="11" t="n">
        <v>-59216850</v>
      </c>
      <c r="KG16" s="11" t="n">
        <v>-6114434</v>
      </c>
      <c r="KH16" s="11" t="n">
        <v>-1557482</v>
      </c>
      <c r="KI16" s="11" t="n">
        <v>1637290</v>
      </c>
      <c r="KJ16" s="11" t="n">
        <v>-49843198</v>
      </c>
      <c r="KK16" s="11" t="n">
        <v>35475102</v>
      </c>
      <c r="KL16" s="11" t="n">
        <v>-121773704</v>
      </c>
      <c r="KM16" s="11" t="n">
        <v>356906966</v>
      </c>
      <c r="KN16" s="11" t="n">
        <v>530436712</v>
      </c>
      <c r="KO16" s="11" t="n">
        <v>-27640532</v>
      </c>
      <c r="KP16" s="11" t="n">
        <v>-486178</v>
      </c>
      <c r="KQ16" s="11" t="n">
        <v>-3529424</v>
      </c>
      <c r="KR16" s="11" t="n">
        <v>279754012</v>
      </c>
      <c r="KS16" s="11" t="n">
        <v>425406640</v>
      </c>
      <c r="KT16" s="11" t="n">
        <v>-28239224</v>
      </c>
      <c r="KU16" s="11" t="n">
        <v>806290426</v>
      </c>
      <c r="KV16" s="11" t="n">
        <v>-2348417404</v>
      </c>
      <c r="KW16" s="11" t="n">
        <v>-3589578152</v>
      </c>
      <c r="KX16" s="11" t="n">
        <v>-50604050</v>
      </c>
      <c r="KY16" s="11" t="n">
        <v>265825448</v>
      </c>
      <c r="KZ16" s="11" t="n">
        <v>-999535992</v>
      </c>
      <c r="LA16" s="11" t="n">
        <v>1840826478</v>
      </c>
      <c r="LB16" s="11" t="n">
        <v>2877048544</v>
      </c>
      <c r="LC16" s="11" t="n">
        <v>-184450120</v>
      </c>
      <c r="LD16" s="11" t="n">
        <v>-787469144</v>
      </c>
      <c r="LE16" s="11" t="n">
        <v>4262542</v>
      </c>
      <c r="LF16" s="11" t="n">
        <v>-410416</v>
      </c>
      <c r="LG16" s="11" t="n">
        <v>-6996278</v>
      </c>
      <c r="LH16" s="11" t="n">
        <v>-41475654</v>
      </c>
      <c r="LI16" s="11" t="n">
        <v>-39719296</v>
      </c>
      <c r="LJ16" s="11" t="n">
        <v>-64251278</v>
      </c>
      <c r="LK16" s="11" t="n">
        <v>378194</v>
      </c>
      <c r="LL16" s="11" t="n">
        <v>5875252</v>
      </c>
      <c r="LM16" s="11" t="n">
        <v>55050</v>
      </c>
      <c r="LN16" s="11" t="n">
        <v>-53643652</v>
      </c>
      <c r="LO16" s="11" t="n">
        <v>272848076</v>
      </c>
      <c r="LP16" s="11" t="n">
        <v>272295078</v>
      </c>
      <c r="LQ16" s="11" t="n">
        <v>421618540</v>
      </c>
      <c r="LR16" s="11" t="n">
        <v>-107044798</v>
      </c>
      <c r="LS16" s="11" t="n">
        <v>-351919310</v>
      </c>
    </row>
    <row r="17" customFormat="false" ht="15" hidden="false" customHeight="true" outlineLevel="0" collapsed="false">
      <c r="A17" s="7" t="s">
        <v>83</v>
      </c>
      <c r="B17" s="11" t="n">
        <v>234326</v>
      </c>
      <c r="C17" s="11" t="n">
        <v>-10881352</v>
      </c>
      <c r="D17" s="11" t="n">
        <v>174154</v>
      </c>
      <c r="E17" s="11" t="n">
        <v>18268512</v>
      </c>
      <c r="F17" s="11" t="n">
        <v>1261086</v>
      </c>
      <c r="G17" s="11" t="n">
        <v>5375782</v>
      </c>
      <c r="H17" s="11" t="n">
        <v>-11255606</v>
      </c>
      <c r="I17" s="11" t="n">
        <v>-7970280</v>
      </c>
      <c r="J17" s="11" t="n">
        <v>-6485665</v>
      </c>
      <c r="K17" s="11" t="n">
        <v>1781</v>
      </c>
      <c r="L17" s="11" t="n">
        <v>4331829</v>
      </c>
      <c r="M17" s="11" t="n">
        <v>384614</v>
      </c>
      <c r="N17" s="11" t="n">
        <v>-5344121</v>
      </c>
      <c r="O17" s="11" t="n">
        <v>85080</v>
      </c>
      <c r="P17" s="11" t="n">
        <v>-3186415</v>
      </c>
      <c r="Q17" s="11" t="n">
        <v>4737523</v>
      </c>
      <c r="R17" s="11" t="n">
        <v>304478772</v>
      </c>
      <c r="S17" s="11" t="n">
        <v>17044037</v>
      </c>
      <c r="T17" s="11" t="n">
        <v>396954597</v>
      </c>
      <c r="U17" s="11" t="n">
        <v>-315483025</v>
      </c>
      <c r="V17" s="11" t="n">
        <v>-72634120</v>
      </c>
      <c r="W17" s="11" t="n">
        <v>3080619</v>
      </c>
      <c r="X17" s="11" t="n">
        <v>276265</v>
      </c>
      <c r="Y17" s="11" t="n">
        <v>-4012676</v>
      </c>
      <c r="Z17" s="11" t="n">
        <v>148781</v>
      </c>
      <c r="AA17" s="11" t="n">
        <v>-2307605</v>
      </c>
      <c r="AB17" s="11" t="n">
        <v>6672399</v>
      </c>
      <c r="AC17" s="11" t="n">
        <v>-516016605</v>
      </c>
      <c r="AD17" s="11" t="n">
        <v>214707909</v>
      </c>
      <c r="AE17" s="11" t="n">
        <v>-101077860</v>
      </c>
      <c r="AF17" s="11" t="n">
        <v>-37584379</v>
      </c>
      <c r="AG17" s="11" t="n">
        <v>18932414</v>
      </c>
      <c r="AH17" s="11" t="n">
        <v>-4066395</v>
      </c>
      <c r="AI17" s="11" t="n">
        <v>-254747441</v>
      </c>
      <c r="AJ17" s="11" t="n">
        <v>-254874035</v>
      </c>
      <c r="AK17" s="11" t="n">
        <v>155950015</v>
      </c>
      <c r="AL17" s="11" t="n">
        <v>1681151</v>
      </c>
      <c r="AM17" s="11" t="n">
        <v>22707</v>
      </c>
      <c r="AN17" s="11" t="n">
        <v>-3895625</v>
      </c>
      <c r="AO17" s="11" t="n">
        <v>250960</v>
      </c>
      <c r="AP17" s="11" t="n">
        <v>-2659003</v>
      </c>
      <c r="AQ17" s="11" t="n">
        <v>4602124</v>
      </c>
      <c r="AR17" s="11" t="n">
        <v>2072537</v>
      </c>
      <c r="AS17" s="11" t="n">
        <v>-2303893</v>
      </c>
      <c r="AT17" s="11" t="n">
        <v>49834588</v>
      </c>
      <c r="AU17" s="11" t="n">
        <v>-20701331</v>
      </c>
      <c r="AV17" s="11" t="n">
        <v>84907549</v>
      </c>
      <c r="AW17" s="11" t="n">
        <v>-132955617</v>
      </c>
      <c r="AX17" s="11" t="n">
        <v>-39059944</v>
      </c>
      <c r="AY17" s="11" t="n">
        <v>-4665559</v>
      </c>
      <c r="AZ17" s="11" t="n">
        <v>64313</v>
      </c>
      <c r="BA17" s="11" t="n">
        <v>-2497136</v>
      </c>
      <c r="BB17" s="11" t="n">
        <v>4511063</v>
      </c>
      <c r="BC17" s="11" t="n">
        <v>2312683</v>
      </c>
      <c r="BD17" s="11" t="n">
        <v>40530645</v>
      </c>
      <c r="BE17" s="11" t="n">
        <v>-117929711</v>
      </c>
      <c r="BF17" s="11" t="n">
        <v>171668263</v>
      </c>
      <c r="BG17" s="11" t="n">
        <v>29074644</v>
      </c>
      <c r="BH17" s="11" t="n">
        <v>-20067503</v>
      </c>
      <c r="BI17" s="11" t="n">
        <v>36822124</v>
      </c>
      <c r="BJ17" s="11" t="n">
        <v>19689957</v>
      </c>
      <c r="BK17" s="11" t="n">
        <v>-22142975</v>
      </c>
      <c r="BL17" s="11" t="n">
        <v>-42895331</v>
      </c>
      <c r="BM17" s="11" t="n">
        <v>56982823</v>
      </c>
      <c r="BN17" s="11" t="n">
        <v>-641261</v>
      </c>
      <c r="BO17" s="11" t="n">
        <v>76744621</v>
      </c>
      <c r="BP17" s="11" t="n">
        <v>-9705439</v>
      </c>
      <c r="BQ17" s="11" t="n">
        <v>111936691</v>
      </c>
      <c r="BR17" s="11" t="n">
        <v>-127987790</v>
      </c>
      <c r="BS17" s="11" t="n">
        <v>-34502940</v>
      </c>
      <c r="BT17" s="11" t="n">
        <v>-449378</v>
      </c>
      <c r="BU17" s="11" t="n">
        <v>-35363</v>
      </c>
      <c r="BV17" s="11" t="n">
        <v>497654</v>
      </c>
      <c r="BW17" s="11" t="n">
        <v>26734</v>
      </c>
      <c r="BX17" s="11" t="n">
        <v>324527</v>
      </c>
      <c r="BY17" s="11" t="n">
        <v>11033465</v>
      </c>
      <c r="BZ17" s="11" t="n">
        <v>-138000212</v>
      </c>
      <c r="CA17" s="11" t="n">
        <v>86490846</v>
      </c>
      <c r="CB17" s="11" t="n">
        <v>-14659927</v>
      </c>
      <c r="CC17" s="11" t="n">
        <v>1359093</v>
      </c>
      <c r="CD17" s="11" t="n">
        <v>7462636</v>
      </c>
      <c r="CE17" s="11" t="n">
        <v>6814393</v>
      </c>
      <c r="CF17" s="11" t="n">
        <v>-103992214</v>
      </c>
      <c r="CG17" s="11" t="n">
        <v>-83424697</v>
      </c>
      <c r="CH17" s="11" t="n">
        <v>63333170</v>
      </c>
      <c r="CI17" s="11" t="n">
        <v>-86163835</v>
      </c>
      <c r="CJ17" s="11" t="n">
        <v>5404236</v>
      </c>
      <c r="CK17" s="11" t="n">
        <v>-121013674</v>
      </c>
      <c r="CL17" s="11" t="n">
        <v>124682983</v>
      </c>
      <c r="CM17" s="11" t="n">
        <v>32384636</v>
      </c>
      <c r="CN17" s="11" t="n">
        <v>657317069</v>
      </c>
      <c r="CO17" s="11" t="n">
        <v>-557878971</v>
      </c>
      <c r="CP17" s="11" t="n">
        <v>2275470587</v>
      </c>
      <c r="CQ17" s="11" t="n">
        <v>760312904</v>
      </c>
      <c r="CR17" s="11" t="n">
        <v>-888185210</v>
      </c>
      <c r="CS17" s="11" t="n">
        <v>808449077</v>
      </c>
      <c r="CT17" s="11" t="n">
        <v>199365124</v>
      </c>
      <c r="CU17" s="11" t="n">
        <v>2388531587</v>
      </c>
      <c r="CV17" s="11" t="n">
        <v>858150644</v>
      </c>
      <c r="CW17" s="11" t="n">
        <v>-244972780</v>
      </c>
      <c r="CX17" s="11" t="n">
        <v>8538733</v>
      </c>
      <c r="CY17" s="11" t="n">
        <v>-151670942</v>
      </c>
      <c r="CZ17" s="11" t="n">
        <v>83782244</v>
      </c>
      <c r="DA17" s="11" t="n">
        <v>-20911217</v>
      </c>
      <c r="DB17" s="11" t="n">
        <v>-2479438</v>
      </c>
      <c r="DC17" s="11" t="n">
        <v>7101073</v>
      </c>
      <c r="DD17" s="11" t="n">
        <v>4520840</v>
      </c>
      <c r="DE17" s="11" t="n">
        <v>-101805918</v>
      </c>
      <c r="DF17" s="11" t="n">
        <v>-86374422</v>
      </c>
      <c r="DG17" s="11" t="n">
        <v>61748997</v>
      </c>
      <c r="DH17" s="11" t="n">
        <v>1101765253</v>
      </c>
      <c r="DI17" s="11" t="n">
        <v>-413652239</v>
      </c>
      <c r="DJ17" s="11" t="n">
        <v>234871263</v>
      </c>
      <c r="DK17" s="11" t="n">
        <v>-3462965818</v>
      </c>
      <c r="DL17" s="11" t="n">
        <v>-1473742465</v>
      </c>
      <c r="DM17" s="11" t="n">
        <v>1291534673</v>
      </c>
      <c r="DN17" s="11" t="n">
        <v>-796147439</v>
      </c>
      <c r="DO17" s="11" t="n">
        <v>-651531458</v>
      </c>
      <c r="DP17" s="11" t="n">
        <v>414334723</v>
      </c>
      <c r="DQ17" s="11" t="n">
        <v>982890753</v>
      </c>
      <c r="DR17" s="11" t="n">
        <v>-46592</v>
      </c>
      <c r="DS17" s="11" t="n">
        <v>-550</v>
      </c>
      <c r="DT17" s="11" t="n">
        <v>134006</v>
      </c>
      <c r="DU17" s="11" t="n">
        <v>-4572</v>
      </c>
      <c r="DV17" s="11" t="n">
        <v>136766</v>
      </c>
      <c r="DW17" s="11" t="n">
        <v>10434</v>
      </c>
      <c r="DX17" s="11" t="n">
        <v>13554</v>
      </c>
      <c r="DY17" s="11" t="n">
        <v>60168</v>
      </c>
      <c r="DZ17" s="11" t="n">
        <v>-2590408</v>
      </c>
      <c r="EA17" s="11" t="n">
        <v>463056</v>
      </c>
      <c r="EB17" s="11" t="n">
        <v>-5282088</v>
      </c>
      <c r="EC17" s="11" t="n">
        <v>-2722520</v>
      </c>
      <c r="ED17" s="11" t="n">
        <v>-2214168</v>
      </c>
      <c r="EE17" s="11" t="n">
        <v>142474</v>
      </c>
      <c r="EF17" s="11" t="n">
        <v>-438</v>
      </c>
      <c r="EG17" s="11" t="n">
        <v>114264</v>
      </c>
      <c r="EH17" s="11" t="n">
        <v>-18664</v>
      </c>
      <c r="EI17" s="11" t="n">
        <v>-8634</v>
      </c>
      <c r="EJ17" s="11" t="n">
        <v>-1077630</v>
      </c>
      <c r="EK17" s="11" t="n">
        <v>7588250</v>
      </c>
      <c r="EL17" s="11" t="n">
        <v>7250294</v>
      </c>
      <c r="EM17" s="11" t="n">
        <v>5614728</v>
      </c>
      <c r="EN17" s="11" t="n">
        <v>840930</v>
      </c>
      <c r="EO17" s="11" t="n">
        <v>-163458</v>
      </c>
      <c r="EP17" s="11" t="n">
        <v>-82566</v>
      </c>
      <c r="EQ17" s="11" t="n">
        <v>6808784</v>
      </c>
      <c r="ER17" s="11" t="n">
        <v>4962858</v>
      </c>
      <c r="ES17" s="11" t="n">
        <v>-296154</v>
      </c>
      <c r="ET17" s="11" t="n">
        <v>15577</v>
      </c>
      <c r="EU17" s="11" t="n">
        <v>-2847697</v>
      </c>
      <c r="EV17" s="11" t="n">
        <v>203018</v>
      </c>
      <c r="EW17" s="11" t="n">
        <v>-4847997</v>
      </c>
      <c r="EX17" s="11" t="n">
        <v>-271875</v>
      </c>
      <c r="EY17" s="11" t="n">
        <v>-1008715</v>
      </c>
      <c r="EZ17" s="11" t="n">
        <v>11186</v>
      </c>
      <c r="FA17" s="11" t="n">
        <v>868</v>
      </c>
      <c r="FB17" s="11" t="n">
        <v>-11504</v>
      </c>
      <c r="FC17" s="11" t="n">
        <v>279</v>
      </c>
      <c r="FD17" s="11" t="n">
        <v>-7376</v>
      </c>
      <c r="FE17" s="11" t="n">
        <v>-304472</v>
      </c>
      <c r="FF17" s="11" t="n">
        <v>5584490</v>
      </c>
      <c r="FG17" s="11" t="n">
        <v>144231</v>
      </c>
      <c r="FH17" s="11" t="n">
        <v>2072806</v>
      </c>
      <c r="FI17" s="11" t="n">
        <v>120212</v>
      </c>
      <c r="FJ17" s="11" t="n">
        <v>18786</v>
      </c>
      <c r="FK17" s="11" t="n">
        <v>-39924</v>
      </c>
      <c r="FL17" s="11" t="n">
        <v>-287619</v>
      </c>
      <c r="FM17" s="11" t="n">
        <v>1550656</v>
      </c>
      <c r="FN17" s="11" t="n">
        <v>146805</v>
      </c>
      <c r="FO17" s="11" t="n">
        <v>2811415</v>
      </c>
      <c r="FP17" s="11" t="n">
        <v>-107361</v>
      </c>
      <c r="FQ17" s="11" t="n">
        <v>4494660</v>
      </c>
      <c r="FR17" s="11" t="n">
        <v>-559120</v>
      </c>
      <c r="FS17" s="11" t="n">
        <v>562377</v>
      </c>
      <c r="FT17" s="11" t="n">
        <v>-17014589</v>
      </c>
      <c r="FU17" s="11" t="n">
        <v>53303055</v>
      </c>
      <c r="FV17" s="11" t="n">
        <v>151284445</v>
      </c>
      <c r="FW17" s="11" t="n">
        <v>79247428</v>
      </c>
      <c r="FX17" s="11" t="n">
        <v>25166019</v>
      </c>
      <c r="FY17" s="11" t="n">
        <v>-9160955</v>
      </c>
      <c r="FZ17" s="11" t="n">
        <v>377223</v>
      </c>
      <c r="GA17" s="11" t="n">
        <v>252461820</v>
      </c>
      <c r="GB17" s="11" t="n">
        <v>116031903</v>
      </c>
      <c r="GC17" s="11" t="n">
        <v>-46022275</v>
      </c>
      <c r="GD17" s="11" t="n">
        <v>-233758</v>
      </c>
      <c r="GE17" s="11" t="n">
        <v>5303960</v>
      </c>
      <c r="GF17" s="11" t="n">
        <v>-451865</v>
      </c>
      <c r="GG17" s="11" t="n">
        <v>1735106</v>
      </c>
      <c r="GH17" s="11" t="n">
        <v>171168</v>
      </c>
      <c r="GI17" s="11" t="n">
        <v>-29233</v>
      </c>
      <c r="GJ17" s="11" t="n">
        <v>-19500</v>
      </c>
      <c r="GK17" s="11" t="n">
        <v>332420</v>
      </c>
      <c r="GL17" s="11" t="n">
        <v>1712976</v>
      </c>
      <c r="GM17" s="11" t="n">
        <v>-254681</v>
      </c>
      <c r="GN17" s="11" t="n">
        <v>-27667450</v>
      </c>
      <c r="GO17" s="11" t="n">
        <v>15313373</v>
      </c>
      <c r="GP17" s="11" t="n">
        <v>-3911694</v>
      </c>
      <c r="GQ17" s="11" t="n">
        <v>-293977385</v>
      </c>
      <c r="GR17" s="11" t="n">
        <v>-116609870</v>
      </c>
      <c r="GS17" s="11" t="n">
        <v>106104466</v>
      </c>
      <c r="GT17" s="11" t="n">
        <v>-7753133</v>
      </c>
      <c r="GU17" s="11" t="n">
        <v>5172324</v>
      </c>
      <c r="GV17" s="11" t="n">
        <v>-1766619</v>
      </c>
      <c r="GW17" s="11" t="n">
        <v>87635041</v>
      </c>
      <c r="GX17" s="11" t="n">
        <v>569</v>
      </c>
      <c r="GY17" s="11" t="n">
        <v>186831</v>
      </c>
      <c r="GZ17" s="11" t="n">
        <v>17098</v>
      </c>
      <c r="HA17" s="11" t="n">
        <v>452515</v>
      </c>
      <c r="HB17" s="11" t="n">
        <v>989917</v>
      </c>
      <c r="HC17" s="11" t="n">
        <v>509333</v>
      </c>
      <c r="HD17" s="11" t="n">
        <v>3842</v>
      </c>
      <c r="HE17" s="11" t="n">
        <v>146</v>
      </c>
      <c r="HF17" s="11" t="n">
        <v>7012</v>
      </c>
      <c r="HG17" s="11" t="n">
        <v>11813</v>
      </c>
      <c r="HH17" s="11" t="n">
        <v>6178</v>
      </c>
      <c r="HI17" s="11" t="n">
        <v>-67510</v>
      </c>
      <c r="HJ17" s="11" t="n">
        <v>-753082</v>
      </c>
      <c r="HK17" s="11" t="n">
        <v>-2805319</v>
      </c>
      <c r="HL17" s="11" t="n">
        <v>-1410572</v>
      </c>
      <c r="HM17" s="11" t="n">
        <v>94594</v>
      </c>
      <c r="HN17" s="11" t="n">
        <v>100968</v>
      </c>
      <c r="HO17" s="11" t="n">
        <v>54954</v>
      </c>
      <c r="HP17" s="11" t="n">
        <v>-2804461</v>
      </c>
      <c r="HQ17" s="11" t="n">
        <v>-1363454</v>
      </c>
      <c r="HR17" s="11" t="n">
        <v>173913</v>
      </c>
      <c r="HS17" s="11" t="n">
        <v>-272905</v>
      </c>
      <c r="HT17" s="11" t="n">
        <v>-16425</v>
      </c>
      <c r="HU17" s="11" t="n">
        <v>-648876</v>
      </c>
      <c r="HV17" s="11" t="n">
        <v>-1311608</v>
      </c>
      <c r="HW17" s="11" t="n">
        <v>-684783</v>
      </c>
      <c r="HX17" s="11" t="n">
        <v>2807435</v>
      </c>
      <c r="HY17" s="11" t="n">
        <v>3977951</v>
      </c>
      <c r="HZ17" s="11" t="n">
        <v>44119973</v>
      </c>
      <c r="IA17" s="11" t="n">
        <v>19439068</v>
      </c>
      <c r="IB17" s="11" t="n">
        <v>-6435717</v>
      </c>
      <c r="IC17" s="11" t="n">
        <v>-10837411</v>
      </c>
      <c r="ID17" s="11" t="n">
        <v>-5874561</v>
      </c>
      <c r="IE17" s="11" t="n">
        <v>85783988</v>
      </c>
      <c r="IF17" s="11" t="n">
        <v>36237927</v>
      </c>
      <c r="IG17" s="11" t="n">
        <v>-17281363</v>
      </c>
      <c r="IH17" s="11" t="n">
        <v>-40880</v>
      </c>
      <c r="II17" s="11" t="n">
        <v>-1018228</v>
      </c>
      <c r="IJ17" s="11" t="n">
        <v>-3190459</v>
      </c>
      <c r="IK17" s="11" t="n">
        <v>-1660684</v>
      </c>
      <c r="IL17" s="11" t="n">
        <v>35916</v>
      </c>
      <c r="IM17" s="11" t="n">
        <v>4453</v>
      </c>
      <c r="IN17" s="11" t="n">
        <v>2628</v>
      </c>
      <c r="IO17" s="11" t="n">
        <v>-2692132</v>
      </c>
      <c r="IP17" s="11" t="n">
        <v>-1393572</v>
      </c>
      <c r="IQ17" s="11" t="n">
        <v>24205</v>
      </c>
      <c r="IR17" s="11" t="n">
        <v>9878860</v>
      </c>
      <c r="IS17" s="11" t="n">
        <v>26211985</v>
      </c>
      <c r="IT17" s="11" t="n">
        <v>14171940</v>
      </c>
      <c r="IU17" s="11" t="n">
        <v>-118109607</v>
      </c>
      <c r="IV17" s="11" t="n">
        <v>-48321884</v>
      </c>
      <c r="IW17" s="11" t="n">
        <v>41222344</v>
      </c>
      <c r="IX17" s="11" t="n">
        <v>-21953011</v>
      </c>
      <c r="IY17" s="11" t="n">
        <v>-11815992</v>
      </c>
      <c r="IZ17" s="11" t="n">
        <v>141327</v>
      </c>
      <c r="JA17" s="11" t="n">
        <v>33887647</v>
      </c>
      <c r="JB17" s="11" t="n">
        <v>-97240</v>
      </c>
      <c r="JC17" s="11" t="n">
        <v>-3237</v>
      </c>
      <c r="JD17" s="11" t="n">
        <v>-210494</v>
      </c>
      <c r="JE17" s="11" t="n">
        <v>-334277</v>
      </c>
      <c r="JF17" s="11" t="n">
        <v>-182603</v>
      </c>
      <c r="JG17" s="11" t="n">
        <v>1859117</v>
      </c>
      <c r="JH17" s="11" t="n">
        <v>8217494</v>
      </c>
      <c r="JI17" s="11" t="n">
        <v>59413397</v>
      </c>
      <c r="JJ17" s="11" t="n">
        <v>27085483</v>
      </c>
      <c r="JK17" s="11" t="n">
        <v>-3750853</v>
      </c>
      <c r="JL17" s="11" t="n">
        <v>-4413193</v>
      </c>
      <c r="JM17" s="11" t="n">
        <v>-2589517</v>
      </c>
      <c r="JN17" s="11" t="n">
        <v>100362447</v>
      </c>
      <c r="JO17" s="11" t="n">
        <v>43200253</v>
      </c>
      <c r="JP17" s="11" t="n">
        <v>-18459590</v>
      </c>
      <c r="JQ17" s="11" t="n">
        <v>3094</v>
      </c>
      <c r="JR17" s="11" t="n">
        <v>-222972</v>
      </c>
      <c r="JS17" s="11" t="n">
        <v>-238306</v>
      </c>
      <c r="JT17" s="11" t="n">
        <v>-177174</v>
      </c>
      <c r="JU17" s="11" t="n">
        <v>-14120</v>
      </c>
      <c r="JV17" s="11" t="n">
        <v>-18569</v>
      </c>
      <c r="JW17" s="11" t="n">
        <v>-11708</v>
      </c>
      <c r="JX17" s="11" t="n">
        <v>250642</v>
      </c>
      <c r="JY17" s="11" t="n">
        <v>35184</v>
      </c>
      <c r="JZ17" s="11" t="n">
        <v>-161557</v>
      </c>
      <c r="KA17" s="11" t="n">
        <v>4524434</v>
      </c>
      <c r="KB17" s="11" t="n">
        <v>6446563</v>
      </c>
      <c r="KC17" s="11" t="n">
        <v>4249174</v>
      </c>
      <c r="KD17" s="11" t="n">
        <v>-116096728</v>
      </c>
      <c r="KE17" s="11" t="n">
        <v>-47134698</v>
      </c>
      <c r="KF17" s="11" t="n">
        <v>41874497</v>
      </c>
      <c r="KG17" s="11" t="n">
        <v>-2266081</v>
      </c>
      <c r="KH17" s="11" t="n">
        <v>-2270932</v>
      </c>
      <c r="KI17" s="11" t="n">
        <v>-1107483</v>
      </c>
      <c r="KJ17" s="11" t="n">
        <v>34664387</v>
      </c>
      <c r="KK17" s="11" t="n">
        <v>-1254435</v>
      </c>
      <c r="KL17" s="11" t="n">
        <v>-9932930</v>
      </c>
      <c r="KM17" s="11" t="n">
        <v>-63822315</v>
      </c>
      <c r="KN17" s="11" t="n">
        <v>-29446445</v>
      </c>
      <c r="KO17" s="11" t="n">
        <v>2384802</v>
      </c>
      <c r="KP17" s="11" t="n">
        <v>2187741</v>
      </c>
      <c r="KQ17" s="11" t="n">
        <v>1375416</v>
      </c>
      <c r="KR17" s="11" t="n">
        <v>-104009300</v>
      </c>
      <c r="KS17" s="11" t="n">
        <v>-45089646</v>
      </c>
      <c r="KT17" s="11" t="n">
        <v>18622757</v>
      </c>
      <c r="KU17" s="11" t="n">
        <v>83897233</v>
      </c>
      <c r="KV17" s="11" t="n">
        <v>453752634</v>
      </c>
      <c r="KW17" s="11" t="n">
        <v>213568579</v>
      </c>
      <c r="KX17" s="11" t="n">
        <v>-675541165</v>
      </c>
      <c r="KY17" s="11" t="n">
        <v>-278303389</v>
      </c>
      <c r="KZ17" s="11" t="n">
        <v>214470373</v>
      </c>
      <c r="LA17" s="11" t="n">
        <v>-716310349</v>
      </c>
      <c r="LB17" s="11" t="n">
        <v>-314025978</v>
      </c>
      <c r="LC17" s="11" t="n">
        <v>125049043</v>
      </c>
      <c r="LD17" s="11" t="n">
        <v>152399273</v>
      </c>
      <c r="LE17" s="11" t="n">
        <v>3192476</v>
      </c>
      <c r="LF17" s="11" t="n">
        <v>5104953</v>
      </c>
      <c r="LG17" s="11" t="n">
        <v>3222548</v>
      </c>
      <c r="LH17" s="11" t="n">
        <v>-122002390</v>
      </c>
      <c r="LI17" s="11" t="n">
        <v>-49422828</v>
      </c>
      <c r="LJ17" s="11" t="n">
        <v>44121661</v>
      </c>
      <c r="LK17" s="11" t="n">
        <v>-4137314</v>
      </c>
      <c r="LL17" s="11" t="n">
        <v>-2626008</v>
      </c>
      <c r="LM17" s="11" t="n">
        <v>-22852</v>
      </c>
      <c r="LN17" s="11" t="n">
        <v>36304578</v>
      </c>
      <c r="LO17" s="11" t="n">
        <v>813356581</v>
      </c>
      <c r="LP17" s="11" t="n">
        <v>327996032</v>
      </c>
      <c r="LQ17" s="11" t="n">
        <v>-296533567</v>
      </c>
      <c r="LR17" s="11" t="n">
        <v>57034913</v>
      </c>
      <c r="LS17" s="11" t="n">
        <v>243966850</v>
      </c>
    </row>
    <row r="18" customFormat="false" ht="15" hidden="false" customHeight="true" outlineLevel="0" collapsed="false">
      <c r="A18" s="7" t="s">
        <v>84</v>
      </c>
      <c r="B18" s="11" t="n">
        <v>-1185490</v>
      </c>
      <c r="C18" s="11" t="n">
        <v>41889864</v>
      </c>
      <c r="D18" s="11" t="n">
        <v>-808022</v>
      </c>
      <c r="E18" s="11" t="n">
        <v>-86709288</v>
      </c>
      <c r="F18" s="11" t="n">
        <v>-4457906</v>
      </c>
      <c r="G18" s="11" t="n">
        <v>-51634802</v>
      </c>
      <c r="H18" s="11" t="n">
        <v>55647834</v>
      </c>
      <c r="I18" s="11" t="n">
        <v>29505064</v>
      </c>
      <c r="J18" s="11" t="n">
        <v>8048137</v>
      </c>
      <c r="K18" s="11" t="n">
        <v>128444</v>
      </c>
      <c r="L18" s="11" t="n">
        <v>-11163804</v>
      </c>
      <c r="M18" s="11" t="n">
        <v>1670977</v>
      </c>
      <c r="N18" s="11" t="n">
        <v>-18947531</v>
      </c>
      <c r="O18" s="11" t="n">
        <v>-2868983</v>
      </c>
      <c r="P18" s="11" t="n">
        <v>-4234973</v>
      </c>
      <c r="Q18" s="11" t="n">
        <v>-10024187</v>
      </c>
      <c r="R18" s="11" t="n">
        <v>-194179620</v>
      </c>
      <c r="S18" s="11" t="n">
        <v>-89308925</v>
      </c>
      <c r="T18" s="11" t="n">
        <v>318978259</v>
      </c>
      <c r="U18" s="11" t="n">
        <v>479162793</v>
      </c>
      <c r="V18" s="11" t="n">
        <v>349950856</v>
      </c>
      <c r="W18" s="11" t="n">
        <v>-17003844</v>
      </c>
      <c r="X18" s="11" t="n">
        <v>655927</v>
      </c>
      <c r="Y18" s="11" t="n">
        <v>-18508973</v>
      </c>
      <c r="Z18" s="11" t="n">
        <v>4073783</v>
      </c>
      <c r="AA18" s="11" t="n">
        <v>310249</v>
      </c>
      <c r="AB18" s="11" t="n">
        <v>164199120</v>
      </c>
      <c r="AC18" s="11" t="n">
        <v>-899616288</v>
      </c>
      <c r="AD18" s="11" t="n">
        <v>-733881336</v>
      </c>
      <c r="AE18" s="11" t="n">
        <v>-587605332</v>
      </c>
      <c r="AF18" s="11" t="n">
        <v>-144030636</v>
      </c>
      <c r="AG18" s="11" t="n">
        <v>67648478</v>
      </c>
      <c r="AH18" s="11" t="n">
        <v>25662951</v>
      </c>
      <c r="AI18" s="11" t="n">
        <v>-1014372478</v>
      </c>
      <c r="AJ18" s="11" t="n">
        <v>-656032617</v>
      </c>
      <c r="AK18" s="11" t="n">
        <v>127388293</v>
      </c>
      <c r="AL18" s="11" t="n">
        <v>-12121383</v>
      </c>
      <c r="AM18" s="11" t="n">
        <v>-94806</v>
      </c>
      <c r="AN18" s="11" t="n">
        <v>21278566</v>
      </c>
      <c r="AO18" s="11" t="n">
        <v>-741493</v>
      </c>
      <c r="AP18" s="11" t="n">
        <v>6737339</v>
      </c>
      <c r="AQ18" s="11" t="n">
        <v>-23638923</v>
      </c>
      <c r="AR18" s="11" t="n">
        <v>-13457733</v>
      </c>
      <c r="AS18" s="11" t="n">
        <v>11611869</v>
      </c>
      <c r="AT18" s="11" t="n">
        <v>134695572</v>
      </c>
      <c r="AU18" s="11" t="n">
        <v>71782155</v>
      </c>
      <c r="AV18" s="11" t="n">
        <v>289887723</v>
      </c>
      <c r="AW18" s="11" t="n">
        <v>266305545</v>
      </c>
      <c r="AX18" s="11" t="n">
        <v>173852520</v>
      </c>
      <c r="AY18" s="11" t="n">
        <v>21437642</v>
      </c>
      <c r="AZ18" s="11" t="n">
        <v>-148889</v>
      </c>
      <c r="BA18" s="11" t="n">
        <v>8721463</v>
      </c>
      <c r="BB18" s="11" t="n">
        <v>-20562399</v>
      </c>
      <c r="BC18" s="11" t="n">
        <v>-11532279</v>
      </c>
      <c r="BD18" s="11" t="n">
        <v>-134250122</v>
      </c>
      <c r="BE18" s="11" t="n">
        <v>-434018570</v>
      </c>
      <c r="BF18" s="11" t="n">
        <v>-730169022</v>
      </c>
      <c r="BG18" s="11" t="n">
        <v>-454736012</v>
      </c>
      <c r="BH18" s="11" t="n">
        <v>57631248</v>
      </c>
      <c r="BI18" s="11" t="n">
        <v>-123697860</v>
      </c>
      <c r="BJ18" s="11" t="n">
        <v>-69060985</v>
      </c>
      <c r="BK18" s="11" t="n">
        <v>-713352948</v>
      </c>
      <c r="BL18" s="11" t="n">
        <v>-418478233</v>
      </c>
      <c r="BM18" s="11" t="n">
        <v>43379325</v>
      </c>
      <c r="BN18" s="11" t="n">
        <v>-669687</v>
      </c>
      <c r="BO18" s="11" t="n">
        <v>-30309889</v>
      </c>
      <c r="BP18" s="11" t="n">
        <v>-12051485</v>
      </c>
      <c r="BQ18" s="11" t="n">
        <v>147995557</v>
      </c>
      <c r="BR18" s="11" t="n">
        <v>189816306</v>
      </c>
      <c r="BS18" s="11" t="n">
        <v>134664492</v>
      </c>
      <c r="BT18" s="11" t="n">
        <v>-1412672</v>
      </c>
      <c r="BU18" s="11" t="n">
        <v>-53293</v>
      </c>
      <c r="BV18" s="11" t="n">
        <v>785303</v>
      </c>
      <c r="BW18" s="11" t="n">
        <v>2790639</v>
      </c>
      <c r="BX18" s="11" t="n">
        <v>1796781</v>
      </c>
      <c r="BY18" s="11" t="n">
        <v>23009989</v>
      </c>
      <c r="BZ18" s="11" t="n">
        <v>-276646751</v>
      </c>
      <c r="CA18" s="11" t="n">
        <v>-274104503</v>
      </c>
      <c r="CB18" s="11" t="n">
        <v>-202746245</v>
      </c>
      <c r="CC18" s="11" t="n">
        <v>2354742</v>
      </c>
      <c r="CD18" s="11" t="n">
        <v>35114111</v>
      </c>
      <c r="CE18" s="11" t="n">
        <v>21617867</v>
      </c>
      <c r="CF18" s="11" t="n">
        <v>-394122715</v>
      </c>
      <c r="CG18" s="11" t="n">
        <v>-239161243</v>
      </c>
      <c r="CH18" s="11" t="n">
        <v>51877446</v>
      </c>
      <c r="CI18" s="11" t="n">
        <v>21594119</v>
      </c>
      <c r="CJ18" s="11" t="n">
        <v>7579060</v>
      </c>
      <c r="CK18" s="11" t="n">
        <v>-157790498</v>
      </c>
      <c r="CL18" s="11" t="n">
        <v>-196550463</v>
      </c>
      <c r="CM18" s="11" t="n">
        <v>-138609036</v>
      </c>
      <c r="CN18" s="11" t="n">
        <v>-45574625</v>
      </c>
      <c r="CO18" s="11" t="n">
        <v>-2369433497</v>
      </c>
      <c r="CP18" s="11" t="n">
        <v>-2775187239</v>
      </c>
      <c r="CQ18" s="11" t="n">
        <v>-1931146088</v>
      </c>
      <c r="CR18" s="11" t="n">
        <v>-1164637530</v>
      </c>
      <c r="CS18" s="11" t="n">
        <v>-1388851485</v>
      </c>
      <c r="CT18" s="11" t="n">
        <v>-970325620</v>
      </c>
      <c r="CU18" s="11" t="n">
        <v>-1288085631</v>
      </c>
      <c r="CV18" s="11" t="n">
        <v>-1097909572</v>
      </c>
      <c r="CW18" s="11" t="n">
        <v>-236099940</v>
      </c>
      <c r="CX18" s="11" t="n">
        <v>14269219</v>
      </c>
      <c r="CY18" s="11" t="n">
        <v>-307529177</v>
      </c>
      <c r="CZ18" s="11" t="n">
        <v>-324629185</v>
      </c>
      <c r="DA18" s="11" t="n">
        <v>-234451619</v>
      </c>
      <c r="DB18" s="11" t="n">
        <v>-3669282</v>
      </c>
      <c r="DC18" s="11" t="n">
        <v>15941263</v>
      </c>
      <c r="DD18" s="11" t="n">
        <v>9304376</v>
      </c>
      <c r="DE18" s="11" t="n">
        <v>-427042259</v>
      </c>
      <c r="DF18" s="11" t="n">
        <v>-260815690</v>
      </c>
      <c r="DG18" s="11" t="n">
        <v>50246823</v>
      </c>
      <c r="DH18" s="11" t="n">
        <v>2214746172</v>
      </c>
      <c r="DI18" s="11" t="n">
        <v>2518954714</v>
      </c>
      <c r="DJ18" s="11" t="n">
        <v>1770898413</v>
      </c>
      <c r="DK18" s="11" t="n">
        <v>-3902163482</v>
      </c>
      <c r="DL18" s="11" t="n">
        <v>-1776698907</v>
      </c>
      <c r="DM18" s="11" t="n">
        <v>1099408619</v>
      </c>
      <c r="DN18" s="11" t="n">
        <v>-3122007336</v>
      </c>
      <c r="DO18" s="11" t="n">
        <v>-1899526302</v>
      </c>
      <c r="DP18" s="11" t="n">
        <v>335901745</v>
      </c>
      <c r="DQ18" s="11" t="n">
        <v>842261371</v>
      </c>
      <c r="DR18" s="11" t="n">
        <v>290220</v>
      </c>
      <c r="DS18" s="11" t="n">
        <v>2480</v>
      </c>
      <c r="DT18" s="11" t="n">
        <v>-701620</v>
      </c>
      <c r="DU18" s="11" t="n">
        <v>15170</v>
      </c>
      <c r="DV18" s="11" t="n">
        <v>-590710</v>
      </c>
      <c r="DW18" s="11" t="n">
        <v>-47420</v>
      </c>
      <c r="DX18" s="11" t="n">
        <v>-23770</v>
      </c>
      <c r="DY18" s="11" t="n">
        <v>-285444</v>
      </c>
      <c r="DZ18" s="11" t="n">
        <v>3564768</v>
      </c>
      <c r="EA18" s="11" t="n">
        <v>-1627380</v>
      </c>
      <c r="EB18" s="11" t="n">
        <v>8232300</v>
      </c>
      <c r="EC18" s="11" t="n">
        <v>15298764</v>
      </c>
      <c r="ED18" s="11" t="n">
        <v>8063064</v>
      </c>
      <c r="EE18" s="11" t="n">
        <v>-659612</v>
      </c>
      <c r="EF18" s="11" t="n">
        <v>1014</v>
      </c>
      <c r="EG18" s="11" t="n">
        <v>-510642</v>
      </c>
      <c r="EH18" s="11" t="n">
        <v>84092</v>
      </c>
      <c r="EI18" s="11" t="n">
        <v>45522</v>
      </c>
      <c r="EJ18" s="11" t="n">
        <v>3747932</v>
      </c>
      <c r="EK18" s="11" t="n">
        <v>-12646276</v>
      </c>
      <c r="EL18" s="11" t="n">
        <v>-36402996</v>
      </c>
      <c r="EM18" s="11" t="n">
        <v>-19200856</v>
      </c>
      <c r="EN18" s="11" t="n">
        <v>-2882040</v>
      </c>
      <c r="EO18" s="11" t="n">
        <v>533774</v>
      </c>
      <c r="EP18" s="11" t="n">
        <v>288174</v>
      </c>
      <c r="EQ18" s="11" t="n">
        <v>-29793802</v>
      </c>
      <c r="ER18" s="11" t="n">
        <v>-15737202</v>
      </c>
      <c r="ES18" s="11" t="n">
        <v>-64430</v>
      </c>
      <c r="ET18" s="11" t="n">
        <v>14608</v>
      </c>
      <c r="EU18" s="11" t="n">
        <v>2030194</v>
      </c>
      <c r="EV18" s="11" t="n">
        <v>306085</v>
      </c>
      <c r="EW18" s="11" t="n">
        <v>-628295</v>
      </c>
      <c r="EX18" s="11" t="n">
        <v>-380428</v>
      </c>
      <c r="EY18" s="11" t="n">
        <v>-875393</v>
      </c>
      <c r="EZ18" s="11" t="n">
        <v>52664</v>
      </c>
      <c r="FA18" s="11" t="n">
        <v>1852</v>
      </c>
      <c r="FB18" s="11" t="n">
        <v>24364</v>
      </c>
      <c r="FC18" s="11" t="n">
        <v>-864</v>
      </c>
      <c r="FD18" s="11" t="n">
        <v>-6284</v>
      </c>
      <c r="FE18" s="11" t="n">
        <v>-846094</v>
      </c>
      <c r="FF18" s="11" t="n">
        <v>5651162</v>
      </c>
      <c r="FG18" s="11" t="n">
        <v>1251422</v>
      </c>
      <c r="FH18" s="11" t="n">
        <v>2282582</v>
      </c>
      <c r="FI18" s="11" t="n">
        <v>590160</v>
      </c>
      <c r="FJ18" s="11" t="n">
        <v>30127</v>
      </c>
      <c r="FK18" s="11" t="n">
        <v>-20688</v>
      </c>
      <c r="FL18" s="11" t="n">
        <v>671659</v>
      </c>
      <c r="FM18" s="11" t="n">
        <v>1730304</v>
      </c>
      <c r="FN18" s="11" t="n">
        <v>111875</v>
      </c>
      <c r="FO18" s="11" t="n">
        <v>-2176214</v>
      </c>
      <c r="FP18" s="11" t="n">
        <v>-219135</v>
      </c>
      <c r="FQ18" s="11" t="n">
        <v>203589</v>
      </c>
      <c r="FR18" s="11" t="n">
        <v>-395884</v>
      </c>
      <c r="FS18" s="11" t="n">
        <v>455139</v>
      </c>
      <c r="FT18" s="11" t="n">
        <v>15143750</v>
      </c>
      <c r="FU18" s="11" t="n">
        <v>-65305258</v>
      </c>
      <c r="FV18" s="11" t="n">
        <v>-111693186</v>
      </c>
      <c r="FW18" s="11" t="n">
        <v>-67156492</v>
      </c>
      <c r="FX18" s="11" t="n">
        <v>-5159220</v>
      </c>
      <c r="FY18" s="11" t="n">
        <v>-14001865</v>
      </c>
      <c r="FZ18" s="11" t="n">
        <v>-3595155</v>
      </c>
      <c r="GA18" s="11" t="n">
        <v>22329059</v>
      </c>
      <c r="GB18" s="11" t="n">
        <v>-7375491</v>
      </c>
      <c r="GC18" s="11" t="n">
        <v>-35576513</v>
      </c>
      <c r="GD18" s="11" t="n">
        <v>-514114</v>
      </c>
      <c r="GE18" s="11" t="n">
        <v>4363574</v>
      </c>
      <c r="GF18" s="11" t="n">
        <v>-1555934</v>
      </c>
      <c r="GG18" s="11" t="n">
        <v>704690</v>
      </c>
      <c r="GH18" s="11" t="n">
        <v>391296</v>
      </c>
      <c r="GI18" s="11" t="n">
        <v>-63151</v>
      </c>
      <c r="GJ18" s="11" t="n">
        <v>-36564</v>
      </c>
      <c r="GK18" s="11" t="n">
        <v>-648235</v>
      </c>
      <c r="GL18" s="11" t="n">
        <v>846684</v>
      </c>
      <c r="GM18" s="11" t="n">
        <v>-197219</v>
      </c>
      <c r="GN18" s="11" t="n">
        <v>-14937192</v>
      </c>
      <c r="GO18" s="11" t="n">
        <v>37214036</v>
      </c>
      <c r="GP18" s="11" t="n">
        <v>10961442</v>
      </c>
      <c r="GQ18" s="11" t="n">
        <v>-270649924</v>
      </c>
      <c r="GR18" s="11" t="n">
        <v>-113510142</v>
      </c>
      <c r="GS18" s="11" t="n">
        <v>84182962</v>
      </c>
      <c r="GT18" s="11" t="n">
        <v>-26489076</v>
      </c>
      <c r="GU18" s="11" t="n">
        <v>-7280496</v>
      </c>
      <c r="GV18" s="11" t="n">
        <v>-1300233</v>
      </c>
      <c r="GW18" s="11" t="n">
        <v>69378039</v>
      </c>
      <c r="GX18" s="11" t="n">
        <v>2148</v>
      </c>
      <c r="GY18" s="11" t="n">
        <v>-1964706</v>
      </c>
      <c r="GZ18" s="11" t="n">
        <v>-26415</v>
      </c>
      <c r="HA18" s="11" t="n">
        <v>-4390515</v>
      </c>
      <c r="HB18" s="11" t="n">
        <v>-6271908</v>
      </c>
      <c r="HC18" s="11" t="n">
        <v>-3537633</v>
      </c>
      <c r="HD18" s="11" t="n">
        <v>-11596</v>
      </c>
      <c r="HE18" s="11" t="n">
        <v>-338</v>
      </c>
      <c r="HF18" s="11" t="n">
        <v>-33146</v>
      </c>
      <c r="HG18" s="11" t="n">
        <v>-53244</v>
      </c>
      <c r="HH18" s="11" t="n">
        <v>-30054</v>
      </c>
      <c r="HI18" s="11" t="n">
        <v>166556</v>
      </c>
      <c r="HJ18" s="11" t="n">
        <v>6615332</v>
      </c>
      <c r="HK18" s="11" t="n">
        <v>14841602</v>
      </c>
      <c r="HL18" s="11" t="n">
        <v>8391472</v>
      </c>
      <c r="HM18" s="11" t="n">
        <v>-283260</v>
      </c>
      <c r="HN18" s="11" t="n">
        <v>-332153</v>
      </c>
      <c r="HO18" s="11" t="n">
        <v>-187078</v>
      </c>
      <c r="HP18" s="11" t="n">
        <v>12048379</v>
      </c>
      <c r="HQ18" s="11" t="n">
        <v>6840854</v>
      </c>
      <c r="HR18" s="11" t="n">
        <v>64335</v>
      </c>
      <c r="HS18" s="11" t="n">
        <v>1905990</v>
      </c>
      <c r="HT18" s="11" t="n">
        <v>38025</v>
      </c>
      <c r="HU18" s="11" t="n">
        <v>4257333</v>
      </c>
      <c r="HV18" s="11" t="n">
        <v>6055464</v>
      </c>
      <c r="HW18" s="11" t="n">
        <v>3419739</v>
      </c>
      <c r="HX18" s="11" t="n">
        <v>-11341350</v>
      </c>
      <c r="HY18" s="11" t="n">
        <v>1801674</v>
      </c>
      <c r="HZ18" s="11" t="n">
        <v>26530482</v>
      </c>
      <c r="IA18" s="11" t="n">
        <v>11131932</v>
      </c>
      <c r="IB18" s="11" t="n">
        <v>25368660</v>
      </c>
      <c r="IC18" s="11" t="n">
        <v>36561555</v>
      </c>
      <c r="ID18" s="11" t="n">
        <v>20570805</v>
      </c>
      <c r="IE18" s="11" t="n">
        <v>53536023</v>
      </c>
      <c r="IF18" s="11" t="n">
        <v>21632373</v>
      </c>
      <c r="IG18" s="11" t="n">
        <v>-12234225</v>
      </c>
      <c r="IH18" s="11" t="n">
        <v>94640</v>
      </c>
      <c r="II18" s="11" t="n">
        <v>6428264</v>
      </c>
      <c r="IJ18" s="11" t="n">
        <v>14554642</v>
      </c>
      <c r="IK18" s="11" t="n">
        <v>8206392</v>
      </c>
      <c r="IL18" s="11" t="n">
        <v>-83148</v>
      </c>
      <c r="IM18" s="11" t="n">
        <v>-10309</v>
      </c>
      <c r="IN18" s="11" t="n">
        <v>-6084</v>
      </c>
      <c r="IO18" s="11" t="n">
        <v>12087071</v>
      </c>
      <c r="IP18" s="11" t="n">
        <v>6796656</v>
      </c>
      <c r="IQ18" s="11" t="n">
        <v>-41745</v>
      </c>
      <c r="IR18" s="11" t="n">
        <v>-38340024</v>
      </c>
      <c r="IS18" s="11" t="n">
        <v>-87922882</v>
      </c>
      <c r="IT18" s="11" t="n">
        <v>-49383832</v>
      </c>
      <c r="IU18" s="11" t="n">
        <v>-75720346</v>
      </c>
      <c r="IV18" s="11" t="n">
        <v>-29787016</v>
      </c>
      <c r="IW18" s="11" t="n">
        <v>29222740</v>
      </c>
      <c r="IX18" s="11" t="n">
        <v>73070208</v>
      </c>
      <c r="IY18" s="11" t="n">
        <v>40922508</v>
      </c>
      <c r="IZ18" s="11" t="n">
        <v>-272875</v>
      </c>
      <c r="JA18" s="11" t="n">
        <v>24051185</v>
      </c>
      <c r="JB18" s="11" t="n">
        <v>-113918</v>
      </c>
      <c r="JC18" s="11" t="n">
        <v>-3595</v>
      </c>
      <c r="JD18" s="11" t="n">
        <v>-216343</v>
      </c>
      <c r="JE18" s="11" t="n">
        <v>-312876</v>
      </c>
      <c r="JF18" s="11" t="n">
        <v>-171585</v>
      </c>
      <c r="JG18" s="11" t="n">
        <v>1887325</v>
      </c>
      <c r="JH18" s="11" t="n">
        <v>-34966619</v>
      </c>
      <c r="JI18" s="11" t="n">
        <v>-46449656</v>
      </c>
      <c r="JJ18" s="11" t="n">
        <v>-30673183</v>
      </c>
      <c r="JK18" s="11" t="n">
        <v>-4687710</v>
      </c>
      <c r="JL18" s="11" t="n">
        <v>-6649390</v>
      </c>
      <c r="JM18" s="11" t="n">
        <v>-3810695</v>
      </c>
      <c r="JN18" s="11" t="n">
        <v>7822802</v>
      </c>
      <c r="JO18" s="11" t="n">
        <v>-5584553</v>
      </c>
      <c r="JP18" s="11" t="n">
        <v>-14280786</v>
      </c>
      <c r="JQ18" s="11" t="n">
        <v>1482</v>
      </c>
      <c r="JR18" s="11" t="n">
        <v>-589950</v>
      </c>
      <c r="JS18" s="11" t="n">
        <v>-1134702</v>
      </c>
      <c r="JT18" s="11" t="n">
        <v>-667594</v>
      </c>
      <c r="JU18" s="11" t="n">
        <v>-21432</v>
      </c>
      <c r="JV18" s="11" t="n">
        <v>-39879</v>
      </c>
      <c r="JW18" s="11" t="n">
        <v>-23300</v>
      </c>
      <c r="JX18" s="11" t="n">
        <v>-534627</v>
      </c>
      <c r="JY18" s="11" t="n">
        <v>-379244</v>
      </c>
      <c r="JZ18" s="11" t="n">
        <v>-124443</v>
      </c>
      <c r="KA18" s="11" t="n">
        <v>9319044</v>
      </c>
      <c r="KB18" s="11" t="n">
        <v>18194781</v>
      </c>
      <c r="KC18" s="11" t="n">
        <v>10661258</v>
      </c>
      <c r="KD18" s="11" t="n">
        <v>-107741691</v>
      </c>
      <c r="KE18" s="11" t="n">
        <v>-46067002</v>
      </c>
      <c r="KF18" s="11" t="n">
        <v>33317039</v>
      </c>
      <c r="KG18" s="11" t="n">
        <v>-12359238</v>
      </c>
      <c r="KH18" s="11" t="n">
        <v>-7664208</v>
      </c>
      <c r="KI18" s="11" t="n">
        <v>-824501</v>
      </c>
      <c r="KJ18" s="11" t="n">
        <v>27513733</v>
      </c>
      <c r="KK18" s="11" t="n">
        <v>-1173325</v>
      </c>
      <c r="KL18" s="11" t="n">
        <v>33817163</v>
      </c>
      <c r="KM18" s="11" t="n">
        <v>43523194</v>
      </c>
      <c r="KN18" s="11" t="n">
        <v>29111049</v>
      </c>
      <c r="KO18" s="11" t="n">
        <v>3295470</v>
      </c>
      <c r="KP18" s="11" t="n">
        <v>4596035</v>
      </c>
      <c r="KQ18" s="11" t="n">
        <v>2685960</v>
      </c>
      <c r="KR18" s="11" t="n">
        <v>-10223497</v>
      </c>
      <c r="KS18" s="11" t="n">
        <v>4349214</v>
      </c>
      <c r="KT18" s="11" t="n">
        <v>14398263</v>
      </c>
      <c r="KU18" s="11" t="n">
        <v>-200115600</v>
      </c>
      <c r="KV18" s="11" t="n">
        <v>-242647075</v>
      </c>
      <c r="KW18" s="11" t="n">
        <v>-166368775</v>
      </c>
      <c r="KX18" s="11" t="n">
        <v>-429577819</v>
      </c>
      <c r="KY18" s="11" t="n">
        <v>-169991311</v>
      </c>
      <c r="KZ18" s="11" t="n">
        <v>151014919</v>
      </c>
      <c r="LA18" s="11" t="n">
        <v>-102360510</v>
      </c>
      <c r="LB18" s="11" t="n">
        <v>9171210</v>
      </c>
      <c r="LC18" s="11" t="n">
        <v>96219185</v>
      </c>
      <c r="LD18" s="11" t="n">
        <v>106639091</v>
      </c>
      <c r="LE18" s="11" t="n">
        <v>5636388</v>
      </c>
      <c r="LF18" s="11" t="n">
        <v>11120919</v>
      </c>
      <c r="LG18" s="11" t="n">
        <v>6497324</v>
      </c>
      <c r="LH18" s="11" t="n">
        <v>-111447657</v>
      </c>
      <c r="LI18" s="11" t="n">
        <v>-47420704</v>
      </c>
      <c r="LJ18" s="11" t="n">
        <v>34907059</v>
      </c>
      <c r="LK18" s="11" t="n">
        <v>-9156558</v>
      </c>
      <c r="LL18" s="11" t="n">
        <v>-5346024</v>
      </c>
      <c r="LM18" s="11" t="n">
        <v>7172</v>
      </c>
      <c r="LN18" s="11" t="n">
        <v>28669322</v>
      </c>
      <c r="LO18" s="11" t="n">
        <v>731098644</v>
      </c>
      <c r="LP18" s="11" t="n">
        <v>308948436</v>
      </c>
      <c r="LQ18" s="11" t="n">
        <v>-233197969</v>
      </c>
      <c r="LR18" s="11" t="n">
        <v>42160523</v>
      </c>
      <c r="LS18" s="11" t="n">
        <v>191535186</v>
      </c>
    </row>
    <row r="19" customFormat="false" ht="15" hidden="false" customHeight="true" outlineLevel="0" collapsed="false">
      <c r="A19" s="7" t="s">
        <v>85</v>
      </c>
      <c r="B19" s="11" t="n">
        <v>-8338790</v>
      </c>
      <c r="C19" s="11" t="n">
        <v>262333640</v>
      </c>
      <c r="D19" s="11" t="n">
        <v>-6105146</v>
      </c>
      <c r="E19" s="11" t="n">
        <v>-572152064</v>
      </c>
      <c r="F19" s="11" t="n">
        <v>-36597622</v>
      </c>
      <c r="G19" s="11" t="n">
        <v>-301958078</v>
      </c>
      <c r="H19" s="11" t="n">
        <v>399241910</v>
      </c>
      <c r="I19" s="11" t="n">
        <v>227641576</v>
      </c>
      <c r="J19" s="11" t="n">
        <v>-4207695</v>
      </c>
      <c r="K19" s="11" t="n">
        <v>110387</v>
      </c>
      <c r="L19" s="11" t="n">
        <v>-7465297</v>
      </c>
      <c r="M19" s="11" t="n">
        <v>1892789</v>
      </c>
      <c r="N19" s="11" t="n">
        <v>-18037524</v>
      </c>
      <c r="O19" s="11" t="n">
        <v>-5479890</v>
      </c>
      <c r="P19" s="11" t="n">
        <v>8035743</v>
      </c>
      <c r="Q19" s="11" t="n">
        <v>-392099</v>
      </c>
      <c r="R19" s="11" t="n">
        <v>523557964</v>
      </c>
      <c r="S19" s="11" t="n">
        <v>-41079173</v>
      </c>
      <c r="T19" s="11" t="n">
        <v>719816283</v>
      </c>
      <c r="U19" s="11" t="n">
        <v>-29060415</v>
      </c>
      <c r="V19" s="11" t="n">
        <v>-367666296</v>
      </c>
      <c r="W19" s="11" t="n">
        <v>-13039647</v>
      </c>
      <c r="X19" s="11" t="n">
        <v>901312</v>
      </c>
      <c r="Y19" s="11" t="n">
        <v>-17203211</v>
      </c>
      <c r="Z19" s="11" t="n">
        <v>1273037</v>
      </c>
      <c r="AA19" s="11" t="n">
        <v>8896741</v>
      </c>
      <c r="AB19" s="11" t="n">
        <v>162634537</v>
      </c>
      <c r="AC19" s="11" t="n">
        <v>-967286603</v>
      </c>
      <c r="AD19" s="11" t="n">
        <v>-733414537</v>
      </c>
      <c r="AE19" s="11" t="n">
        <v>347563012</v>
      </c>
      <c r="AF19" s="11" t="n">
        <v>-147704093</v>
      </c>
      <c r="AG19" s="11" t="n">
        <v>66571979</v>
      </c>
      <c r="AH19" s="11" t="n">
        <v>86939059</v>
      </c>
      <c r="AI19" s="11" t="n">
        <v>-1062028494</v>
      </c>
      <c r="AJ19" s="11" t="n">
        <v>-201424053</v>
      </c>
      <c r="AK19" s="11" t="n">
        <v>-534328863</v>
      </c>
      <c r="AL19" s="11" t="n">
        <v>-94143535</v>
      </c>
      <c r="AM19" s="11" t="n">
        <v>-782683</v>
      </c>
      <c r="AN19" s="11" t="n">
        <v>160051293</v>
      </c>
      <c r="AO19" s="11" t="n">
        <v>-6655661</v>
      </c>
      <c r="AP19" s="11" t="n">
        <v>64218966</v>
      </c>
      <c r="AQ19" s="11" t="n">
        <v>-164130550</v>
      </c>
      <c r="AR19" s="11" t="n">
        <v>-89138857</v>
      </c>
      <c r="AS19" s="11" t="n">
        <v>93548837</v>
      </c>
      <c r="AT19" s="11" t="n">
        <v>1424376868</v>
      </c>
      <c r="AU19" s="11" t="n">
        <v>622564339</v>
      </c>
      <c r="AV19" s="11" t="n">
        <v>1388763331</v>
      </c>
      <c r="AW19" s="11" t="n">
        <v>656080785</v>
      </c>
      <c r="AX19" s="11" t="n">
        <v>234223208</v>
      </c>
      <c r="AY19" s="11" t="n">
        <v>170882131</v>
      </c>
      <c r="AZ19" s="11" t="n">
        <v>-1437792</v>
      </c>
      <c r="BA19" s="11" t="n">
        <v>75359089</v>
      </c>
      <c r="BB19" s="11" t="n">
        <v>-157639277</v>
      </c>
      <c r="BC19" s="11" t="n">
        <v>-86628507</v>
      </c>
      <c r="BD19" s="11" t="n">
        <v>-1159106645</v>
      </c>
      <c r="BE19" s="11" t="n">
        <v>-1389382257</v>
      </c>
      <c r="BF19" s="11" t="n">
        <v>-3598657483</v>
      </c>
      <c r="BG19" s="11" t="n">
        <v>-1746854452</v>
      </c>
      <c r="BH19" s="11" t="n">
        <v>522856679</v>
      </c>
      <c r="BI19" s="11" t="n">
        <v>-1039000459</v>
      </c>
      <c r="BJ19" s="11" t="n">
        <v>-572909901</v>
      </c>
      <c r="BK19" s="11" t="n">
        <v>-2868718696</v>
      </c>
      <c r="BL19" s="11" t="n">
        <v>-1474709317</v>
      </c>
      <c r="BM19" s="11" t="n">
        <v>-212856967</v>
      </c>
      <c r="BN19" s="11" t="n">
        <v>-1641187</v>
      </c>
      <c r="BO19" s="11" t="n">
        <v>165042707</v>
      </c>
      <c r="BP19" s="11" t="n">
        <v>-24727669</v>
      </c>
      <c r="BQ19" s="11" t="n">
        <v>236045049</v>
      </c>
      <c r="BR19" s="11" t="n">
        <v>-20952090</v>
      </c>
      <c r="BS19" s="11" t="n">
        <v>-135701028</v>
      </c>
      <c r="BT19" s="11" t="n">
        <v>-1418026</v>
      </c>
      <c r="BU19" s="11" t="n">
        <v>-89552</v>
      </c>
      <c r="BV19" s="11" t="n">
        <v>842895</v>
      </c>
      <c r="BW19" s="11" t="n">
        <v>2687068</v>
      </c>
      <c r="BX19" s="11" t="n">
        <v>425761</v>
      </c>
      <c r="BY19" s="11" t="n">
        <v>30370934</v>
      </c>
      <c r="BZ19" s="11" t="n">
        <v>-288712797</v>
      </c>
      <c r="CA19" s="11" t="n">
        <v>-252116528</v>
      </c>
      <c r="CB19" s="11" t="n">
        <v>74433223</v>
      </c>
      <c r="CC19" s="11" t="n">
        <v>-180039</v>
      </c>
      <c r="CD19" s="11" t="n">
        <v>41629156</v>
      </c>
      <c r="CE19" s="11" t="n">
        <v>13819495</v>
      </c>
      <c r="CF19" s="11" t="n">
        <v>-397230486</v>
      </c>
      <c r="CG19" s="11" t="n">
        <v>-130929927</v>
      </c>
      <c r="CH19" s="11" t="n">
        <v>-216743922</v>
      </c>
      <c r="CI19" s="11" t="n">
        <v>-188831045</v>
      </c>
      <c r="CJ19" s="11" t="n">
        <v>13718416</v>
      </c>
      <c r="CK19" s="11" t="n">
        <v>-258764026</v>
      </c>
      <c r="CL19" s="11" t="n">
        <v>9382401</v>
      </c>
      <c r="CM19" s="11" t="n">
        <v>130760644</v>
      </c>
      <c r="CN19" s="11" t="n">
        <v>1465541139</v>
      </c>
      <c r="CO19" s="11" t="n">
        <v>-1136688229</v>
      </c>
      <c r="CP19" s="11" t="n">
        <v>1467174789</v>
      </c>
      <c r="CQ19" s="11" t="n">
        <v>2463751096</v>
      </c>
      <c r="CR19" s="11" t="n">
        <v>-1925720230</v>
      </c>
      <c r="CS19" s="11" t="n">
        <v>-33771033</v>
      </c>
      <c r="CT19" s="11" t="n">
        <v>835860124</v>
      </c>
      <c r="CU19" s="11" t="n">
        <v>1954059993</v>
      </c>
      <c r="CV19" s="11" t="n">
        <v>2589066156</v>
      </c>
      <c r="CW19" s="11" t="n">
        <v>893565036</v>
      </c>
      <c r="CX19" s="11" t="n">
        <v>22156688</v>
      </c>
      <c r="CY19" s="11" t="n">
        <v>-320559973</v>
      </c>
      <c r="CZ19" s="11" t="n">
        <v>-301060982</v>
      </c>
      <c r="DA19" s="11" t="n">
        <v>63993377</v>
      </c>
      <c r="DB19" s="11" t="n">
        <v>-7073936</v>
      </c>
      <c r="DC19" s="11" t="n">
        <v>22972720</v>
      </c>
      <c r="DD19" s="11" t="n">
        <v>10693872</v>
      </c>
      <c r="DE19" s="11" t="n">
        <v>-428485549</v>
      </c>
      <c r="DF19" s="11" t="n">
        <v>-134286418</v>
      </c>
      <c r="DG19" s="11" t="n">
        <v>-211656613</v>
      </c>
      <c r="DH19" s="11" t="n">
        <v>2354531171</v>
      </c>
      <c r="DI19" s="11" t="n">
        <v>2508724074</v>
      </c>
      <c r="DJ19" s="11" t="n">
        <v>-207573719</v>
      </c>
      <c r="DK19" s="11" t="n">
        <v>-4302947035</v>
      </c>
      <c r="DL19" s="11" t="n">
        <v>-3797254135</v>
      </c>
      <c r="DM19" s="11" t="n">
        <v>-4425272305</v>
      </c>
      <c r="DN19" s="11" t="n">
        <v>-3242205643</v>
      </c>
      <c r="DO19" s="11" t="n">
        <v>-1070137006</v>
      </c>
      <c r="DP19" s="11" t="n">
        <v>-1426048291</v>
      </c>
      <c r="DQ19" s="11" t="n">
        <v>-3273150945</v>
      </c>
      <c r="DR19" s="11" t="n">
        <v>2175280</v>
      </c>
      <c r="DS19" s="11" t="n">
        <v>19190</v>
      </c>
      <c r="DT19" s="11" t="n">
        <v>-5091630</v>
      </c>
      <c r="DU19" s="11" t="n">
        <v>128410</v>
      </c>
      <c r="DV19" s="11" t="n">
        <v>-4408720</v>
      </c>
      <c r="DW19" s="11" t="n">
        <v>-365910</v>
      </c>
      <c r="DX19" s="11" t="n">
        <v>-250450</v>
      </c>
      <c r="DY19" s="11" t="n">
        <v>-2196312</v>
      </c>
      <c r="DZ19" s="11" t="n">
        <v>10926632</v>
      </c>
      <c r="EA19" s="11" t="n">
        <v>-13586664</v>
      </c>
      <c r="EB19" s="11" t="n">
        <v>59926224</v>
      </c>
      <c r="EC19" s="11" t="n">
        <v>115658680</v>
      </c>
      <c r="ED19" s="11" t="n">
        <v>67262232</v>
      </c>
      <c r="EE19" s="11" t="n">
        <v>-5044466</v>
      </c>
      <c r="EF19" s="11" t="n">
        <v>9792</v>
      </c>
      <c r="EG19" s="11" t="n">
        <v>-3922686</v>
      </c>
      <c r="EH19" s="11" t="n">
        <v>650876</v>
      </c>
      <c r="EI19" s="11" t="n">
        <v>340506</v>
      </c>
      <c r="EJ19" s="11" t="n">
        <v>31156990</v>
      </c>
      <c r="EK19" s="11" t="n">
        <v>-118122586</v>
      </c>
      <c r="EL19" s="11" t="n">
        <v>-268881726</v>
      </c>
      <c r="EM19" s="11" t="n">
        <v>-156181192</v>
      </c>
      <c r="EN19" s="11" t="n">
        <v>-23999058</v>
      </c>
      <c r="EO19" s="11" t="n">
        <v>4542052</v>
      </c>
      <c r="EP19" s="11" t="n">
        <v>2406294</v>
      </c>
      <c r="EQ19" s="11" t="n">
        <v>-224329342</v>
      </c>
      <c r="ER19" s="11" t="n">
        <v>-129423258</v>
      </c>
      <c r="ES19" s="11" t="n">
        <v>2001946</v>
      </c>
      <c r="ET19" s="11" t="n">
        <v>38479</v>
      </c>
      <c r="EU19" s="11" t="n">
        <v>-4516619</v>
      </c>
      <c r="EV19" s="11" t="n">
        <v>558553</v>
      </c>
      <c r="EW19" s="11" t="n">
        <v>-6929928</v>
      </c>
      <c r="EX19" s="11" t="n">
        <v>-1614135</v>
      </c>
      <c r="EY19" s="11" t="n">
        <v>1969851</v>
      </c>
      <c r="EZ19" s="11" t="n">
        <v>50222</v>
      </c>
      <c r="FA19" s="11" t="n">
        <v>2656</v>
      </c>
      <c r="FB19" s="11" t="n">
        <v>16852</v>
      </c>
      <c r="FC19" s="11" t="n">
        <v>-7767</v>
      </c>
      <c r="FD19" s="11" t="n">
        <v>21808</v>
      </c>
      <c r="FE19" s="11" t="n">
        <v>-1040770</v>
      </c>
      <c r="FF19" s="11" t="n">
        <v>7066732</v>
      </c>
      <c r="FG19" s="11" t="n">
        <v>3018417</v>
      </c>
      <c r="FH19" s="11" t="n">
        <v>-5130806</v>
      </c>
      <c r="FI19" s="11" t="n">
        <v>722956</v>
      </c>
      <c r="FJ19" s="11" t="n">
        <v>-1329</v>
      </c>
      <c r="FK19" s="11" t="n">
        <v>180592</v>
      </c>
      <c r="FL19" s="11" t="n">
        <v>2105724</v>
      </c>
      <c r="FM19" s="11" t="n">
        <v>-4790244</v>
      </c>
      <c r="FN19" s="11" t="n">
        <v>-517197</v>
      </c>
      <c r="FO19" s="11" t="n">
        <v>4367005</v>
      </c>
      <c r="FP19" s="11" t="n">
        <v>-323616</v>
      </c>
      <c r="FQ19" s="11" t="n">
        <v>5936883</v>
      </c>
      <c r="FR19" s="11" t="n">
        <v>-416170</v>
      </c>
      <c r="FS19" s="11" t="n">
        <v>-3178713</v>
      </c>
      <c r="FT19" s="11" t="n">
        <v>-25404859</v>
      </c>
      <c r="FU19" s="11" t="n">
        <v>89617497</v>
      </c>
      <c r="FV19" s="11" t="n">
        <v>232038695</v>
      </c>
      <c r="FW19" s="11" t="n">
        <v>149553948</v>
      </c>
      <c r="FX19" s="11" t="n">
        <v>27896469</v>
      </c>
      <c r="FY19" s="11" t="n">
        <v>-19616230</v>
      </c>
      <c r="FZ19" s="11" t="n">
        <v>-29574687</v>
      </c>
      <c r="GA19" s="11" t="n">
        <v>323993835</v>
      </c>
      <c r="GB19" s="11" t="n">
        <v>268548489</v>
      </c>
      <c r="GC19" s="11" t="n">
        <v>154647075</v>
      </c>
      <c r="GD19" s="11" t="n">
        <v>-723808</v>
      </c>
      <c r="GE19" s="11" t="n">
        <v>5836154</v>
      </c>
      <c r="GF19" s="11" t="n">
        <v>338305</v>
      </c>
      <c r="GG19" s="11" t="n">
        <v>-6623794</v>
      </c>
      <c r="GH19" s="11" t="n">
        <v>551520</v>
      </c>
      <c r="GI19" s="11" t="n">
        <v>-94048</v>
      </c>
      <c r="GJ19" s="11" t="n">
        <v>-36000</v>
      </c>
      <c r="GK19" s="11" t="n">
        <v>1016099</v>
      </c>
      <c r="GL19" s="11" t="n">
        <v>-4756860</v>
      </c>
      <c r="GM19" s="11" t="n">
        <v>877489</v>
      </c>
      <c r="GN19" s="11" t="n">
        <v>-19097942</v>
      </c>
      <c r="GO19" s="11" t="n">
        <v>36491113</v>
      </c>
      <c r="GP19" s="11" t="n">
        <v>63321406</v>
      </c>
      <c r="GQ19" s="11" t="n">
        <v>-303158689</v>
      </c>
      <c r="GR19" s="11" t="n">
        <v>-335797122</v>
      </c>
      <c r="GS19" s="11" t="n">
        <v>-363537794</v>
      </c>
      <c r="GT19" s="11" t="n">
        <v>-25323643</v>
      </c>
      <c r="GU19" s="11" t="n">
        <v>-47299140</v>
      </c>
      <c r="GV19" s="11" t="n">
        <v>6412711</v>
      </c>
      <c r="GW19" s="11" t="n">
        <v>-305558517</v>
      </c>
      <c r="GX19" s="11" t="n">
        <v>12479</v>
      </c>
      <c r="GY19" s="11" t="n">
        <v>-15732219</v>
      </c>
      <c r="GZ19" s="11" t="n">
        <v>-286487</v>
      </c>
      <c r="HA19" s="11" t="n">
        <v>-33021368</v>
      </c>
      <c r="HB19" s="11" t="n">
        <v>-46946615</v>
      </c>
      <c r="HC19" s="11" t="n">
        <v>-26080549</v>
      </c>
      <c r="HD19" s="11" t="n">
        <v>-109578</v>
      </c>
      <c r="HE19" s="11" t="n">
        <v>-3264</v>
      </c>
      <c r="HF19" s="11" t="n">
        <v>-266018</v>
      </c>
      <c r="HG19" s="11" t="n">
        <v>-412057</v>
      </c>
      <c r="HH19" s="11" t="n">
        <v>-228642</v>
      </c>
      <c r="HI19" s="11" t="n">
        <v>1599270</v>
      </c>
      <c r="HJ19" s="11" t="n">
        <v>45407322</v>
      </c>
      <c r="HK19" s="11" t="n">
        <v>107240547</v>
      </c>
      <c r="HL19" s="11" t="n">
        <v>59234844</v>
      </c>
      <c r="HM19" s="11" t="n">
        <v>-2529934</v>
      </c>
      <c r="HN19" s="11" t="n">
        <v>-2819519</v>
      </c>
      <c r="HO19" s="11" t="n">
        <v>-1572558</v>
      </c>
      <c r="HP19" s="11" t="n">
        <v>89593814</v>
      </c>
      <c r="HQ19" s="11" t="n">
        <v>49056506</v>
      </c>
      <c r="HR19" s="11" t="n">
        <v>-1018097</v>
      </c>
      <c r="HS19" s="11" t="n">
        <v>15821645</v>
      </c>
      <c r="HT19" s="11" t="n">
        <v>367200</v>
      </c>
      <c r="HU19" s="11" t="n">
        <v>32996859</v>
      </c>
      <c r="HV19" s="11" t="n">
        <v>46737022</v>
      </c>
      <c r="HW19" s="11" t="n">
        <v>25946847</v>
      </c>
      <c r="HX19" s="11" t="n">
        <v>-99701515</v>
      </c>
      <c r="HY19" s="11" t="n">
        <v>267533441</v>
      </c>
      <c r="HZ19" s="11" t="n">
        <v>600657983</v>
      </c>
      <c r="IA19" s="11" t="n">
        <v>355453828</v>
      </c>
      <c r="IB19" s="11" t="n">
        <v>214141773</v>
      </c>
      <c r="IC19" s="11" t="n">
        <v>308458034</v>
      </c>
      <c r="ID19" s="11" t="n">
        <v>171756009</v>
      </c>
      <c r="IE19" s="11" t="n">
        <v>462411491</v>
      </c>
      <c r="IF19" s="11" t="n">
        <v>302573505</v>
      </c>
      <c r="IG19" s="11" t="n">
        <v>64953587</v>
      </c>
      <c r="IH19" s="11" t="n">
        <v>913920</v>
      </c>
      <c r="II19" s="11" t="n">
        <v>47528852</v>
      </c>
      <c r="IJ19" s="11" t="n">
        <v>112033831</v>
      </c>
      <c r="IK19" s="11" t="n">
        <v>62047356</v>
      </c>
      <c r="IL19" s="11" t="n">
        <v>-802944</v>
      </c>
      <c r="IM19" s="11" t="n">
        <v>-99552</v>
      </c>
      <c r="IN19" s="11" t="n">
        <v>-58752</v>
      </c>
      <c r="IO19" s="11" t="n">
        <v>93252473</v>
      </c>
      <c r="IP19" s="11" t="n">
        <v>51457608</v>
      </c>
      <c r="IQ19" s="11" t="n">
        <v>-443445</v>
      </c>
      <c r="IR19" s="11" t="n">
        <v>-314961100</v>
      </c>
      <c r="IS19" s="11" t="n">
        <v>-740687585</v>
      </c>
      <c r="IT19" s="11" t="n">
        <v>-411529380</v>
      </c>
      <c r="IU19" s="11" t="n">
        <v>90016679</v>
      </c>
      <c r="IV19" s="11" t="n">
        <v>-18618148</v>
      </c>
      <c r="IW19" s="11" t="n">
        <v>-161400056</v>
      </c>
      <c r="IX19" s="11" t="n">
        <v>616438687</v>
      </c>
      <c r="IY19" s="11" t="n">
        <v>341310456</v>
      </c>
      <c r="IZ19" s="11" t="n">
        <v>-2788323</v>
      </c>
      <c r="JA19" s="11" t="n">
        <v>-133986643</v>
      </c>
      <c r="JB19" s="11" t="n">
        <v>-252380</v>
      </c>
      <c r="JC19" s="11" t="n">
        <v>-8272</v>
      </c>
      <c r="JD19" s="11" t="n">
        <v>-544367</v>
      </c>
      <c r="JE19" s="11" t="n">
        <v>-821189</v>
      </c>
      <c r="JF19" s="11" t="n">
        <v>-472645</v>
      </c>
      <c r="JG19" s="11" t="n">
        <v>4634452</v>
      </c>
      <c r="JH19" s="11" t="n">
        <v>18444427</v>
      </c>
      <c r="JI19" s="11" t="n">
        <v>85803229</v>
      </c>
      <c r="JJ19" s="11" t="n">
        <v>68398565</v>
      </c>
      <c r="JK19" s="11" t="n">
        <v>-9391673</v>
      </c>
      <c r="JL19" s="11" t="n">
        <v>-12267203</v>
      </c>
      <c r="JM19" s="11" t="n">
        <v>-6437347</v>
      </c>
      <c r="JN19" s="11" t="n">
        <v>125057793</v>
      </c>
      <c r="JO19" s="11" t="n">
        <v>112989363</v>
      </c>
      <c r="JP19" s="11" t="n">
        <v>61865766</v>
      </c>
      <c r="JQ19" s="11" t="n">
        <v>6624</v>
      </c>
      <c r="JR19" s="11" t="n">
        <v>-599966</v>
      </c>
      <c r="JS19" s="11" t="n">
        <v>-1122742</v>
      </c>
      <c r="JT19" s="11" t="n">
        <v>-473850</v>
      </c>
      <c r="JU19" s="11" t="n">
        <v>-33952</v>
      </c>
      <c r="JV19" s="11" t="n">
        <v>-58352</v>
      </c>
      <c r="JW19" s="11" t="n">
        <v>-27936</v>
      </c>
      <c r="JX19" s="11" t="n">
        <v>-469523</v>
      </c>
      <c r="JY19" s="11" t="n">
        <v>101524</v>
      </c>
      <c r="JZ19" s="11" t="n">
        <v>560813</v>
      </c>
      <c r="KA19" s="11" t="n">
        <v>11501266</v>
      </c>
      <c r="KB19" s="11" t="n">
        <v>22868906</v>
      </c>
      <c r="KC19" s="11" t="n">
        <v>10496502</v>
      </c>
      <c r="KD19" s="11" t="n">
        <v>-121922051</v>
      </c>
      <c r="KE19" s="11" t="n">
        <v>-127969418</v>
      </c>
      <c r="KF19" s="11" t="n">
        <v>-143181241</v>
      </c>
      <c r="KG19" s="11" t="n">
        <v>-15900245</v>
      </c>
      <c r="KH19" s="11" t="n">
        <v>-5295572</v>
      </c>
      <c r="KI19" s="11" t="n">
        <v>3981563</v>
      </c>
      <c r="KJ19" s="11" t="n">
        <v>-120777843</v>
      </c>
      <c r="KK19" s="11" t="n">
        <v>-3061360</v>
      </c>
      <c r="KL19" s="11" t="n">
        <v>-22841105</v>
      </c>
      <c r="KM19" s="11" t="n">
        <v>-95926855</v>
      </c>
      <c r="KN19" s="11" t="n">
        <v>-74489635</v>
      </c>
      <c r="KO19" s="11" t="n">
        <v>5854512</v>
      </c>
      <c r="KP19" s="11" t="n">
        <v>6816896</v>
      </c>
      <c r="KQ19" s="11" t="n">
        <v>3291696</v>
      </c>
      <c r="KR19" s="11" t="n">
        <v>-132587963</v>
      </c>
      <c r="KS19" s="11" t="n">
        <v>-117893514</v>
      </c>
      <c r="KT19" s="11" t="n">
        <v>-62725733</v>
      </c>
      <c r="KU19" s="11" t="n">
        <v>195700823</v>
      </c>
      <c r="KV19" s="11" t="n">
        <v>720714129</v>
      </c>
      <c r="KW19" s="11" t="n">
        <v>538180549</v>
      </c>
      <c r="KX19" s="11" t="n">
        <v>-754911992</v>
      </c>
      <c r="KY19" s="11" t="n">
        <v>-746414811</v>
      </c>
      <c r="KZ19" s="11" t="n">
        <v>-672826757</v>
      </c>
      <c r="LA19" s="11" t="n">
        <v>-942508349</v>
      </c>
      <c r="LB19" s="11" t="n">
        <v>-818785398</v>
      </c>
      <c r="LC19" s="11" t="n">
        <v>-423455267</v>
      </c>
      <c r="LD19" s="11" t="n">
        <v>-436335801</v>
      </c>
      <c r="LE19" s="11" t="n">
        <v>7877056</v>
      </c>
      <c r="LF19" s="11" t="n">
        <v>16136528</v>
      </c>
      <c r="LG19" s="11" t="n">
        <v>7702848</v>
      </c>
      <c r="LH19" s="11" t="n">
        <v>-126429129</v>
      </c>
      <c r="LI19" s="11" t="n">
        <v>-134194432</v>
      </c>
      <c r="LJ19" s="11" t="n">
        <v>-151270709</v>
      </c>
      <c r="LK19" s="11" t="n">
        <v>-13319056</v>
      </c>
      <c r="LL19" s="11" t="n">
        <v>-6261120</v>
      </c>
      <c r="LM19" s="11" t="n">
        <v>198288</v>
      </c>
      <c r="LN19" s="11" t="n">
        <v>-126412102</v>
      </c>
      <c r="LO19" s="11" t="n">
        <v>822893663</v>
      </c>
      <c r="LP19" s="11" t="n">
        <v>892356544</v>
      </c>
      <c r="LQ19" s="11" t="n">
        <v>1023340643</v>
      </c>
      <c r="LR19" s="11" t="n">
        <v>-303681085</v>
      </c>
      <c r="LS19" s="11" t="n">
        <v>-854775034</v>
      </c>
    </row>
    <row r="20" customFormat="false" ht="15" hidden="false" customHeight="true" outlineLevel="0" collapsed="false">
      <c r="A20" s="7" t="s">
        <v>86</v>
      </c>
      <c r="B20" s="11" t="n">
        <v>-2308746</v>
      </c>
      <c r="C20" s="11" t="n">
        <v>28581176</v>
      </c>
      <c r="D20" s="11" t="n">
        <v>-1279446</v>
      </c>
      <c r="E20" s="11" t="n">
        <v>-145856160</v>
      </c>
      <c r="F20" s="11" t="n">
        <v>-941122</v>
      </c>
      <c r="G20" s="11" t="n">
        <v>-198974394</v>
      </c>
      <c r="H20" s="11" t="n">
        <v>103155370</v>
      </c>
      <c r="I20" s="11" t="n">
        <v>13896344</v>
      </c>
      <c r="J20" s="11" t="n">
        <v>30270383</v>
      </c>
      <c r="K20" s="11" t="n">
        <v>169125</v>
      </c>
      <c r="L20" s="11" t="n">
        <v>-28078875</v>
      </c>
      <c r="M20" s="11" t="n">
        <v>1122374</v>
      </c>
      <c r="N20" s="11" t="n">
        <v>-9795753</v>
      </c>
      <c r="O20" s="11" t="n">
        <v>-4149992</v>
      </c>
      <c r="P20" s="11" t="n">
        <v>3750593</v>
      </c>
      <c r="Q20" s="11" t="n">
        <v>-18868733</v>
      </c>
      <c r="R20" s="11" t="n">
        <v>-1564743180</v>
      </c>
      <c r="S20" s="11" t="n">
        <v>-26233675</v>
      </c>
      <c r="T20" s="11" t="n">
        <v>-2487522219</v>
      </c>
      <c r="U20" s="11" t="n">
        <v>1403863487</v>
      </c>
      <c r="V20" s="11" t="n">
        <v>135766904</v>
      </c>
      <c r="W20" s="11" t="n">
        <v>-26245125</v>
      </c>
      <c r="X20" s="11" t="n">
        <v>553049</v>
      </c>
      <c r="Y20" s="11" t="n">
        <v>-20004228</v>
      </c>
      <c r="Z20" s="11" t="n">
        <v>5256733</v>
      </c>
      <c r="AA20" s="11" t="n">
        <v>3096443</v>
      </c>
      <c r="AB20" s="11" t="n">
        <v>82352415</v>
      </c>
      <c r="AC20" s="11" t="n">
        <v>1801066995</v>
      </c>
      <c r="AD20" s="11" t="n">
        <v>-1516749195</v>
      </c>
      <c r="AE20" s="11" t="n">
        <v>67938780</v>
      </c>
      <c r="AF20" s="11" t="n">
        <v>-100722507</v>
      </c>
      <c r="AG20" s="11" t="n">
        <v>48456286</v>
      </c>
      <c r="AH20" s="11" t="n">
        <v>8284437</v>
      </c>
      <c r="AI20" s="11" t="n">
        <v>-795335073</v>
      </c>
      <c r="AJ20" s="11" t="n">
        <v>264276285</v>
      </c>
      <c r="AK20" s="11" t="n">
        <v>-192556273</v>
      </c>
      <c r="AL20" s="11" t="n">
        <v>2300959</v>
      </c>
      <c r="AM20" s="11" t="n">
        <v>-328437</v>
      </c>
      <c r="AN20" s="11" t="n">
        <v>30192015</v>
      </c>
      <c r="AO20" s="11" t="n">
        <v>-5227880</v>
      </c>
      <c r="AP20" s="11" t="n">
        <v>61228773</v>
      </c>
      <c r="AQ20" s="11" t="n">
        <v>-43485724</v>
      </c>
      <c r="AR20" s="11" t="n">
        <v>-4913447</v>
      </c>
      <c r="AS20" s="11" t="n">
        <v>2790763</v>
      </c>
      <c r="AT20" s="11" t="n">
        <v>-519126980</v>
      </c>
      <c r="AU20" s="11" t="n">
        <v>63780717</v>
      </c>
      <c r="AV20" s="11" t="n">
        <v>-956286339</v>
      </c>
      <c r="AW20" s="11" t="n">
        <v>641139999</v>
      </c>
      <c r="AX20" s="11" t="n">
        <v>74675608</v>
      </c>
      <c r="AY20" s="11" t="n">
        <v>37480785</v>
      </c>
      <c r="AZ20" s="11" t="n">
        <v>-2763271</v>
      </c>
      <c r="BA20" s="11" t="n">
        <v>62237016</v>
      </c>
      <c r="BB20" s="11" t="n">
        <v>-38773289</v>
      </c>
      <c r="BC20" s="11" t="n">
        <v>-4699765</v>
      </c>
      <c r="BD20" s="11" t="n">
        <v>-342581155</v>
      </c>
      <c r="BE20" s="11" t="n">
        <v>1266122745</v>
      </c>
      <c r="BF20" s="11" t="n">
        <v>-1398244865</v>
      </c>
      <c r="BG20" s="11" t="n">
        <v>-128683660</v>
      </c>
      <c r="BH20" s="11" t="n">
        <v>475512681</v>
      </c>
      <c r="BI20" s="11" t="n">
        <v>-251309268</v>
      </c>
      <c r="BJ20" s="11" t="n">
        <v>-33469499</v>
      </c>
      <c r="BK20" s="11" t="n">
        <v>-1012007751</v>
      </c>
      <c r="BL20" s="11" t="n">
        <v>-54919011</v>
      </c>
      <c r="BM20" s="11" t="n">
        <v>-42206521</v>
      </c>
      <c r="BN20" s="11" t="n">
        <v>4474751</v>
      </c>
      <c r="BO20" s="11" t="n">
        <v>-423837095</v>
      </c>
      <c r="BP20" s="11" t="n">
        <v>69662261</v>
      </c>
      <c r="BQ20" s="11" t="n">
        <v>-812544141</v>
      </c>
      <c r="BR20" s="11" t="n">
        <v>566013134</v>
      </c>
      <c r="BS20" s="11" t="n">
        <v>68159028</v>
      </c>
      <c r="BT20" s="11" t="n">
        <v>1782750</v>
      </c>
      <c r="BU20" s="11" t="n">
        <v>223297</v>
      </c>
      <c r="BV20" s="11" t="n">
        <v>-3091734</v>
      </c>
      <c r="BW20" s="11" t="n">
        <v>3775874</v>
      </c>
      <c r="BX20" s="11" t="n">
        <v>-173621</v>
      </c>
      <c r="BY20" s="11" t="n">
        <v>-48903715</v>
      </c>
      <c r="BZ20" s="11" t="n">
        <v>616560480</v>
      </c>
      <c r="CA20" s="11" t="n">
        <v>-583142030</v>
      </c>
      <c r="CB20" s="11" t="n">
        <v>-10709755</v>
      </c>
      <c r="CC20" s="11" t="n">
        <v>-7584447</v>
      </c>
      <c r="CD20" s="11" t="n">
        <v>30537316</v>
      </c>
      <c r="CE20" s="11" t="n">
        <v>-6104147</v>
      </c>
      <c r="CF20" s="11" t="n">
        <v>-294564378</v>
      </c>
      <c r="CG20" s="11" t="n">
        <v>78619863</v>
      </c>
      <c r="CH20" s="11" t="n">
        <v>-79475186</v>
      </c>
      <c r="CI20" s="11" t="n">
        <v>495504305</v>
      </c>
      <c r="CJ20" s="11" t="n">
        <v>-39545236</v>
      </c>
      <c r="CK20" s="11" t="n">
        <v>874211634</v>
      </c>
      <c r="CL20" s="11" t="n">
        <v>-560346073</v>
      </c>
      <c r="CM20" s="11" t="n">
        <v>-62556116</v>
      </c>
      <c r="CN20" s="11" t="n">
        <v>-3968312935</v>
      </c>
      <c r="CO20" s="11" t="n">
        <v>7172645025</v>
      </c>
      <c r="CP20" s="11" t="n">
        <v>-9601985185</v>
      </c>
      <c r="CQ20" s="11" t="n">
        <v>-1622322520</v>
      </c>
      <c r="CR20" s="11" t="n">
        <v>6428806698</v>
      </c>
      <c r="CS20" s="11" t="n">
        <v>-3721291179</v>
      </c>
      <c r="CT20" s="11" t="n">
        <v>-371514668</v>
      </c>
      <c r="CU20" s="11" t="n">
        <v>-8829395913</v>
      </c>
      <c r="CV20" s="11" t="n">
        <v>-1956714396</v>
      </c>
      <c r="CW20" s="11" t="n">
        <v>622394500</v>
      </c>
      <c r="CX20" s="11" t="n">
        <v>-40481335</v>
      </c>
      <c r="CY20" s="11" t="n">
        <v>690645870</v>
      </c>
      <c r="CZ20" s="11" t="n">
        <v>-641358320</v>
      </c>
      <c r="DA20" s="11" t="n">
        <v>-5696845</v>
      </c>
      <c r="DB20" s="11" t="n">
        <v>16301574</v>
      </c>
      <c r="DC20" s="11" t="n">
        <v>5406833</v>
      </c>
      <c r="DD20" s="11" t="n">
        <v>-4656008</v>
      </c>
      <c r="DE20" s="11" t="n">
        <v>-350516034</v>
      </c>
      <c r="DF20" s="11" t="n">
        <v>77141358</v>
      </c>
      <c r="DG20" s="11" t="n">
        <v>-74527467</v>
      </c>
      <c r="DH20" s="11" t="n">
        <v>-4945145115</v>
      </c>
      <c r="DI20" s="11" t="n">
        <v>4351948745</v>
      </c>
      <c r="DJ20" s="11" t="n">
        <v>-86915325</v>
      </c>
      <c r="DK20" s="11" t="n">
        <v>4099532190</v>
      </c>
      <c r="DL20" s="11" t="n">
        <v>2178767955</v>
      </c>
      <c r="DM20" s="11" t="n">
        <v>-1989466115</v>
      </c>
      <c r="DN20" s="11" t="n">
        <v>-2412993255</v>
      </c>
      <c r="DO20" s="11" t="n">
        <v>603771882</v>
      </c>
      <c r="DP20" s="11" t="n">
        <v>-488935741</v>
      </c>
      <c r="DQ20" s="11" t="n">
        <v>-1563661827</v>
      </c>
      <c r="DR20" s="11" t="n">
        <v>594356</v>
      </c>
      <c r="DS20" s="11" t="n">
        <v>4668</v>
      </c>
      <c r="DT20" s="11" t="n">
        <v>-1379064</v>
      </c>
      <c r="DU20" s="11" t="n">
        <v>25286</v>
      </c>
      <c r="DV20" s="11" t="n">
        <v>-1096278</v>
      </c>
      <c r="DW20" s="11" t="n">
        <v>-89480</v>
      </c>
      <c r="DX20" s="11" t="n">
        <v>-22330</v>
      </c>
      <c r="DY20" s="11" t="n">
        <v>-387164</v>
      </c>
      <c r="DZ20" s="11" t="n">
        <v>-20476576</v>
      </c>
      <c r="EA20" s="11" t="n">
        <v>-555308</v>
      </c>
      <c r="EB20" s="11" t="n">
        <v>-37651916</v>
      </c>
      <c r="EC20" s="11" t="n">
        <v>27663700</v>
      </c>
      <c r="ED20" s="11" t="n">
        <v>3853864</v>
      </c>
      <c r="EE20" s="11" t="n">
        <v>-1059144</v>
      </c>
      <c r="EF20" s="11" t="n">
        <v>12110</v>
      </c>
      <c r="EG20" s="11" t="n">
        <v>-1009830</v>
      </c>
      <c r="EH20" s="11" t="n">
        <v>158980</v>
      </c>
      <c r="EI20" s="11" t="n">
        <v>15722</v>
      </c>
      <c r="EJ20" s="11" t="n">
        <v>2159608</v>
      </c>
      <c r="EK20" s="11" t="n">
        <v>49593816</v>
      </c>
      <c r="EL20" s="11" t="n">
        <v>-67269880</v>
      </c>
      <c r="EM20" s="11" t="n">
        <v>-9711296</v>
      </c>
      <c r="EN20" s="11" t="n">
        <v>-2626100</v>
      </c>
      <c r="EO20" s="11" t="n">
        <v>1093310</v>
      </c>
      <c r="EP20" s="11" t="n">
        <v>143094</v>
      </c>
      <c r="EQ20" s="11" t="n">
        <v>-56693630</v>
      </c>
      <c r="ER20" s="11" t="n">
        <v>-8522962</v>
      </c>
      <c r="ES20" s="11" t="n">
        <v>459130</v>
      </c>
      <c r="ET20" s="11" t="n">
        <v>-17664</v>
      </c>
      <c r="EU20" s="11" t="n">
        <v>10852622</v>
      </c>
      <c r="EV20" s="11" t="n">
        <v>-42589</v>
      </c>
      <c r="EW20" s="11" t="n">
        <v>11851711</v>
      </c>
      <c r="EX20" s="11" t="n">
        <v>104828</v>
      </c>
      <c r="EY20" s="11" t="n">
        <v>1258313</v>
      </c>
      <c r="EZ20" s="11" t="n">
        <v>44250</v>
      </c>
      <c r="FA20" s="11" t="n">
        <v>417</v>
      </c>
      <c r="FB20" s="11" t="n">
        <v>60501</v>
      </c>
      <c r="FC20" s="11" t="n">
        <v>-1836</v>
      </c>
      <c r="FD20" s="11" t="n">
        <v>9219</v>
      </c>
      <c r="FE20" s="11" t="n">
        <v>-362891</v>
      </c>
      <c r="FF20" s="11" t="n">
        <v>-7481673</v>
      </c>
      <c r="FG20" s="11" t="n">
        <v>1390628</v>
      </c>
      <c r="FH20" s="11" t="n">
        <v>-2511887</v>
      </c>
      <c r="FI20" s="11" t="n">
        <v>425659</v>
      </c>
      <c r="FJ20" s="11" t="n">
        <v>-1952</v>
      </c>
      <c r="FK20" s="11" t="n">
        <v>51933</v>
      </c>
      <c r="FL20" s="11" t="n">
        <v>1590916</v>
      </c>
      <c r="FM20" s="11" t="n">
        <v>-1875664</v>
      </c>
      <c r="FN20" s="11" t="n">
        <v>-185500</v>
      </c>
      <c r="FO20" s="11" t="n">
        <v>-7677962</v>
      </c>
      <c r="FP20" s="11" t="n">
        <v>11239</v>
      </c>
      <c r="FQ20" s="11" t="n">
        <v>-8839213</v>
      </c>
      <c r="FR20" s="11" t="n">
        <v>753868</v>
      </c>
      <c r="FS20" s="11" t="n">
        <v>-705131</v>
      </c>
      <c r="FT20" s="11" t="n">
        <v>11606890</v>
      </c>
      <c r="FU20" s="11" t="n">
        <v>279192186</v>
      </c>
      <c r="FV20" s="11" t="n">
        <v>-508735838</v>
      </c>
      <c r="FW20" s="11" t="n">
        <v>-113720516</v>
      </c>
      <c r="FX20" s="11" t="n">
        <v>-13771052</v>
      </c>
      <c r="FY20" s="11" t="n">
        <v>1884321</v>
      </c>
      <c r="FZ20" s="11" t="n">
        <v>-899493</v>
      </c>
      <c r="GA20" s="11" t="n">
        <v>-558266683</v>
      </c>
      <c r="GB20" s="11" t="n">
        <v>-156560677</v>
      </c>
      <c r="GC20" s="11" t="n">
        <v>57887193</v>
      </c>
      <c r="GD20" s="11" t="n">
        <v>-209411</v>
      </c>
      <c r="GE20" s="11" t="n">
        <v>-4154733</v>
      </c>
      <c r="GF20" s="11" t="n">
        <v>-1090462</v>
      </c>
      <c r="GG20" s="11" t="n">
        <v>-2240777</v>
      </c>
      <c r="GH20" s="11" t="n">
        <v>247165</v>
      </c>
      <c r="GI20" s="11" t="n">
        <v>-18965</v>
      </c>
      <c r="GJ20" s="11" t="n">
        <v>22512</v>
      </c>
      <c r="GK20" s="11" t="n">
        <v>-1663325</v>
      </c>
      <c r="GL20" s="11" t="n">
        <v>-2198119</v>
      </c>
      <c r="GM20" s="11" t="n">
        <v>320159</v>
      </c>
      <c r="GN20" s="11" t="n">
        <v>-1333998</v>
      </c>
      <c r="GO20" s="11" t="n">
        <v>15523879</v>
      </c>
      <c r="GP20" s="11" t="n">
        <v>6489063</v>
      </c>
      <c r="GQ20" s="11" t="n">
        <v>314941653</v>
      </c>
      <c r="GR20" s="11" t="n">
        <v>143017875</v>
      </c>
      <c r="GS20" s="11" t="n">
        <v>-132321007</v>
      </c>
      <c r="GT20" s="11" t="n">
        <v>-18201815</v>
      </c>
      <c r="GU20" s="11" t="n">
        <v>-7802361</v>
      </c>
      <c r="GV20" s="11" t="n">
        <v>2256513</v>
      </c>
      <c r="GW20" s="11" t="n">
        <v>-109367804</v>
      </c>
      <c r="GX20" s="11" t="n">
        <v>-89204</v>
      </c>
      <c r="GY20" s="11" t="n">
        <v>9146946</v>
      </c>
      <c r="GZ20" s="11" t="n">
        <v>-1371049</v>
      </c>
      <c r="HA20" s="11" t="n">
        <v>16855115</v>
      </c>
      <c r="HB20" s="11" t="n">
        <v>-11105644</v>
      </c>
      <c r="HC20" s="11" t="n">
        <v>-1242647</v>
      </c>
      <c r="HD20" s="11" t="n">
        <v>-135138</v>
      </c>
      <c r="HE20" s="11" t="n">
        <v>-6973</v>
      </c>
      <c r="HF20" s="11" t="n">
        <v>-32157</v>
      </c>
      <c r="HG20" s="11" t="n">
        <v>-100652</v>
      </c>
      <c r="HH20" s="11" t="n">
        <v>-13111</v>
      </c>
      <c r="HI20" s="11" t="n">
        <v>2792055</v>
      </c>
      <c r="HJ20" s="11" t="n">
        <v>-22236987</v>
      </c>
      <c r="HK20" s="11" t="n">
        <v>27145116</v>
      </c>
      <c r="HL20" s="11" t="n">
        <v>3226923</v>
      </c>
      <c r="HM20" s="11" t="n">
        <v>-1811797</v>
      </c>
      <c r="HN20" s="11" t="n">
        <v>-678884</v>
      </c>
      <c r="HO20" s="11" t="n">
        <v>-104377</v>
      </c>
      <c r="HP20" s="11" t="n">
        <v>23021672</v>
      </c>
      <c r="HQ20" s="11" t="n">
        <v>2925286</v>
      </c>
      <c r="HR20" s="11" t="n">
        <v>-230160</v>
      </c>
      <c r="HS20" s="11" t="n">
        <v>-9031558</v>
      </c>
      <c r="HT20" s="11" t="n">
        <v>809759</v>
      </c>
      <c r="HU20" s="11" t="n">
        <v>-16630429</v>
      </c>
      <c r="HV20" s="11" t="n">
        <v>11386136</v>
      </c>
      <c r="HW20" s="11" t="n">
        <v>1387869</v>
      </c>
      <c r="HX20" s="11" t="n">
        <v>55780982</v>
      </c>
      <c r="HY20" s="11" t="n">
        <v>-1236634</v>
      </c>
      <c r="HZ20" s="11" t="n">
        <v>-43127026</v>
      </c>
      <c r="IA20" s="11" t="n">
        <v>-16498412</v>
      </c>
      <c r="IB20" s="11" t="n">
        <v>-102602484</v>
      </c>
      <c r="IC20" s="11" t="n">
        <v>74190117</v>
      </c>
      <c r="ID20" s="11" t="n">
        <v>10051027</v>
      </c>
      <c r="IE20" s="11" t="n">
        <v>-80971791</v>
      </c>
      <c r="IF20" s="11" t="n">
        <v>-30569693</v>
      </c>
      <c r="IG20" s="11" t="n">
        <v>14172361</v>
      </c>
      <c r="IH20" s="11" t="n">
        <v>1932719</v>
      </c>
      <c r="II20" s="11" t="n">
        <v>-21938199</v>
      </c>
      <c r="IJ20" s="11" t="n">
        <v>27439846</v>
      </c>
      <c r="IK20" s="11" t="n">
        <v>3429965</v>
      </c>
      <c r="IL20" s="11" t="n">
        <v>-1591895</v>
      </c>
      <c r="IM20" s="11" t="n">
        <v>-23635</v>
      </c>
      <c r="IN20" s="11" t="n">
        <v>-10528</v>
      </c>
      <c r="IO20" s="11" t="n">
        <v>22869265</v>
      </c>
      <c r="IP20" s="11" t="n">
        <v>2944613</v>
      </c>
      <c r="IQ20" s="11" t="n">
        <v>-107527</v>
      </c>
      <c r="IR20" s="11" t="n">
        <v>135230734</v>
      </c>
      <c r="IS20" s="11" t="n">
        <v>-178703827</v>
      </c>
      <c r="IT20" s="11" t="n">
        <v>-24714851</v>
      </c>
      <c r="IU20" s="11" t="n">
        <v>108515311</v>
      </c>
      <c r="IV20" s="11" t="n">
        <v>40545281</v>
      </c>
      <c r="IW20" s="11" t="n">
        <v>-33747189</v>
      </c>
      <c r="IX20" s="11" t="n">
        <v>148844145</v>
      </c>
      <c r="IY20" s="11" t="n">
        <v>21093163</v>
      </c>
      <c r="IZ20" s="11" t="n">
        <v>-671209</v>
      </c>
      <c r="JA20" s="11" t="n">
        <v>-27700778</v>
      </c>
      <c r="JB20" s="11" t="n">
        <v>1356974</v>
      </c>
      <c r="JC20" s="11" t="n">
        <v>34355</v>
      </c>
      <c r="JD20" s="11" t="n">
        <v>1277839</v>
      </c>
      <c r="JE20" s="11" t="n">
        <v>345788</v>
      </c>
      <c r="JF20" s="11" t="n">
        <v>225785</v>
      </c>
      <c r="JG20" s="11" t="n">
        <v>-24379189</v>
      </c>
      <c r="JH20" s="11" t="n">
        <v>125371379</v>
      </c>
      <c r="JI20" s="11" t="n">
        <v>-204396376</v>
      </c>
      <c r="JJ20" s="11" t="n">
        <v>-42055097</v>
      </c>
      <c r="JK20" s="11" t="n">
        <v>26131534</v>
      </c>
      <c r="JL20" s="11" t="n">
        <v>1037598</v>
      </c>
      <c r="JM20" s="11" t="n">
        <v>2991695</v>
      </c>
      <c r="JN20" s="11" t="n">
        <v>-224424034</v>
      </c>
      <c r="JO20" s="11" t="n">
        <v>-60462927</v>
      </c>
      <c r="JP20" s="11" t="n">
        <v>23292626</v>
      </c>
      <c r="JQ20" s="11" t="n">
        <v>-54028</v>
      </c>
      <c r="JR20" s="11" t="n">
        <v>1446666</v>
      </c>
      <c r="JS20" s="11" t="n">
        <v>-1007276</v>
      </c>
      <c r="JT20" s="11" t="n">
        <v>142604</v>
      </c>
      <c r="JU20" s="11" t="n">
        <v>87503</v>
      </c>
      <c r="JV20" s="11" t="n">
        <v>-11734</v>
      </c>
      <c r="JW20" s="11" t="n">
        <v>12600</v>
      </c>
      <c r="JX20" s="11" t="n">
        <v>-1317178</v>
      </c>
      <c r="JY20" s="11" t="n">
        <v>-106421</v>
      </c>
      <c r="JZ20" s="11" t="n">
        <v>203938</v>
      </c>
      <c r="KA20" s="11" t="n">
        <v>-20998913</v>
      </c>
      <c r="KB20" s="11" t="n">
        <v>9958514</v>
      </c>
      <c r="KC20" s="11" t="n">
        <v>-4236428</v>
      </c>
      <c r="KD20" s="11" t="n">
        <v>124843738</v>
      </c>
      <c r="KE20" s="11" t="n">
        <v>58010057</v>
      </c>
      <c r="KF20" s="11" t="n">
        <v>-52697274</v>
      </c>
      <c r="KG20" s="11" t="n">
        <v>-11568050</v>
      </c>
      <c r="KH20" s="11" t="n">
        <v>1964053</v>
      </c>
      <c r="KI20" s="11" t="n">
        <v>1402366</v>
      </c>
      <c r="KJ20" s="11" t="n">
        <v>-43633828</v>
      </c>
      <c r="KK20" s="11" t="n">
        <v>15796389</v>
      </c>
      <c r="KL20" s="11" t="n">
        <v>-123606371</v>
      </c>
      <c r="KM20" s="11" t="n">
        <v>208215942</v>
      </c>
      <c r="KN20" s="11" t="n">
        <v>43972159</v>
      </c>
      <c r="KO20" s="11" t="n">
        <v>-18004574</v>
      </c>
      <c r="KP20" s="11" t="n">
        <v>1246197</v>
      </c>
      <c r="KQ20" s="11" t="n">
        <v>-1515080</v>
      </c>
      <c r="KR20" s="11" t="n">
        <v>227571089</v>
      </c>
      <c r="KS20" s="11" t="n">
        <v>61974514</v>
      </c>
      <c r="KT20" s="11" t="n">
        <v>-23439647</v>
      </c>
      <c r="KU20" s="11" t="n">
        <v>761258512</v>
      </c>
      <c r="KV20" s="11" t="n">
        <v>-1361419701</v>
      </c>
      <c r="KW20" s="11" t="n">
        <v>-300438257</v>
      </c>
      <c r="KX20" s="11" t="n">
        <v>618748403</v>
      </c>
      <c r="KY20" s="11" t="n">
        <v>231818951</v>
      </c>
      <c r="KZ20" s="11" t="n">
        <v>-170385215</v>
      </c>
      <c r="LA20" s="11" t="n">
        <v>1491676590</v>
      </c>
      <c r="LB20" s="11" t="n">
        <v>415451302</v>
      </c>
      <c r="LC20" s="11" t="n">
        <v>-154279881</v>
      </c>
      <c r="LD20" s="11" t="n">
        <v>-116568907</v>
      </c>
      <c r="LE20" s="11" t="n">
        <v>-11919089</v>
      </c>
      <c r="LF20" s="11" t="n">
        <v>3435462</v>
      </c>
      <c r="LG20" s="11" t="n">
        <v>-3410792</v>
      </c>
      <c r="LH20" s="11" t="n">
        <v>130225924</v>
      </c>
      <c r="LI20" s="11" t="n">
        <v>59868347</v>
      </c>
      <c r="LJ20" s="11" t="n">
        <v>-54521698</v>
      </c>
      <c r="LK20" s="11" t="n">
        <v>-2975395</v>
      </c>
      <c r="LL20" s="11" t="n">
        <v>2744392</v>
      </c>
      <c r="LM20" s="11" t="n">
        <v>60424</v>
      </c>
      <c r="LN20" s="11" t="n">
        <v>-44929857</v>
      </c>
      <c r="LO20" s="11" t="n">
        <v>-861691105</v>
      </c>
      <c r="LP20" s="11" t="n">
        <v>-391066893</v>
      </c>
      <c r="LQ20" s="11" t="n">
        <v>359301334</v>
      </c>
      <c r="LR20" s="11" t="n">
        <v>-55455127</v>
      </c>
      <c r="LS20" s="11" t="n">
        <v>-296029055</v>
      </c>
    </row>
    <row r="21" customFormat="false" ht="15" hidden="false" customHeight="true" outlineLevel="0" collapsed="false">
      <c r="A21" s="7" t="s">
        <v>87</v>
      </c>
      <c r="B21" s="11" t="n">
        <v>-12250300</v>
      </c>
      <c r="C21" s="11" t="n">
        <v>-177329840</v>
      </c>
      <c r="D21" s="11" t="n">
        <v>-8552836</v>
      </c>
      <c r="E21" s="11" t="n">
        <v>-489294784</v>
      </c>
      <c r="F21" s="11" t="n">
        <v>-16459532</v>
      </c>
      <c r="G21" s="11" t="n">
        <v>-942160348</v>
      </c>
      <c r="H21" s="11" t="n">
        <v>580644220</v>
      </c>
      <c r="I21" s="11" t="n">
        <v>82149776</v>
      </c>
      <c r="J21" s="11" t="n">
        <v>19905370</v>
      </c>
      <c r="K21" s="11" t="n">
        <v>142878</v>
      </c>
      <c r="L21" s="11" t="n">
        <v>-27250018</v>
      </c>
      <c r="M21" s="11" t="n">
        <v>1051236</v>
      </c>
      <c r="N21" s="11" t="n">
        <v>-3385846</v>
      </c>
      <c r="O21" s="11" t="n">
        <v>-7778160</v>
      </c>
      <c r="P21" s="11" t="n">
        <v>23500102</v>
      </c>
      <c r="Q21" s="11" t="n">
        <v>-11829166</v>
      </c>
      <c r="R21" s="11" t="n">
        <v>-1189508424</v>
      </c>
      <c r="S21" s="11" t="n">
        <v>-11527682</v>
      </c>
      <c r="T21" s="11" t="n">
        <v>-1579917378</v>
      </c>
      <c r="U21" s="11" t="n">
        <v>830888890</v>
      </c>
      <c r="V21" s="11" t="n">
        <v>473661136</v>
      </c>
      <c r="W21" s="11" t="n">
        <v>-24731998</v>
      </c>
      <c r="X21" s="11" t="n">
        <v>541974</v>
      </c>
      <c r="Y21" s="11" t="n">
        <v>-13352536</v>
      </c>
      <c r="Z21" s="11" t="n">
        <v>1341678</v>
      </c>
      <c r="AA21" s="11" t="n">
        <v>17365282</v>
      </c>
      <c r="AB21" s="11" t="n">
        <v>78601082</v>
      </c>
      <c r="AC21" s="11" t="n">
        <v>1960540530</v>
      </c>
      <c r="AD21" s="11" t="n">
        <v>-1602277378</v>
      </c>
      <c r="AE21" s="11" t="n">
        <v>755891240</v>
      </c>
      <c r="AF21" s="11" t="n">
        <v>-85398914</v>
      </c>
      <c r="AG21" s="11" t="n">
        <v>39376116</v>
      </c>
      <c r="AH21" s="11" t="n">
        <v>38624318</v>
      </c>
      <c r="AI21" s="11" t="n">
        <v>-758695366</v>
      </c>
      <c r="AJ21" s="11" t="n">
        <v>1784667950</v>
      </c>
      <c r="AK21" s="11" t="n">
        <v>-1166026342</v>
      </c>
      <c r="AL21" s="11" t="n">
        <v>91138650</v>
      </c>
      <c r="AM21" s="11" t="n">
        <v>-1319470</v>
      </c>
      <c r="AN21" s="11" t="n">
        <v>91912970</v>
      </c>
      <c r="AO21" s="11" t="n">
        <v>-24988440</v>
      </c>
      <c r="AP21" s="11" t="n">
        <v>297625990</v>
      </c>
      <c r="AQ21" s="11" t="n">
        <v>-238725800</v>
      </c>
      <c r="AR21" s="11" t="n">
        <v>-28089930</v>
      </c>
      <c r="AS21" s="11" t="n">
        <v>-82730654</v>
      </c>
      <c r="AT21" s="11" t="n">
        <v>-2309719256</v>
      </c>
      <c r="AU21" s="11" t="n">
        <v>-484175538</v>
      </c>
      <c r="AV21" s="11" t="n">
        <v>-2701097362</v>
      </c>
      <c r="AW21" s="11" t="n">
        <v>864135770</v>
      </c>
      <c r="AX21" s="11" t="n">
        <v>204553104</v>
      </c>
      <c r="AY21" s="11" t="n">
        <v>116872758</v>
      </c>
      <c r="AZ21" s="11" t="n">
        <v>-15673426</v>
      </c>
      <c r="BA21" s="11" t="n">
        <v>309273944</v>
      </c>
      <c r="BB21" s="11" t="n">
        <v>-229212774</v>
      </c>
      <c r="BC21" s="11" t="n">
        <v>-28459934</v>
      </c>
      <c r="BD21" s="11" t="n">
        <v>-1121569090</v>
      </c>
      <c r="BE21" s="11" t="n">
        <v>4818664742</v>
      </c>
      <c r="BF21" s="11" t="n">
        <v>-5178530646</v>
      </c>
      <c r="BG21" s="11" t="n">
        <v>-505589768</v>
      </c>
      <c r="BH21" s="11" t="n">
        <v>2321731046</v>
      </c>
      <c r="BI21" s="11" t="n">
        <v>-1505163808</v>
      </c>
      <c r="BJ21" s="11" t="n">
        <v>-205312674</v>
      </c>
      <c r="BK21" s="11" t="n">
        <v>-4253216002</v>
      </c>
      <c r="BL21" s="11" t="n">
        <v>-164511058</v>
      </c>
      <c r="BM21" s="11" t="n">
        <v>-269464054</v>
      </c>
      <c r="BN21" s="11" t="n">
        <v>3206962</v>
      </c>
      <c r="BO21" s="11" t="n">
        <v>-352080482</v>
      </c>
      <c r="BP21" s="11" t="n">
        <v>48424314</v>
      </c>
      <c r="BQ21" s="11" t="n">
        <v>-508798714</v>
      </c>
      <c r="BR21" s="11" t="n">
        <v>330035540</v>
      </c>
      <c r="BS21" s="11" t="n">
        <v>220476888</v>
      </c>
      <c r="BT21" s="11" t="n">
        <v>1863076</v>
      </c>
      <c r="BU21" s="11" t="n">
        <v>178218</v>
      </c>
      <c r="BV21" s="11" t="n">
        <v>-3106592</v>
      </c>
      <c r="BW21" s="11" t="n">
        <v>3622092</v>
      </c>
      <c r="BX21" s="11" t="n">
        <v>-2203558</v>
      </c>
      <c r="BY21" s="11" t="n">
        <v>-47697870</v>
      </c>
      <c r="BZ21" s="11" t="n">
        <v>636646484</v>
      </c>
      <c r="CA21" s="11" t="n">
        <v>-589389332</v>
      </c>
      <c r="CB21" s="11" t="n">
        <v>113835014</v>
      </c>
      <c r="CC21" s="11" t="n">
        <v>-18633678</v>
      </c>
      <c r="CD21" s="11" t="n">
        <v>36351864</v>
      </c>
      <c r="CE21" s="11" t="n">
        <v>-45525558</v>
      </c>
      <c r="CF21" s="11" t="n">
        <v>-254954684</v>
      </c>
      <c r="CG21" s="11" t="n">
        <v>563180734</v>
      </c>
      <c r="CH21" s="11" t="n">
        <v>-475789868</v>
      </c>
      <c r="CI21" s="11" t="n">
        <v>400873070</v>
      </c>
      <c r="CJ21" s="11" t="n">
        <v>-26919892</v>
      </c>
      <c r="CK21" s="11" t="n">
        <v>556904968</v>
      </c>
      <c r="CL21" s="11" t="n">
        <v>-329995086</v>
      </c>
      <c r="CM21" s="11" t="n">
        <v>-207334552</v>
      </c>
      <c r="CN21" s="11" t="n">
        <v>-3097646578</v>
      </c>
      <c r="CO21" s="11" t="n">
        <v>2459752542</v>
      </c>
      <c r="CP21" s="11" t="n">
        <v>-5025794254</v>
      </c>
      <c r="CQ21" s="11" t="n">
        <v>-4797312208</v>
      </c>
      <c r="CR21" s="11" t="n">
        <v>4138163972</v>
      </c>
      <c r="CS21" s="11" t="n">
        <v>-2212456702</v>
      </c>
      <c r="CT21" s="11" t="n">
        <v>-1279971336</v>
      </c>
      <c r="CU21" s="11" t="n">
        <v>-4957139018</v>
      </c>
      <c r="CV21" s="11" t="n">
        <v>-5392368488</v>
      </c>
      <c r="CW21" s="11" t="n">
        <v>1349725624</v>
      </c>
      <c r="CX21" s="11" t="n">
        <v>-37916446</v>
      </c>
      <c r="CY21" s="11" t="n">
        <v>711859184</v>
      </c>
      <c r="CZ21" s="11" t="n">
        <v>-644474448</v>
      </c>
      <c r="DA21" s="11" t="n">
        <v>154996234</v>
      </c>
      <c r="DB21" s="11" t="n">
        <v>4871080</v>
      </c>
      <c r="DC21" s="11" t="n">
        <v>12066018</v>
      </c>
      <c r="DD21" s="11" t="n">
        <v>-30019156</v>
      </c>
      <c r="DE21" s="11" t="n">
        <v>-309327312</v>
      </c>
      <c r="DF21" s="11" t="n">
        <v>583504344</v>
      </c>
      <c r="DG21" s="11" t="n">
        <v>-460918506</v>
      </c>
      <c r="DH21" s="11" t="n">
        <v>-5268059266</v>
      </c>
      <c r="DI21" s="11" t="n">
        <v>4504652338</v>
      </c>
      <c r="DJ21" s="11" t="n">
        <v>-1651446886</v>
      </c>
      <c r="DK21" s="11" t="n">
        <v>4970177056</v>
      </c>
      <c r="DL21" s="11" t="n">
        <v>9469987930</v>
      </c>
      <c r="DM21" s="11" t="n">
        <v>-9655735466</v>
      </c>
      <c r="DN21" s="11" t="n">
        <v>-2255143318</v>
      </c>
      <c r="DO21" s="11" t="n">
        <v>4382979956</v>
      </c>
      <c r="DP21" s="11" t="n">
        <v>-3040882930</v>
      </c>
      <c r="DQ21" s="11" t="n">
        <v>-8189043486</v>
      </c>
      <c r="DR21" s="11" t="n">
        <v>3719760</v>
      </c>
      <c r="DS21" s="11" t="n">
        <v>27804</v>
      </c>
      <c r="DT21" s="11" t="n">
        <v>-7807124</v>
      </c>
      <c r="DU21" s="11" t="n">
        <v>153898</v>
      </c>
      <c r="DV21" s="11" t="n">
        <v>-6012378</v>
      </c>
      <c r="DW21" s="11" t="n">
        <v>-532080</v>
      </c>
      <c r="DX21" s="11" t="n">
        <v>-132964</v>
      </c>
      <c r="DY21" s="11" t="n">
        <v>-2194560</v>
      </c>
      <c r="DZ21" s="11" t="n">
        <v>-261585040</v>
      </c>
      <c r="EA21" s="11" t="n">
        <v>-2770120</v>
      </c>
      <c r="EB21" s="11" t="n">
        <v>-373116120</v>
      </c>
      <c r="EC21" s="11" t="n">
        <v>168608400</v>
      </c>
      <c r="ED21" s="11" t="n">
        <v>23019760</v>
      </c>
      <c r="EE21" s="11" t="n">
        <v>-6561260</v>
      </c>
      <c r="EF21" s="11" t="n">
        <v>70090</v>
      </c>
      <c r="EG21" s="11" t="n">
        <v>-6336066</v>
      </c>
      <c r="EH21" s="11" t="n">
        <v>946380</v>
      </c>
      <c r="EI21" s="11" t="n">
        <v>93620</v>
      </c>
      <c r="EJ21" s="11" t="n">
        <v>16636580</v>
      </c>
      <c r="EK21" s="11" t="n">
        <v>360296276</v>
      </c>
      <c r="EL21" s="11" t="n">
        <v>-391296980</v>
      </c>
      <c r="EM21" s="11" t="n">
        <v>-57664880</v>
      </c>
      <c r="EN21" s="11" t="n">
        <v>-19914412</v>
      </c>
      <c r="EO21" s="11" t="n">
        <v>6579610</v>
      </c>
      <c r="EP21" s="11" t="n">
        <v>853380</v>
      </c>
      <c r="EQ21" s="11" t="n">
        <v>-325898730</v>
      </c>
      <c r="ER21" s="11" t="n">
        <v>-50544796</v>
      </c>
      <c r="ES21" s="11" t="n">
        <v>2734180</v>
      </c>
      <c r="ET21" s="11" t="n">
        <v>-1794</v>
      </c>
      <c r="EU21" s="11" t="n">
        <v>4411334</v>
      </c>
      <c r="EV21" s="11" t="n">
        <v>69137</v>
      </c>
      <c r="EW21" s="11" t="n">
        <v>8741343</v>
      </c>
      <c r="EX21" s="11" t="n">
        <v>-1497240</v>
      </c>
      <c r="EY21" s="11" t="n">
        <v>7351774</v>
      </c>
      <c r="EZ21" s="11" t="n">
        <v>29208</v>
      </c>
      <c r="FA21" s="11" t="n">
        <v>591</v>
      </c>
      <c r="FB21" s="11" t="n">
        <v>62439</v>
      </c>
      <c r="FC21" s="11" t="n">
        <v>-11448</v>
      </c>
      <c r="FD21" s="11" t="n">
        <v>54888</v>
      </c>
      <c r="FE21" s="11" t="n">
        <v>-327617</v>
      </c>
      <c r="FF21" s="11" t="n">
        <v>-11216353</v>
      </c>
      <c r="FG21" s="11" t="n">
        <v>3773448</v>
      </c>
      <c r="FH21" s="11" t="n">
        <v>-15272400</v>
      </c>
      <c r="FI21" s="11" t="n">
        <v>473405</v>
      </c>
      <c r="FJ21" s="11" t="n">
        <v>-52056</v>
      </c>
      <c r="FK21" s="11" t="n">
        <v>306637</v>
      </c>
      <c r="FL21" s="11" t="n">
        <v>3670416</v>
      </c>
      <c r="FM21" s="11" t="n">
        <v>-11570467</v>
      </c>
      <c r="FN21" s="11" t="n">
        <v>-1105128</v>
      </c>
      <c r="FO21" s="11" t="n">
        <v>-2728730</v>
      </c>
      <c r="FP21" s="11" t="n">
        <v>-42125</v>
      </c>
      <c r="FQ21" s="11" t="n">
        <v>-5337111</v>
      </c>
      <c r="FR21" s="11" t="n">
        <v>964650</v>
      </c>
      <c r="FS21" s="11" t="n">
        <v>-4326250</v>
      </c>
      <c r="FT21" s="11" t="n">
        <v>-1576790</v>
      </c>
      <c r="FU21" s="11" t="n">
        <v>-172232814</v>
      </c>
      <c r="FV21" s="11" t="n">
        <v>-94665350</v>
      </c>
      <c r="FW21" s="11" t="n">
        <v>-544299080</v>
      </c>
      <c r="FX21" s="11" t="n">
        <v>425178</v>
      </c>
      <c r="FY21" s="11" t="n">
        <v>-2018825</v>
      </c>
      <c r="FZ21" s="11" t="n">
        <v>-5902750</v>
      </c>
      <c r="GA21" s="11" t="n">
        <v>-246042615</v>
      </c>
      <c r="GB21" s="11" t="n">
        <v>-791526606</v>
      </c>
      <c r="GC21" s="11" t="n">
        <v>342505150</v>
      </c>
      <c r="GD21" s="11" t="n">
        <v>-213095</v>
      </c>
      <c r="GE21" s="11" t="n">
        <v>-8078503</v>
      </c>
      <c r="GF21" s="11" t="n">
        <v>1707360</v>
      </c>
      <c r="GG21" s="11" t="n">
        <v>-13050960</v>
      </c>
      <c r="GH21" s="11" t="n">
        <v>292079</v>
      </c>
      <c r="GI21" s="11" t="n">
        <v>-48975</v>
      </c>
      <c r="GJ21" s="11" t="n">
        <v>136375</v>
      </c>
      <c r="GK21" s="11" t="n">
        <v>483537</v>
      </c>
      <c r="GL21" s="11" t="n">
        <v>-12718297</v>
      </c>
      <c r="GM21" s="11" t="n">
        <v>1906800</v>
      </c>
      <c r="GN21" s="11" t="n">
        <v>8782052</v>
      </c>
      <c r="GO21" s="11" t="n">
        <v>8379305</v>
      </c>
      <c r="GP21" s="11" t="n">
        <v>34964540</v>
      </c>
      <c r="GQ21" s="11" t="n">
        <v>388025833</v>
      </c>
      <c r="GR21" s="11" t="n">
        <v>787662460</v>
      </c>
      <c r="GS21" s="11" t="n">
        <v>-793331760</v>
      </c>
      <c r="GT21" s="11" t="n">
        <v>-13503461</v>
      </c>
      <c r="GU21" s="11" t="n">
        <v>-42303928</v>
      </c>
      <c r="GV21" s="11" t="n">
        <v>13398325</v>
      </c>
      <c r="GW21" s="11" t="n">
        <v>-658029307</v>
      </c>
      <c r="GX21" s="11" t="n">
        <v>-607506</v>
      </c>
      <c r="GY21" s="11" t="n">
        <v>85991766</v>
      </c>
      <c r="GZ21" s="11" t="n">
        <v>-8732607</v>
      </c>
      <c r="HA21" s="11" t="n">
        <v>135103407</v>
      </c>
      <c r="HB21" s="11" t="n">
        <v>-68529720</v>
      </c>
      <c r="HC21" s="11" t="n">
        <v>-7540194</v>
      </c>
      <c r="HD21" s="11" t="n">
        <v>-632288</v>
      </c>
      <c r="HE21" s="11" t="n">
        <v>-40139</v>
      </c>
      <c r="HF21" s="11" t="n">
        <v>27921</v>
      </c>
      <c r="HG21" s="11" t="n">
        <v>-599136</v>
      </c>
      <c r="HH21" s="11" t="n">
        <v>-78076</v>
      </c>
      <c r="HI21" s="11" t="n">
        <v>14770465</v>
      </c>
      <c r="HJ21" s="11" t="n">
        <v>-144566867</v>
      </c>
      <c r="HK21" s="11" t="n">
        <v>156132256</v>
      </c>
      <c r="HL21" s="11" t="n">
        <v>18899348</v>
      </c>
      <c r="HM21" s="11" t="n">
        <v>-8525171</v>
      </c>
      <c r="HN21" s="11" t="n">
        <v>-4084412</v>
      </c>
      <c r="HO21" s="11" t="n">
        <v>-624111</v>
      </c>
      <c r="HP21" s="11" t="n">
        <v>130092372</v>
      </c>
      <c r="HQ21" s="11" t="n">
        <v>17016793</v>
      </c>
      <c r="HR21" s="11" t="n">
        <v>-1371056</v>
      </c>
      <c r="HS21" s="11" t="n">
        <v>-93454570</v>
      </c>
      <c r="HT21" s="11" t="n">
        <v>4699595</v>
      </c>
      <c r="HU21" s="11" t="n">
        <v>-140644239</v>
      </c>
      <c r="HV21" s="11" t="n">
        <v>67967610</v>
      </c>
      <c r="HW21" s="11" t="n">
        <v>8208070</v>
      </c>
      <c r="HX21" s="11" t="n">
        <v>678142370</v>
      </c>
      <c r="HY21" s="11" t="n">
        <v>-875356486</v>
      </c>
      <c r="HZ21" s="11" t="n">
        <v>921407690</v>
      </c>
      <c r="IA21" s="11" t="n">
        <v>-1910840</v>
      </c>
      <c r="IB21" s="11" t="n">
        <v>-976549318</v>
      </c>
      <c r="IC21" s="11" t="n">
        <v>446863895</v>
      </c>
      <c r="ID21" s="11" t="n">
        <v>59657010</v>
      </c>
      <c r="IE21" s="11" t="n">
        <v>750041385</v>
      </c>
      <c r="IF21" s="11" t="n">
        <v>-79757854</v>
      </c>
      <c r="IG21" s="11" t="n">
        <v>82316510</v>
      </c>
      <c r="IH21" s="11" t="n">
        <v>11066015</v>
      </c>
      <c r="II21" s="11" t="n">
        <v>-150676717</v>
      </c>
      <c r="IJ21" s="11" t="n">
        <v>162907200</v>
      </c>
      <c r="IK21" s="11" t="n">
        <v>20553580</v>
      </c>
      <c r="IL21" s="11" t="n">
        <v>-9076621</v>
      </c>
      <c r="IM21" s="11" t="n">
        <v>-144105</v>
      </c>
      <c r="IN21" s="11" t="n">
        <v>-61665</v>
      </c>
      <c r="IO21" s="11" t="n">
        <v>135582699</v>
      </c>
      <c r="IP21" s="11" t="n">
        <v>17698199</v>
      </c>
      <c r="IQ21" s="11" t="n">
        <v>-640140</v>
      </c>
      <c r="IR21" s="11" t="n">
        <v>989716800</v>
      </c>
      <c r="IS21" s="11" t="n">
        <v>-1073012945</v>
      </c>
      <c r="IT21" s="11" t="n">
        <v>-149370960</v>
      </c>
      <c r="IU21" s="11" t="n">
        <v>40310371</v>
      </c>
      <c r="IV21" s="11" t="n">
        <v>195599088</v>
      </c>
      <c r="IW21" s="11" t="n">
        <v>-205977260</v>
      </c>
      <c r="IX21" s="11" t="n">
        <v>893000323</v>
      </c>
      <c r="IY21" s="11" t="n">
        <v>128032944</v>
      </c>
      <c r="IZ21" s="11" t="n">
        <v>-4034175</v>
      </c>
      <c r="JA21" s="11" t="n">
        <v>-171270199</v>
      </c>
      <c r="JB21" s="11" t="n">
        <v>678980</v>
      </c>
      <c r="JC21" s="11" t="n">
        <v>15503</v>
      </c>
      <c r="JD21" s="11" t="n">
        <v>1362465</v>
      </c>
      <c r="JE21" s="11" t="n">
        <v>-211476</v>
      </c>
      <c r="JF21" s="11" t="n">
        <v>1204318</v>
      </c>
      <c r="JG21" s="11" t="n">
        <v>-11954443</v>
      </c>
      <c r="JH21" s="11" t="n">
        <v>-41856805</v>
      </c>
      <c r="JI21" s="11" t="n">
        <v>-46658164</v>
      </c>
      <c r="JJ21" s="11" t="n">
        <v>-178897118</v>
      </c>
      <c r="JK21" s="11" t="n">
        <v>23032496</v>
      </c>
      <c r="JL21" s="11" t="n">
        <v>-4788682</v>
      </c>
      <c r="JM21" s="11" t="n">
        <v>17119074</v>
      </c>
      <c r="JN21" s="11" t="n">
        <v>-106662678</v>
      </c>
      <c r="JO21" s="11" t="n">
        <v>-284739106</v>
      </c>
      <c r="JP21" s="11" t="n">
        <v>138477884</v>
      </c>
      <c r="JQ21" s="11" t="n">
        <v>-28726</v>
      </c>
      <c r="JR21" s="11" t="n">
        <v>1449250</v>
      </c>
      <c r="JS21" s="11" t="n">
        <v>-889728</v>
      </c>
      <c r="JT21" s="11" t="n">
        <v>1166184</v>
      </c>
      <c r="JU21" s="11" t="n">
        <v>90733</v>
      </c>
      <c r="JV21" s="11" t="n">
        <v>-29262</v>
      </c>
      <c r="JW21" s="11" t="n">
        <v>77579</v>
      </c>
      <c r="JX21" s="11" t="n">
        <v>-1333974</v>
      </c>
      <c r="JY21" s="11" t="n">
        <v>-230453</v>
      </c>
      <c r="JZ21" s="11" t="n">
        <v>1214904</v>
      </c>
      <c r="KA21" s="11" t="n">
        <v>-27287041</v>
      </c>
      <c r="KB21" s="11" t="n">
        <v>13690978</v>
      </c>
      <c r="KC21" s="11" t="n">
        <v>-28101091</v>
      </c>
      <c r="KD21" s="11" t="n">
        <v>154438298</v>
      </c>
      <c r="KE21" s="11" t="n">
        <v>309955981</v>
      </c>
      <c r="KF21" s="11" t="n">
        <v>-314562696</v>
      </c>
      <c r="KG21" s="11" t="n">
        <v>-15447682</v>
      </c>
      <c r="KH21" s="11" t="n">
        <v>15066314</v>
      </c>
      <c r="KI21" s="11" t="n">
        <v>8349170</v>
      </c>
      <c r="KJ21" s="11" t="n">
        <v>-260743454</v>
      </c>
      <c r="KK21" s="11" t="n">
        <v>7637385</v>
      </c>
      <c r="KL21" s="11" t="n">
        <v>52401055</v>
      </c>
      <c r="KM21" s="11" t="n">
        <v>43432080</v>
      </c>
      <c r="KN21" s="11" t="n">
        <v>194437810</v>
      </c>
      <c r="KO21" s="11" t="n">
        <v>-14128982</v>
      </c>
      <c r="KP21" s="11" t="n">
        <v>3370425</v>
      </c>
      <c r="KQ21" s="11" t="n">
        <v>-9107000</v>
      </c>
      <c r="KR21" s="11" t="n">
        <v>103473231</v>
      </c>
      <c r="KS21" s="11" t="n">
        <v>297221092</v>
      </c>
      <c r="KT21" s="11" t="n">
        <v>-137596050</v>
      </c>
      <c r="KU21" s="11" t="n">
        <v>-451778978</v>
      </c>
      <c r="KV21" s="11" t="n">
        <v>-239859735</v>
      </c>
      <c r="KW21" s="11" t="n">
        <v>-1411071830</v>
      </c>
      <c r="KX21" s="11" t="n">
        <v>923457119</v>
      </c>
      <c r="KY21" s="11" t="n">
        <v>1820159978</v>
      </c>
      <c r="KZ21" s="11" t="n">
        <v>-1917931730</v>
      </c>
      <c r="LA21" s="11" t="n">
        <v>643107692</v>
      </c>
      <c r="LB21" s="11" t="n">
        <v>2071737556</v>
      </c>
      <c r="LC21" s="11" t="n">
        <v>-908729150</v>
      </c>
      <c r="LD21" s="11" t="n">
        <v>-1643728346</v>
      </c>
      <c r="LE21" s="11" t="n">
        <v>-18518591</v>
      </c>
      <c r="LF21" s="11" t="n">
        <v>8170440</v>
      </c>
      <c r="LG21" s="11" t="n">
        <v>-21343805</v>
      </c>
      <c r="LH21" s="11" t="n">
        <v>161369448</v>
      </c>
      <c r="LI21" s="11" t="n">
        <v>325016531</v>
      </c>
      <c r="LJ21" s="11" t="n">
        <v>-329386080</v>
      </c>
      <c r="LK21" s="11" t="n">
        <v>-6942753</v>
      </c>
      <c r="LL21" s="11" t="n">
        <v>17403526</v>
      </c>
      <c r="LM21" s="11" t="n">
        <v>323475</v>
      </c>
      <c r="LN21" s="11" t="n">
        <v>-273503901</v>
      </c>
      <c r="LO21" s="11" t="n">
        <v>-1064906033</v>
      </c>
      <c r="LP21" s="11" t="n">
        <v>-2158903824</v>
      </c>
      <c r="LQ21" s="11" t="n">
        <v>2179881875</v>
      </c>
      <c r="LR21" s="11" t="n">
        <v>122528419</v>
      </c>
      <c r="LS21" s="11" t="n">
        <v>-1810173130</v>
      </c>
    </row>
    <row r="22" customFormat="false" ht="15" hidden="false" customHeight="true" outlineLevel="0" collapsed="false">
      <c r="A22" s="7" t="s">
        <v>88</v>
      </c>
      <c r="B22" s="11" t="n">
        <v>-20183590</v>
      </c>
      <c r="C22" s="11" t="n">
        <v>1371716200</v>
      </c>
      <c r="D22" s="11" t="n">
        <v>-5169706</v>
      </c>
      <c r="E22" s="11" t="n">
        <v>-2245694704</v>
      </c>
      <c r="F22" s="11" t="n">
        <v>30871978</v>
      </c>
      <c r="G22" s="11" t="n">
        <v>-2126883598</v>
      </c>
      <c r="H22" s="11" t="n">
        <v>788260870</v>
      </c>
      <c r="I22" s="11" t="n">
        <v>92788616</v>
      </c>
      <c r="J22" s="11" t="n">
        <v>-44339275</v>
      </c>
      <c r="K22" s="11" t="n">
        <v>-178203</v>
      </c>
      <c r="L22" s="11" t="n">
        <v>21837593</v>
      </c>
      <c r="M22" s="11" t="n">
        <v>-956351</v>
      </c>
      <c r="N22" s="11" t="n">
        <v>21058226</v>
      </c>
      <c r="O22" s="11" t="n">
        <v>-5008120</v>
      </c>
      <c r="P22" s="11" t="n">
        <v>40691843</v>
      </c>
      <c r="Q22" s="11" t="n">
        <v>23467825</v>
      </c>
      <c r="R22" s="11" t="n">
        <v>3449212700</v>
      </c>
      <c r="S22" s="11" t="n">
        <v>-2824025</v>
      </c>
      <c r="T22" s="11" t="n">
        <v>3241175975</v>
      </c>
      <c r="U22" s="11" t="n">
        <v>-1391288475</v>
      </c>
      <c r="V22" s="11" t="n">
        <v>-2969335000</v>
      </c>
      <c r="W22" s="11" t="n">
        <v>25420823</v>
      </c>
      <c r="X22" s="11" t="n">
        <v>-517526</v>
      </c>
      <c r="Y22" s="11" t="n">
        <v>24172205</v>
      </c>
      <c r="Z22" s="11" t="n">
        <v>-8242387</v>
      </c>
      <c r="AA22" s="11" t="n">
        <v>9603329</v>
      </c>
      <c r="AB22" s="11" t="n">
        <v>-73004985</v>
      </c>
      <c r="AC22" s="11" t="n">
        <v>41832411</v>
      </c>
      <c r="AD22" s="11" t="n">
        <v>295636777</v>
      </c>
      <c r="AE22" s="11" t="n">
        <v>4627904964</v>
      </c>
      <c r="AF22" s="11" t="n">
        <v>68567493</v>
      </c>
      <c r="AG22" s="11" t="n">
        <v>-29689639</v>
      </c>
      <c r="AH22" s="11" t="n">
        <v>-66637113</v>
      </c>
      <c r="AI22" s="11" t="n">
        <v>294679354</v>
      </c>
      <c r="AJ22" s="11" t="n">
        <v>4384788687</v>
      </c>
      <c r="AK22" s="11" t="n">
        <v>-1612224787</v>
      </c>
      <c r="AL22" s="11" t="n">
        <v>-528272635</v>
      </c>
      <c r="AM22" s="11" t="n">
        <v>-5811793</v>
      </c>
      <c r="AN22" s="11" t="n">
        <v>738391103</v>
      </c>
      <c r="AO22" s="11" t="n">
        <v>-64816081</v>
      </c>
      <c r="AP22" s="11" t="n">
        <v>724648036</v>
      </c>
      <c r="AQ22" s="11" t="n">
        <v>-324657700</v>
      </c>
      <c r="AR22" s="11" t="n">
        <v>-28926997</v>
      </c>
      <c r="AS22" s="11" t="n">
        <v>530289449</v>
      </c>
      <c r="AT22" s="11" t="n">
        <v>8594904116</v>
      </c>
      <c r="AU22" s="11" t="n">
        <v>3597003663</v>
      </c>
      <c r="AV22" s="11" t="n">
        <v>6419222367</v>
      </c>
      <c r="AW22" s="11" t="n">
        <v>1432925445</v>
      </c>
      <c r="AX22" s="11" t="n">
        <v>-462655864</v>
      </c>
      <c r="AY22" s="11" t="n">
        <v>835766961</v>
      </c>
      <c r="AZ22" s="11" t="n">
        <v>-25491086</v>
      </c>
      <c r="BA22" s="11" t="n">
        <v>798035657</v>
      </c>
      <c r="BB22" s="11" t="n">
        <v>-310132829</v>
      </c>
      <c r="BC22" s="11" t="n">
        <v>-34127343</v>
      </c>
      <c r="BD22" s="11" t="n">
        <v>-6082244831</v>
      </c>
      <c r="BE22" s="11" t="n">
        <v>2817453725</v>
      </c>
      <c r="BF22" s="11" t="n">
        <v>-7284990641</v>
      </c>
      <c r="BG22" s="11" t="n">
        <v>176038284</v>
      </c>
      <c r="BH22" s="11" t="n">
        <v>5721724497</v>
      </c>
      <c r="BI22" s="11" t="n">
        <v>-2034779493</v>
      </c>
      <c r="BJ22" s="11" t="n">
        <v>-253728937</v>
      </c>
      <c r="BK22" s="11" t="n">
        <v>-5910615792</v>
      </c>
      <c r="BL22" s="11" t="n">
        <v>283137583</v>
      </c>
      <c r="BM22" s="11" t="n">
        <v>-362795659</v>
      </c>
      <c r="BN22" s="11" t="n">
        <v>-8103163</v>
      </c>
      <c r="BO22" s="11" t="n">
        <v>1050532803</v>
      </c>
      <c r="BP22" s="11" t="n">
        <v>-117356921</v>
      </c>
      <c r="BQ22" s="11" t="n">
        <v>1040740721</v>
      </c>
      <c r="BR22" s="11" t="n">
        <v>-582128070</v>
      </c>
      <c r="BS22" s="11" t="n">
        <v>-1128589572</v>
      </c>
      <c r="BT22" s="11" t="n">
        <v>231274</v>
      </c>
      <c r="BU22" s="11" t="n">
        <v>-296890</v>
      </c>
      <c r="BV22" s="11" t="n">
        <v>334351</v>
      </c>
      <c r="BW22" s="11" t="n">
        <v>-1424366</v>
      </c>
      <c r="BX22" s="11" t="n">
        <v>-11972471</v>
      </c>
      <c r="BY22" s="11" t="n">
        <v>35140732</v>
      </c>
      <c r="BZ22" s="11" t="n">
        <v>-13642873</v>
      </c>
      <c r="CA22" s="11" t="n">
        <v>168046986</v>
      </c>
      <c r="CB22" s="11" t="n">
        <v>1519957095</v>
      </c>
      <c r="CC22" s="11" t="n">
        <v>-33289113</v>
      </c>
      <c r="CD22" s="11" t="n">
        <v>699578</v>
      </c>
      <c r="CE22" s="11" t="n">
        <v>-132045397</v>
      </c>
      <c r="CF22" s="11" t="n">
        <v>158920732</v>
      </c>
      <c r="CG22" s="11" t="n">
        <v>1491132913</v>
      </c>
      <c r="CH22" s="11" t="n">
        <v>-661715286</v>
      </c>
      <c r="CI22" s="11" t="n">
        <v>-1186380533</v>
      </c>
      <c r="CJ22" s="11" t="n">
        <v>62630596</v>
      </c>
      <c r="CK22" s="11" t="n">
        <v>-1143178330</v>
      </c>
      <c r="CL22" s="11" t="n">
        <v>562370877</v>
      </c>
      <c r="CM22" s="11" t="n">
        <v>1139994916</v>
      </c>
      <c r="CN22" s="11" t="n">
        <v>9062445235</v>
      </c>
      <c r="CO22" s="11" t="n">
        <v>-4167285781</v>
      </c>
      <c r="CP22" s="11" t="n">
        <v>12320664933</v>
      </c>
      <c r="CQ22" s="11" t="n">
        <v>17441910456</v>
      </c>
      <c r="CR22" s="11" t="n">
        <v>-8512438578</v>
      </c>
      <c r="CS22" s="11" t="n">
        <v>3645377319</v>
      </c>
      <c r="CT22" s="11" t="n">
        <v>7787336348</v>
      </c>
      <c r="CU22" s="11" t="n">
        <v>9896619741</v>
      </c>
      <c r="CV22" s="11" t="n">
        <v>12802409548</v>
      </c>
      <c r="CW22" s="11" t="n">
        <v>3571091052</v>
      </c>
      <c r="CX22" s="11" t="n">
        <v>41679982</v>
      </c>
      <c r="CY22" s="11" t="n">
        <v>-16324501</v>
      </c>
      <c r="CZ22" s="11" t="n">
        <v>192490060</v>
      </c>
      <c r="DA22" s="11" t="n">
        <v>1720347393</v>
      </c>
      <c r="DB22" s="11" t="n">
        <v>-39300408</v>
      </c>
      <c r="DC22" s="11" t="n">
        <v>9595438</v>
      </c>
      <c r="DD22" s="11" t="n">
        <v>-50769052</v>
      </c>
      <c r="DE22" s="11" t="n">
        <v>177742331</v>
      </c>
      <c r="DF22" s="11" t="n">
        <v>1642014478</v>
      </c>
      <c r="DG22" s="11" t="n">
        <v>-630519097</v>
      </c>
      <c r="DH22" s="11" t="n">
        <v>-21706779</v>
      </c>
      <c r="DI22" s="11" t="n">
        <v>-1037530118</v>
      </c>
      <c r="DJ22" s="11" t="n">
        <v>-12528505911</v>
      </c>
      <c r="DK22" s="11" t="n">
        <v>506610119</v>
      </c>
      <c r="DL22" s="11" t="n">
        <v>5802900969</v>
      </c>
      <c r="DM22" s="11" t="n">
        <v>-15036009873</v>
      </c>
      <c r="DN22" s="11" t="n">
        <v>983293203</v>
      </c>
      <c r="DO22" s="11" t="n">
        <v>11786793990</v>
      </c>
      <c r="DP22" s="11" t="n">
        <v>-4148056547</v>
      </c>
      <c r="DQ22" s="11" t="n">
        <v>-12224569357</v>
      </c>
      <c r="DR22" s="11" t="n">
        <v>4578940</v>
      </c>
      <c r="DS22" s="11" t="n">
        <v>37500</v>
      </c>
      <c r="DT22" s="11" t="n">
        <v>-11522240</v>
      </c>
      <c r="DU22" s="11" t="n">
        <v>199550</v>
      </c>
      <c r="DV22" s="11" t="n">
        <v>-9370830</v>
      </c>
      <c r="DW22" s="11" t="n">
        <v>-719800</v>
      </c>
      <c r="DX22" s="11" t="n">
        <v>-179430</v>
      </c>
      <c r="DY22" s="11" t="n">
        <v>-3721396</v>
      </c>
      <c r="DZ22" s="11" t="n">
        <v>273605536</v>
      </c>
      <c r="EA22" s="11" t="n">
        <v>-6558052</v>
      </c>
      <c r="EB22" s="11" t="n">
        <v>154345532</v>
      </c>
      <c r="EC22" s="11" t="n">
        <v>227747420</v>
      </c>
      <c r="ED22" s="11" t="n">
        <v>33244856</v>
      </c>
      <c r="EE22" s="11" t="n">
        <v>-7123616</v>
      </c>
      <c r="EF22" s="11" t="n">
        <v>108470</v>
      </c>
      <c r="EG22" s="11" t="n">
        <v>-6351822</v>
      </c>
      <c r="EH22" s="11" t="n">
        <v>1280180</v>
      </c>
      <c r="EI22" s="11" t="n">
        <v>126438</v>
      </c>
      <c r="EJ22" s="11" t="n">
        <v>4578672</v>
      </c>
      <c r="EK22" s="11" t="n">
        <v>171547280</v>
      </c>
      <c r="EL22" s="11" t="n">
        <v>-530083200</v>
      </c>
      <c r="EM22" s="11" t="n">
        <v>-72934384</v>
      </c>
      <c r="EN22" s="11" t="n">
        <v>-6694724</v>
      </c>
      <c r="EO22" s="11" t="n">
        <v>8894310</v>
      </c>
      <c r="EP22" s="11" t="n">
        <v>1191826</v>
      </c>
      <c r="EQ22" s="11" t="n">
        <v>-441823750</v>
      </c>
      <c r="ER22" s="11" t="n">
        <v>-61987638</v>
      </c>
      <c r="ES22" s="11" t="n">
        <v>3698470</v>
      </c>
      <c r="ET22" s="11" t="n">
        <v>41952</v>
      </c>
      <c r="EU22" s="11" t="n">
        <v>-20357862</v>
      </c>
      <c r="EV22" s="11" t="n">
        <v>221409</v>
      </c>
      <c r="EW22" s="11" t="n">
        <v>-15808459</v>
      </c>
      <c r="EX22" s="11" t="n">
        <v>-2717420</v>
      </c>
      <c r="EY22" s="11" t="n">
        <v>8837363</v>
      </c>
      <c r="EZ22" s="11" t="n">
        <v>-61158</v>
      </c>
      <c r="FA22" s="11" t="n">
        <v>-15</v>
      </c>
      <c r="FB22" s="11" t="n">
        <v>-43611</v>
      </c>
      <c r="FC22" s="11" t="n">
        <v>-15660</v>
      </c>
      <c r="FD22" s="11" t="n">
        <v>74019</v>
      </c>
      <c r="FE22" s="11" t="n">
        <v>330051</v>
      </c>
      <c r="FF22" s="11" t="n">
        <v>-1882795</v>
      </c>
      <c r="FG22" s="11" t="n">
        <v>3637780</v>
      </c>
      <c r="FH22" s="11" t="n">
        <v>-23035687</v>
      </c>
      <c r="FI22" s="11" t="n">
        <v>-235817</v>
      </c>
      <c r="FJ22" s="11" t="n">
        <v>-83620</v>
      </c>
      <c r="FK22" s="11" t="n">
        <v>393808</v>
      </c>
      <c r="FL22" s="11" t="n">
        <v>3076160</v>
      </c>
      <c r="FM22" s="11" t="n">
        <v>-18705189</v>
      </c>
      <c r="FN22" s="11" t="n">
        <v>-1495700</v>
      </c>
      <c r="FO22" s="11" t="n">
        <v>14038482</v>
      </c>
      <c r="FP22" s="11" t="n">
        <v>-119859</v>
      </c>
      <c r="FQ22" s="11" t="n">
        <v>11433745</v>
      </c>
      <c r="FR22" s="11" t="n">
        <v>121892</v>
      </c>
      <c r="FS22" s="11" t="n">
        <v>-7486889</v>
      </c>
      <c r="FT22" s="11" t="n">
        <v>-15927090</v>
      </c>
      <c r="FU22" s="11" t="n">
        <v>-258386626</v>
      </c>
      <c r="FV22" s="11" t="n">
        <v>850185718</v>
      </c>
      <c r="FW22" s="11" t="n">
        <v>675865076</v>
      </c>
      <c r="FX22" s="11" t="n">
        <v>15178012</v>
      </c>
      <c r="FY22" s="11" t="n">
        <v>-7120501</v>
      </c>
      <c r="FZ22" s="11" t="n">
        <v>-14264567</v>
      </c>
      <c r="GA22" s="11" t="n">
        <v>694683511</v>
      </c>
      <c r="GB22" s="11" t="n">
        <v>412662633</v>
      </c>
      <c r="GC22" s="11" t="n">
        <v>459282467</v>
      </c>
      <c r="GD22" s="11" t="n">
        <v>179751</v>
      </c>
      <c r="GE22" s="11" t="n">
        <v>-2074579</v>
      </c>
      <c r="GF22" s="11" t="n">
        <v>5062642</v>
      </c>
      <c r="GG22" s="11" t="n">
        <v>-13854673</v>
      </c>
      <c r="GH22" s="11" t="n">
        <v>-128687</v>
      </c>
      <c r="GI22" s="11" t="n">
        <v>-44785</v>
      </c>
      <c r="GJ22" s="11" t="n">
        <v>214153</v>
      </c>
      <c r="GK22" s="11" t="n">
        <v>4141319</v>
      </c>
      <c r="GL22" s="11" t="n">
        <v>-12390438</v>
      </c>
      <c r="GM22" s="11" t="n">
        <v>2579671</v>
      </c>
      <c r="GN22" s="11" t="n">
        <v>5662098</v>
      </c>
      <c r="GO22" s="11" t="n">
        <v>-16629639</v>
      </c>
      <c r="GP22" s="11" t="n">
        <v>7064667</v>
      </c>
      <c r="GQ22" s="11" t="n">
        <v>32457815</v>
      </c>
      <c r="GR22" s="11" t="n">
        <v>354881511</v>
      </c>
      <c r="GS22" s="11" t="n">
        <v>-1082788583</v>
      </c>
      <c r="GT22" s="11" t="n">
        <v>13316173</v>
      </c>
      <c r="GU22" s="11" t="n">
        <v>-11803473</v>
      </c>
      <c r="GV22" s="11" t="n">
        <v>18052172</v>
      </c>
      <c r="GW22" s="11" t="n">
        <v>-902276601</v>
      </c>
      <c r="GX22" s="11" t="n">
        <v>-336988</v>
      </c>
      <c r="GY22" s="11" t="n">
        <v>-134061162</v>
      </c>
      <c r="GZ22" s="11" t="n">
        <v>-9481571</v>
      </c>
      <c r="HA22" s="11" t="n">
        <v>-80869319</v>
      </c>
      <c r="HB22" s="11" t="n">
        <v>-92492900</v>
      </c>
      <c r="HC22" s="11" t="n">
        <v>-11258797</v>
      </c>
      <c r="HD22" s="11" t="n">
        <v>-1945898</v>
      </c>
      <c r="HE22" s="11" t="n">
        <v>-62965</v>
      </c>
      <c r="HF22" s="11" t="n">
        <v>-1351941</v>
      </c>
      <c r="HG22" s="11" t="n">
        <v>-810460</v>
      </c>
      <c r="HH22" s="11" t="n">
        <v>-105411</v>
      </c>
      <c r="HI22" s="11" t="n">
        <v>29701381</v>
      </c>
      <c r="HJ22" s="11" t="n">
        <v>-70861085</v>
      </c>
      <c r="HK22" s="11" t="n">
        <v>211670860</v>
      </c>
      <c r="HL22" s="11" t="n">
        <v>23077823</v>
      </c>
      <c r="HM22" s="11" t="n">
        <v>-22928377</v>
      </c>
      <c r="HN22" s="11" t="n">
        <v>-5521320</v>
      </c>
      <c r="HO22" s="11" t="n">
        <v>-862202</v>
      </c>
      <c r="HP22" s="11" t="n">
        <v>176574820</v>
      </c>
      <c r="HQ22" s="11" t="n">
        <v>19872261</v>
      </c>
      <c r="HR22" s="11" t="n">
        <v>-1854560</v>
      </c>
      <c r="HS22" s="11" t="n">
        <v>129090238</v>
      </c>
      <c r="HT22" s="11" t="n">
        <v>7223221</v>
      </c>
      <c r="HU22" s="11" t="n">
        <v>77083201</v>
      </c>
      <c r="HV22" s="11" t="n">
        <v>91931944</v>
      </c>
      <c r="HW22" s="11" t="n">
        <v>11596911</v>
      </c>
      <c r="HX22" s="11" t="n">
        <v>-758557742</v>
      </c>
      <c r="HY22" s="11" t="n">
        <v>-313293470</v>
      </c>
      <c r="HZ22" s="11" t="n">
        <v>1141206106</v>
      </c>
      <c r="IA22" s="11" t="n">
        <v>300588092</v>
      </c>
      <c r="IB22" s="11" t="n">
        <v>435424644</v>
      </c>
      <c r="IC22" s="11" t="n">
        <v>604064823</v>
      </c>
      <c r="ID22" s="11" t="n">
        <v>84964913</v>
      </c>
      <c r="IE22" s="11" t="n">
        <v>904557147</v>
      </c>
      <c r="IF22" s="11" t="n">
        <v>207634049</v>
      </c>
      <c r="IG22" s="11" t="n">
        <v>111543539</v>
      </c>
      <c r="IH22" s="11" t="n">
        <v>17589601</v>
      </c>
      <c r="II22" s="11" t="n">
        <v>-72781045</v>
      </c>
      <c r="IJ22" s="11" t="n">
        <v>220386814</v>
      </c>
      <c r="IK22" s="11" t="n">
        <v>26585145</v>
      </c>
      <c r="IL22" s="11" t="n">
        <v>-14575667</v>
      </c>
      <c r="IM22" s="11" t="n">
        <v>-194775</v>
      </c>
      <c r="IN22" s="11" t="n">
        <v>-92607</v>
      </c>
      <c r="IO22" s="11" t="n">
        <v>183430013</v>
      </c>
      <c r="IP22" s="11" t="n">
        <v>22413030</v>
      </c>
      <c r="IQ22" s="11" t="n">
        <v>-865923</v>
      </c>
      <c r="IR22" s="11" t="n">
        <v>470363470</v>
      </c>
      <c r="IS22" s="11" t="n">
        <v>-1450531713</v>
      </c>
      <c r="IT22" s="11" t="n">
        <v>-197176739</v>
      </c>
      <c r="IU22" s="11" t="n">
        <v>108547505</v>
      </c>
      <c r="IV22" s="11" t="n">
        <v>104951105</v>
      </c>
      <c r="IW22" s="11" t="n">
        <v>-278150561</v>
      </c>
      <c r="IX22" s="11" t="n">
        <v>1207195221</v>
      </c>
      <c r="IY22" s="11" t="n">
        <v>165867403</v>
      </c>
      <c r="IZ22" s="11" t="n">
        <v>-5453466</v>
      </c>
      <c r="JA22" s="11" t="n">
        <v>-231080827</v>
      </c>
      <c r="JB22" s="11" t="n">
        <v>-2726502</v>
      </c>
      <c r="JC22" s="11" t="n">
        <v>-70575</v>
      </c>
      <c r="JD22" s="11" t="n">
        <v>-1904347</v>
      </c>
      <c r="JE22" s="11" t="n">
        <v>-1047404</v>
      </c>
      <c r="JF22" s="11" t="n">
        <v>547235</v>
      </c>
      <c r="JG22" s="11" t="n">
        <v>48637209</v>
      </c>
      <c r="JH22" s="11" t="n">
        <v>-103293327</v>
      </c>
      <c r="JI22" s="11" t="n">
        <v>331661304</v>
      </c>
      <c r="JJ22" s="11" t="n">
        <v>308794653</v>
      </c>
      <c r="JK22" s="11" t="n">
        <v>-36644774</v>
      </c>
      <c r="JL22" s="11" t="n">
        <v>-10099318</v>
      </c>
      <c r="JM22" s="11" t="n">
        <v>17755045</v>
      </c>
      <c r="JN22" s="11" t="n">
        <v>271332298</v>
      </c>
      <c r="JO22" s="11" t="n">
        <v>194948123</v>
      </c>
      <c r="JP22" s="11" t="n">
        <v>185193126</v>
      </c>
      <c r="JQ22" s="11" t="n">
        <v>101910</v>
      </c>
      <c r="JR22" s="11" t="n">
        <v>-58148</v>
      </c>
      <c r="JS22" s="11" t="n">
        <v>509156</v>
      </c>
      <c r="JT22" s="11" t="n">
        <v>4012804</v>
      </c>
      <c r="JU22" s="11" t="n">
        <v>-72685</v>
      </c>
      <c r="JV22" s="11" t="n">
        <v>-25970</v>
      </c>
      <c r="JW22" s="11" t="n">
        <v>124325</v>
      </c>
      <c r="JX22" s="11" t="n">
        <v>377962</v>
      </c>
      <c r="JY22" s="11" t="n">
        <v>2791104</v>
      </c>
      <c r="JZ22" s="11" t="n">
        <v>1643738</v>
      </c>
      <c r="KA22" s="11" t="n">
        <v>-2823569</v>
      </c>
      <c r="KB22" s="11" t="n">
        <v>3314018</v>
      </c>
      <c r="KC22" s="11" t="n">
        <v>-60041153</v>
      </c>
      <c r="KD22" s="11" t="n">
        <v>12216010</v>
      </c>
      <c r="KE22" s="11" t="n">
        <v>145439132</v>
      </c>
      <c r="KF22" s="11" t="n">
        <v>-430466274</v>
      </c>
      <c r="KG22" s="11" t="n">
        <v>-3083186</v>
      </c>
      <c r="KH22" s="11" t="n">
        <v>46267603</v>
      </c>
      <c r="KI22" s="11" t="n">
        <v>11257516</v>
      </c>
      <c r="KJ22" s="11" t="n">
        <v>-358985878</v>
      </c>
      <c r="KK22" s="11" t="n">
        <v>-31406409</v>
      </c>
      <c r="KL22" s="11" t="n">
        <v>105834943</v>
      </c>
      <c r="KM22" s="11" t="n">
        <v>-342573022</v>
      </c>
      <c r="KN22" s="11" t="n">
        <v>-303457979</v>
      </c>
      <c r="KO22" s="11" t="n">
        <v>24675574</v>
      </c>
      <c r="KP22" s="11" t="n">
        <v>3197543</v>
      </c>
      <c r="KQ22" s="11" t="n">
        <v>-14158520</v>
      </c>
      <c r="KR22" s="11" t="n">
        <v>-279930053</v>
      </c>
      <c r="KS22" s="11" t="n">
        <v>-190710554</v>
      </c>
      <c r="KT22" s="11" t="n">
        <v>-185333093</v>
      </c>
      <c r="KU22" s="11" t="n">
        <v>-698126672</v>
      </c>
      <c r="KV22" s="11" t="n">
        <v>2290665881</v>
      </c>
      <c r="KW22" s="11" t="n">
        <v>1856304517</v>
      </c>
      <c r="KX22" s="11" t="n">
        <v>-104218511</v>
      </c>
      <c r="KY22" s="11" t="n">
        <v>490034573</v>
      </c>
      <c r="KZ22" s="11" t="n">
        <v>-1884997125</v>
      </c>
      <c r="LA22" s="11" t="n">
        <v>-1870821510</v>
      </c>
      <c r="LB22" s="11" t="n">
        <v>-1143745502</v>
      </c>
      <c r="LC22" s="11" t="n">
        <v>-1221663139</v>
      </c>
      <c r="LD22" s="11" t="n">
        <v>-1483923641</v>
      </c>
      <c r="LE22" s="11" t="n">
        <v>-3286049</v>
      </c>
      <c r="LF22" s="11" t="n">
        <v>6939608</v>
      </c>
      <c r="LG22" s="11" t="n">
        <v>-34880723</v>
      </c>
      <c r="LH22" s="11" t="n">
        <v>12457926</v>
      </c>
      <c r="LI22" s="11" t="n">
        <v>149293640</v>
      </c>
      <c r="LJ22" s="11" t="n">
        <v>-447522482</v>
      </c>
      <c r="LK22" s="11" t="n">
        <v>-5786911</v>
      </c>
      <c r="LL22" s="11" t="n">
        <v>28886698</v>
      </c>
      <c r="LM22" s="11" t="n">
        <v>422781</v>
      </c>
      <c r="LN22" s="11" t="n">
        <v>-372428212</v>
      </c>
      <c r="LO22" s="11" t="n">
        <v>-85412977</v>
      </c>
      <c r="LP22" s="11" t="n">
        <v>-969581421</v>
      </c>
      <c r="LQ22" s="11" t="n">
        <v>2954241211</v>
      </c>
      <c r="LR22" s="11" t="n">
        <v>-204695866</v>
      </c>
      <c r="LS22" s="11" t="n">
        <v>-2458326173</v>
      </c>
    </row>
    <row r="23" customFormat="false" ht="15" hidden="false" customHeight="true" outlineLevel="0" collapsed="false">
      <c r="A23" s="7" t="s">
        <v>89</v>
      </c>
      <c r="B23" s="11" t="n">
        <v>1282820</v>
      </c>
      <c r="C23" s="11" t="n">
        <v>-15292108</v>
      </c>
      <c r="D23" s="11" t="n">
        <v>1385992</v>
      </c>
      <c r="E23" s="11" t="n">
        <v>105160800</v>
      </c>
      <c r="F23" s="11" t="n">
        <v>-46228</v>
      </c>
      <c r="G23" s="11" t="n">
        <v>100388640</v>
      </c>
      <c r="H23" s="11" t="n">
        <v>-40672812</v>
      </c>
      <c r="I23" s="11" t="n">
        <v>-32223808</v>
      </c>
      <c r="J23" s="11" t="n">
        <v>3544888</v>
      </c>
      <c r="K23" s="11" t="n">
        <v>-63592</v>
      </c>
      <c r="L23" s="11" t="n">
        <v>5011480</v>
      </c>
      <c r="M23" s="11" t="n">
        <v>-267232</v>
      </c>
      <c r="N23" s="11" t="n">
        <v>7631800</v>
      </c>
      <c r="O23" s="11" t="n">
        <v>301372</v>
      </c>
      <c r="P23" s="11" t="n">
        <v>-616172</v>
      </c>
      <c r="Q23" s="11" t="n">
        <v>-3071928</v>
      </c>
      <c r="R23" s="11" t="n">
        <v>-350337032</v>
      </c>
      <c r="S23" s="11" t="n">
        <v>3313336</v>
      </c>
      <c r="T23" s="11" t="n">
        <v>-368385896</v>
      </c>
      <c r="U23" s="11" t="n">
        <v>108800884</v>
      </c>
      <c r="V23" s="11" t="n">
        <v>96391044</v>
      </c>
      <c r="W23" s="11" t="n">
        <v>10627568</v>
      </c>
      <c r="X23" s="11" t="n">
        <v>-291016</v>
      </c>
      <c r="Y23" s="11" t="n">
        <v>13222064</v>
      </c>
      <c r="Z23" s="11" t="n">
        <v>-1690624</v>
      </c>
      <c r="AA23" s="11" t="n">
        <v>-2263128</v>
      </c>
      <c r="AB23" s="11" t="n">
        <v>-21726088</v>
      </c>
      <c r="AC23" s="11" t="n">
        <v>233447040</v>
      </c>
      <c r="AD23" s="11" t="n">
        <v>183598248</v>
      </c>
      <c r="AE23" s="11" t="n">
        <v>75374432</v>
      </c>
      <c r="AF23" s="11" t="n">
        <v>20637544</v>
      </c>
      <c r="AG23" s="11" t="n">
        <v>-8483660</v>
      </c>
      <c r="AH23" s="11" t="n">
        <v>-6690532</v>
      </c>
      <c r="AI23" s="11" t="n">
        <v>265556424</v>
      </c>
      <c r="AJ23" s="11" t="n">
        <v>143487776</v>
      </c>
      <c r="AK23" s="11" t="n">
        <v>27106532</v>
      </c>
      <c r="AL23" s="11" t="n">
        <v>9003745</v>
      </c>
      <c r="AM23" s="11" t="n">
        <v>-57745</v>
      </c>
      <c r="AN23" s="11" t="n">
        <v>-32533880</v>
      </c>
      <c r="AO23" s="11" t="n">
        <v>3452890</v>
      </c>
      <c r="AP23" s="11" t="n">
        <v>-33892925</v>
      </c>
      <c r="AQ23" s="11" t="n">
        <v>16229210</v>
      </c>
      <c r="AR23" s="11" t="n">
        <v>12044100</v>
      </c>
      <c r="AS23" s="11" t="n">
        <v>-9039519</v>
      </c>
      <c r="AT23" s="11" t="n">
        <v>-350266928</v>
      </c>
      <c r="AU23" s="11" t="n">
        <v>-40836393</v>
      </c>
      <c r="AV23" s="11" t="n">
        <v>-300571745</v>
      </c>
      <c r="AW23" s="11" t="n">
        <v>92007293</v>
      </c>
      <c r="AX23" s="11" t="n">
        <v>82595588</v>
      </c>
      <c r="AY23" s="11" t="n">
        <v>-30416728</v>
      </c>
      <c r="AZ23" s="11" t="n">
        <v>3728511</v>
      </c>
      <c r="BA23" s="11" t="n">
        <v>-32099890</v>
      </c>
      <c r="BB23" s="11" t="n">
        <v>15703609</v>
      </c>
      <c r="BC23" s="11" t="n">
        <v>11562232</v>
      </c>
      <c r="BD23" s="11" t="n">
        <v>281882648</v>
      </c>
      <c r="BE23" s="11" t="n">
        <v>-232437240</v>
      </c>
      <c r="BF23" s="11" t="n">
        <v>298897992</v>
      </c>
      <c r="BG23" s="11" t="n">
        <v>170095328</v>
      </c>
      <c r="BH23" s="11" t="n">
        <v>-268988735</v>
      </c>
      <c r="BI23" s="11" t="n">
        <v>108891740</v>
      </c>
      <c r="BJ23" s="11" t="n">
        <v>86300876</v>
      </c>
      <c r="BK23" s="11" t="n">
        <v>195434865</v>
      </c>
      <c r="BL23" s="11" t="n">
        <v>91152080</v>
      </c>
      <c r="BM23" s="11" t="n">
        <v>25802164</v>
      </c>
      <c r="BN23" s="11" t="n">
        <v>286764</v>
      </c>
      <c r="BO23" s="11" t="n">
        <v>-125076822</v>
      </c>
      <c r="BP23" s="11" t="n">
        <v>11417188</v>
      </c>
      <c r="BQ23" s="11" t="n">
        <v>-147223620</v>
      </c>
      <c r="BR23" s="11" t="n">
        <v>42731837</v>
      </c>
      <c r="BS23" s="11" t="n">
        <v>37606867</v>
      </c>
      <c r="BT23" s="11" t="n">
        <v>1838358</v>
      </c>
      <c r="BU23" s="11" t="n">
        <v>-183196</v>
      </c>
      <c r="BV23" s="11" t="n">
        <v>2023680</v>
      </c>
      <c r="BW23" s="11" t="n">
        <v>-790949</v>
      </c>
      <c r="BX23" s="11" t="n">
        <v>-624787</v>
      </c>
      <c r="BY23" s="11" t="n">
        <v>6711772</v>
      </c>
      <c r="BZ23" s="11" t="n">
        <v>61145250</v>
      </c>
      <c r="CA23" s="11" t="n">
        <v>71044388</v>
      </c>
      <c r="CB23" s="11" t="n">
        <v>31424752</v>
      </c>
      <c r="CC23" s="11" t="n">
        <v>-13481620</v>
      </c>
      <c r="CD23" s="11" t="n">
        <v>-4191990</v>
      </c>
      <c r="CE23" s="11" t="n">
        <v>-850466</v>
      </c>
      <c r="CF23" s="11" t="n">
        <v>104513855</v>
      </c>
      <c r="CG23" s="11" t="n">
        <v>55373545</v>
      </c>
      <c r="CH23" s="11" t="n">
        <v>10624826</v>
      </c>
      <c r="CI23" s="11" t="n">
        <v>136729578</v>
      </c>
      <c r="CJ23" s="11" t="n">
        <v>-10161936</v>
      </c>
      <c r="CK23" s="11" t="n">
        <v>157381608</v>
      </c>
      <c r="CL23" s="11" t="n">
        <v>-45831999</v>
      </c>
      <c r="CM23" s="11" t="n">
        <v>-40386909</v>
      </c>
      <c r="CN23" s="11" t="n">
        <v>-1011440198</v>
      </c>
      <c r="CO23" s="11" t="n">
        <v>1551910506</v>
      </c>
      <c r="CP23" s="11" t="n">
        <v>-384236722</v>
      </c>
      <c r="CQ23" s="11" t="n">
        <v>-315607352</v>
      </c>
      <c r="CR23" s="11" t="n">
        <v>1048870856</v>
      </c>
      <c r="CS23" s="11" t="n">
        <v>-310479545</v>
      </c>
      <c r="CT23" s="11" t="n">
        <v>-275300795</v>
      </c>
      <c r="CU23" s="11" t="n">
        <v>77930231</v>
      </c>
      <c r="CV23" s="11" t="n">
        <v>95122621</v>
      </c>
      <c r="CW23" s="11" t="n">
        <v>-7702925</v>
      </c>
      <c r="CX23" s="11" t="n">
        <v>22203050</v>
      </c>
      <c r="CY23" s="11" t="n">
        <v>44032116</v>
      </c>
      <c r="CZ23" s="11" t="n">
        <v>83310670</v>
      </c>
      <c r="DA23" s="11" t="n">
        <v>38991176</v>
      </c>
      <c r="DB23" s="11" t="n">
        <v>-28829192</v>
      </c>
      <c r="DC23" s="11" t="n">
        <v>1250735</v>
      </c>
      <c r="DD23" s="11" t="n">
        <v>3660413</v>
      </c>
      <c r="DE23" s="11" t="n">
        <v>110653798</v>
      </c>
      <c r="DF23" s="11" t="n">
        <v>57886634</v>
      </c>
      <c r="DG23" s="11" t="n">
        <v>11538227</v>
      </c>
      <c r="DH23" s="11" t="n">
        <v>-577731606</v>
      </c>
      <c r="DI23" s="11" t="n">
        <v>-553885520</v>
      </c>
      <c r="DJ23" s="11" t="n">
        <v>-237182016</v>
      </c>
      <c r="DK23" s="11" t="n">
        <v>1069333074</v>
      </c>
      <c r="DL23" s="11" t="n">
        <v>544195896</v>
      </c>
      <c r="DM23" s="11" t="n">
        <v>82729856</v>
      </c>
      <c r="DN23" s="11" t="n">
        <v>751728305</v>
      </c>
      <c r="DO23" s="11" t="n">
        <v>403210467</v>
      </c>
      <c r="DP23" s="11" t="n">
        <v>77953160</v>
      </c>
      <c r="DQ23" s="11" t="n">
        <v>-38216413</v>
      </c>
      <c r="DR23" s="11" t="n">
        <v>99137</v>
      </c>
      <c r="DS23" s="11" t="n">
        <v>-1473</v>
      </c>
      <c r="DT23" s="11" t="n">
        <v>398540</v>
      </c>
      <c r="DU23" s="11" t="n">
        <v>13902</v>
      </c>
      <c r="DV23" s="11" t="n">
        <v>-33825</v>
      </c>
      <c r="DW23" s="11" t="n">
        <v>-63442</v>
      </c>
      <c r="DX23" s="11" t="n">
        <v>-76828</v>
      </c>
      <c r="DY23" s="11" t="n">
        <v>-89551</v>
      </c>
      <c r="DZ23" s="11" t="n">
        <v>-12877756</v>
      </c>
      <c r="EA23" s="11" t="n">
        <v>-162149</v>
      </c>
      <c r="EB23" s="11" t="n">
        <v>-7354869</v>
      </c>
      <c r="EC23" s="11" t="n">
        <v>3899489</v>
      </c>
      <c r="ED23" s="11" t="n">
        <v>3406116</v>
      </c>
      <c r="EE23" s="11" t="n">
        <v>551344</v>
      </c>
      <c r="EF23" s="11" t="n">
        <v>14967</v>
      </c>
      <c r="EG23" s="11" t="n">
        <v>78726</v>
      </c>
      <c r="EH23" s="11" t="n">
        <v>-115247</v>
      </c>
      <c r="EI23" s="11" t="n">
        <v>-120008</v>
      </c>
      <c r="EJ23" s="11" t="n">
        <v>1153996</v>
      </c>
      <c r="EK23" s="11" t="n">
        <v>-33961080</v>
      </c>
      <c r="EL23" s="11" t="n">
        <v>7435284</v>
      </c>
      <c r="EM23" s="11" t="n">
        <v>3713056</v>
      </c>
      <c r="EN23" s="11" t="n">
        <v>-1086699</v>
      </c>
      <c r="EO23" s="11" t="n">
        <v>443060</v>
      </c>
      <c r="EP23" s="11" t="n">
        <v>351980</v>
      </c>
      <c r="EQ23" s="11" t="n">
        <v>-6037179</v>
      </c>
      <c r="ER23" s="11" t="n">
        <v>-6861936</v>
      </c>
      <c r="ES23" s="11" t="n">
        <v>842260</v>
      </c>
      <c r="ET23" s="11" t="n">
        <v>844</v>
      </c>
      <c r="EU23" s="11" t="n">
        <v>714018</v>
      </c>
      <c r="EV23" s="11" t="n">
        <v>59068</v>
      </c>
      <c r="EW23" s="11" t="n">
        <v>-683260</v>
      </c>
      <c r="EX23" s="11" t="n">
        <v>-198603</v>
      </c>
      <c r="EY23" s="11" t="n">
        <v>-164685</v>
      </c>
      <c r="EZ23" s="11" t="n">
        <v>-14002</v>
      </c>
      <c r="FA23" s="11" t="n">
        <v>-996</v>
      </c>
      <c r="FB23" s="11" t="n">
        <v>10440</v>
      </c>
      <c r="FC23" s="11" t="n">
        <v>3491</v>
      </c>
      <c r="FD23" s="11" t="n">
        <v>3101</v>
      </c>
      <c r="FE23" s="11" t="n">
        <v>137332</v>
      </c>
      <c r="FF23" s="11" t="n">
        <v>-2503150</v>
      </c>
      <c r="FG23" s="11" t="n">
        <v>-341472</v>
      </c>
      <c r="FH23" s="11" t="n">
        <v>-108708</v>
      </c>
      <c r="FI23" s="11" t="n">
        <v>-75660</v>
      </c>
      <c r="FJ23" s="11" t="n">
        <v>9950</v>
      </c>
      <c r="FK23" s="11" t="n">
        <v>22682</v>
      </c>
      <c r="FL23" s="11" t="n">
        <v>-369485</v>
      </c>
      <c r="FM23" s="11" t="n">
        <v>-473315</v>
      </c>
      <c r="FN23" s="11" t="n">
        <v>-48522</v>
      </c>
      <c r="FO23" s="11" t="n">
        <v>-535342</v>
      </c>
      <c r="FP23" s="11" t="n">
        <v>-51976</v>
      </c>
      <c r="FQ23" s="11" t="n">
        <v>679808</v>
      </c>
      <c r="FR23" s="11" t="n">
        <v>146201</v>
      </c>
      <c r="FS23" s="11" t="n">
        <v>119763</v>
      </c>
      <c r="FT23" s="11" t="n">
        <v>-6504998</v>
      </c>
      <c r="FU23" s="11" t="n">
        <v>141726746</v>
      </c>
      <c r="FV23" s="11" t="n">
        <v>-2287182</v>
      </c>
      <c r="FW23" s="11" t="n">
        <v>-3139644</v>
      </c>
      <c r="FX23" s="11" t="n">
        <v>5499736</v>
      </c>
      <c r="FY23" s="11" t="n">
        <v>-1998565</v>
      </c>
      <c r="FZ23" s="11" t="n">
        <v>-1760079</v>
      </c>
      <c r="GA23" s="11" t="n">
        <v>41609731</v>
      </c>
      <c r="GB23" s="11" t="n">
        <v>35693025</v>
      </c>
      <c r="GC23" s="11" t="n">
        <v>345759</v>
      </c>
      <c r="GD23" s="11" t="n">
        <v>230530</v>
      </c>
      <c r="GE23" s="11" t="n">
        <v>-4656044</v>
      </c>
      <c r="GF23" s="11" t="n">
        <v>-211170</v>
      </c>
      <c r="GG23" s="11" t="n">
        <v>-19936</v>
      </c>
      <c r="GH23" s="11" t="n">
        <v>-159312</v>
      </c>
      <c r="GI23" s="11" t="n">
        <v>42455</v>
      </c>
      <c r="GJ23" s="11" t="n">
        <v>49637</v>
      </c>
      <c r="GK23" s="11" t="n">
        <v>-1003402</v>
      </c>
      <c r="GL23" s="11" t="n">
        <v>-1016302</v>
      </c>
      <c r="GM23" s="11" t="n">
        <v>-41797</v>
      </c>
      <c r="GN23" s="11" t="n">
        <v>4454554</v>
      </c>
      <c r="GO23" s="11" t="n">
        <v>-3550860</v>
      </c>
      <c r="GP23" s="11" t="n">
        <v>-1594244</v>
      </c>
      <c r="GQ23" s="11" t="n">
        <v>75797634</v>
      </c>
      <c r="GR23" s="11" t="n">
        <v>32584376</v>
      </c>
      <c r="GS23" s="11" t="n">
        <v>1153284</v>
      </c>
      <c r="GT23" s="11" t="n">
        <v>1633525</v>
      </c>
      <c r="GU23" s="11" t="n">
        <v>142591</v>
      </c>
      <c r="GV23" s="11" t="n">
        <v>470960</v>
      </c>
      <c r="GW23" s="11" t="n">
        <v>-9522689</v>
      </c>
      <c r="GX23" s="11" t="n">
        <v>-5876</v>
      </c>
      <c r="GY23" s="11" t="n">
        <v>5311473</v>
      </c>
      <c r="GZ23" s="11" t="n">
        <v>-169267</v>
      </c>
      <c r="HA23" s="11" t="n">
        <v>2381855</v>
      </c>
      <c r="HB23" s="11" t="n">
        <v>-1699483</v>
      </c>
      <c r="HC23" s="11" t="n">
        <v>-1470008</v>
      </c>
      <c r="HD23" s="11" t="n">
        <v>-55297</v>
      </c>
      <c r="HE23" s="11" t="n">
        <v>3339</v>
      </c>
      <c r="HF23" s="11" t="n">
        <v>-37395</v>
      </c>
      <c r="HG23" s="11" t="n">
        <v>21491</v>
      </c>
      <c r="HH23" s="11" t="n">
        <v>17288</v>
      </c>
      <c r="HI23" s="11" t="n">
        <v>-1425298</v>
      </c>
      <c r="HJ23" s="11" t="n">
        <v>11387525</v>
      </c>
      <c r="HK23" s="11" t="n">
        <v>-3433042</v>
      </c>
      <c r="HL23" s="11" t="n">
        <v>-1793348</v>
      </c>
      <c r="HM23" s="11" t="n">
        <v>276255</v>
      </c>
      <c r="HN23" s="11" t="n">
        <v>-346640</v>
      </c>
      <c r="HO23" s="11" t="n">
        <v>-337316</v>
      </c>
      <c r="HP23" s="11" t="n">
        <v>2104105</v>
      </c>
      <c r="HQ23" s="11" t="n">
        <v>2347420</v>
      </c>
      <c r="HR23" s="11" t="n">
        <v>-376324</v>
      </c>
      <c r="HS23" s="11" t="n">
        <v>-5561167</v>
      </c>
      <c r="HT23" s="11" t="n">
        <v>143289</v>
      </c>
      <c r="HU23" s="11" t="n">
        <v>-2587477</v>
      </c>
      <c r="HV23" s="11" t="n">
        <v>1766281</v>
      </c>
      <c r="HW23" s="11" t="n">
        <v>1529752</v>
      </c>
      <c r="HX23" s="11" t="n">
        <v>30675017</v>
      </c>
      <c r="HY23" s="11" t="n">
        <v>84652961</v>
      </c>
      <c r="HZ23" s="11" t="n">
        <v>11837123</v>
      </c>
      <c r="IA23" s="11" t="n">
        <v>8462140</v>
      </c>
      <c r="IB23" s="11" t="n">
        <v>-16453514</v>
      </c>
      <c r="IC23" s="11" t="n">
        <v>9437690</v>
      </c>
      <c r="ID23" s="11" t="n">
        <v>8219972</v>
      </c>
      <c r="IE23" s="11" t="n">
        <v>32394136</v>
      </c>
      <c r="IF23" s="11" t="n">
        <v>27223356</v>
      </c>
      <c r="IG23" s="11" t="n">
        <v>568468</v>
      </c>
      <c r="IH23" s="11" t="n">
        <v>-1811655</v>
      </c>
      <c r="II23" s="11" t="n">
        <v>11041546</v>
      </c>
      <c r="IJ23" s="11" t="n">
        <v>-3717665</v>
      </c>
      <c r="IK23" s="11" t="n">
        <v>-1965752</v>
      </c>
      <c r="IL23" s="11" t="n">
        <v>558423</v>
      </c>
      <c r="IM23" s="11" t="n">
        <v>-479610</v>
      </c>
      <c r="IN23" s="11" t="n">
        <v>-447696</v>
      </c>
      <c r="IO23" s="11" t="n">
        <v>1777163</v>
      </c>
      <c r="IP23" s="11" t="n">
        <v>2122664</v>
      </c>
      <c r="IQ23" s="11" t="n">
        <v>-398304</v>
      </c>
      <c r="IR23" s="11" t="n">
        <v>-88481711</v>
      </c>
      <c r="IS23" s="11" t="n">
        <v>16650220</v>
      </c>
      <c r="IT23" s="11" t="n">
        <v>8086252</v>
      </c>
      <c r="IU23" s="11" t="n">
        <v>80093169</v>
      </c>
      <c r="IV23" s="11" t="n">
        <v>46724336</v>
      </c>
      <c r="IW23" s="11" t="n">
        <v>-1472812</v>
      </c>
      <c r="IX23" s="11" t="n">
        <v>18292030</v>
      </c>
      <c r="IY23" s="11" t="n">
        <v>19373092</v>
      </c>
      <c r="IZ23" s="11" t="n">
        <v>-1973880</v>
      </c>
      <c r="JA23" s="11" t="n">
        <v>-7876988</v>
      </c>
      <c r="JB23" s="11" t="n">
        <v>87540</v>
      </c>
      <c r="JC23" s="11" t="n">
        <v>2060</v>
      </c>
      <c r="JD23" s="11" t="n">
        <v>-20220</v>
      </c>
      <c r="JE23" s="11" t="n">
        <v>-26240</v>
      </c>
      <c r="JF23" s="11" t="n">
        <v>-22276</v>
      </c>
      <c r="JG23" s="11" t="n">
        <v>-4383810</v>
      </c>
      <c r="JH23" s="11" t="n">
        <v>53762010</v>
      </c>
      <c r="JI23" s="11" t="n">
        <v>-1599675</v>
      </c>
      <c r="JJ23" s="11" t="n">
        <v>-1764147</v>
      </c>
      <c r="JK23" s="11" t="n">
        <v>252560</v>
      </c>
      <c r="JL23" s="11" t="n">
        <v>-1351685</v>
      </c>
      <c r="JM23" s="11" t="n">
        <v>-1157047</v>
      </c>
      <c r="JN23" s="11" t="n">
        <v>16484585</v>
      </c>
      <c r="JO23" s="11" t="n">
        <v>14088115</v>
      </c>
      <c r="JP23" s="11" t="n">
        <v>121737</v>
      </c>
      <c r="JQ23" s="11" t="n">
        <v>69130</v>
      </c>
      <c r="JR23" s="11" t="n">
        <v>-747390</v>
      </c>
      <c r="JS23" s="11" t="n">
        <v>73235</v>
      </c>
      <c r="JT23" s="11" t="n">
        <v>47923</v>
      </c>
      <c r="JU23" s="11" t="n">
        <v>-1620</v>
      </c>
      <c r="JV23" s="11" t="n">
        <v>22445</v>
      </c>
      <c r="JW23" s="11" t="n">
        <v>18719</v>
      </c>
      <c r="JX23" s="11" t="n">
        <v>-240945</v>
      </c>
      <c r="JY23" s="11" t="n">
        <v>-201255</v>
      </c>
      <c r="JZ23" s="11" t="n">
        <v>4271</v>
      </c>
      <c r="KA23" s="11" t="n">
        <v>-5028010</v>
      </c>
      <c r="KB23" s="11" t="n">
        <v>-2404190</v>
      </c>
      <c r="KC23" s="11" t="n">
        <v>-1006738</v>
      </c>
      <c r="KD23" s="11" t="n">
        <v>31319165</v>
      </c>
      <c r="KE23" s="11" t="n">
        <v>14369785</v>
      </c>
      <c r="KF23" s="11" t="n">
        <v>600138</v>
      </c>
      <c r="KG23" s="11" t="n">
        <v>1688825</v>
      </c>
      <c r="KH23" s="11" t="n">
        <v>1385075</v>
      </c>
      <c r="KI23" s="11" t="n">
        <v>324140</v>
      </c>
      <c r="KJ23" s="11" t="n">
        <v>-3800975</v>
      </c>
      <c r="KK23" s="11" t="n">
        <v>4084330</v>
      </c>
      <c r="KL23" s="11" t="n">
        <v>-57684570</v>
      </c>
      <c r="KM23" s="11" t="n">
        <v>1479785</v>
      </c>
      <c r="KN23" s="11" t="n">
        <v>1707613</v>
      </c>
      <c r="KO23" s="11" t="n">
        <v>-414040</v>
      </c>
      <c r="KP23" s="11" t="n">
        <v>1259095</v>
      </c>
      <c r="KQ23" s="11" t="n">
        <v>1079509</v>
      </c>
      <c r="KR23" s="11" t="n">
        <v>-17632675</v>
      </c>
      <c r="KS23" s="11" t="n">
        <v>-15073217</v>
      </c>
      <c r="KT23" s="11" t="n">
        <v>-135299</v>
      </c>
      <c r="KU23" s="11" t="n">
        <v>380356460</v>
      </c>
      <c r="KV23" s="11" t="n">
        <v>531235</v>
      </c>
      <c r="KW23" s="11" t="n">
        <v>-3204163</v>
      </c>
      <c r="KX23" s="11" t="n">
        <v>-145308985</v>
      </c>
      <c r="KY23" s="11" t="n">
        <v>-113769179</v>
      </c>
      <c r="KZ23" s="11" t="n">
        <v>-1382997</v>
      </c>
      <c r="LA23" s="11" t="n">
        <v>-117308070</v>
      </c>
      <c r="LB23" s="11" t="n">
        <v>-100205314</v>
      </c>
      <c r="LC23" s="11" t="n">
        <v>-1128170</v>
      </c>
      <c r="LD23" s="11" t="n">
        <v>3193556</v>
      </c>
      <c r="LE23" s="11" t="n">
        <v>-10682510</v>
      </c>
      <c r="LF23" s="11" t="n">
        <v>-2248325</v>
      </c>
      <c r="LG23" s="11" t="n">
        <v>-887435</v>
      </c>
      <c r="LH23" s="11" t="n">
        <v>35624320</v>
      </c>
      <c r="LI23" s="11" t="n">
        <v>16999826</v>
      </c>
      <c r="LJ23" s="11" t="n">
        <v>618475</v>
      </c>
      <c r="LK23" s="11" t="n">
        <v>3521065</v>
      </c>
      <c r="LL23" s="11" t="n">
        <v>2913403</v>
      </c>
      <c r="LM23" s="11" t="n">
        <v>320670</v>
      </c>
      <c r="LN23" s="11" t="n">
        <v>-4112377</v>
      </c>
      <c r="LO23" s="11" t="n">
        <v>-207987605</v>
      </c>
      <c r="LP23" s="11" t="n">
        <v>-91023531</v>
      </c>
      <c r="LQ23" s="11" t="n">
        <v>-1879240</v>
      </c>
      <c r="LR23" s="11" t="n">
        <v>-27437531</v>
      </c>
      <c r="LS23" s="11" t="n">
        <v>-26721430</v>
      </c>
    </row>
    <row r="24" customFormat="false" ht="15" hidden="false" customHeight="true" outlineLevel="0" collapsed="false">
      <c r="A24" s="7" t="s">
        <v>90</v>
      </c>
      <c r="B24" s="11" t="n">
        <v>739292</v>
      </c>
      <c r="C24" s="11" t="n">
        <v>20435316</v>
      </c>
      <c r="D24" s="11" t="n">
        <v>1020080</v>
      </c>
      <c r="E24" s="11" t="n">
        <v>47087808</v>
      </c>
      <c r="F24" s="11" t="n">
        <v>-230780</v>
      </c>
      <c r="G24" s="11" t="n">
        <v>40236072</v>
      </c>
      <c r="H24" s="11" t="n">
        <v>-22503572</v>
      </c>
      <c r="I24" s="11" t="n">
        <v>-23352720</v>
      </c>
      <c r="J24" s="11" t="n">
        <v>-2117580</v>
      </c>
      <c r="K24" s="11" t="n">
        <v>-68132</v>
      </c>
      <c r="L24" s="11" t="n">
        <v>4810840</v>
      </c>
      <c r="M24" s="11" t="n">
        <v>-124968</v>
      </c>
      <c r="N24" s="11" t="n">
        <v>6904372</v>
      </c>
      <c r="O24" s="11" t="n">
        <v>40500</v>
      </c>
      <c r="P24" s="11" t="n">
        <v>325140</v>
      </c>
      <c r="Q24" s="11" t="n">
        <v>1038564</v>
      </c>
      <c r="R24" s="11" t="n">
        <v>267855240</v>
      </c>
      <c r="S24" s="11" t="n">
        <v>-4115364</v>
      </c>
      <c r="T24" s="11" t="n">
        <v>306098436</v>
      </c>
      <c r="U24" s="11" t="n">
        <v>-63338280</v>
      </c>
      <c r="V24" s="11" t="n">
        <v>-57902580</v>
      </c>
      <c r="W24" s="11" t="n">
        <v>10977568</v>
      </c>
      <c r="X24" s="11" t="n">
        <v>-193700</v>
      </c>
      <c r="Y24" s="11" t="n">
        <v>13234792</v>
      </c>
      <c r="Z24" s="11" t="n">
        <v>-2018012</v>
      </c>
      <c r="AA24" s="11" t="n">
        <v>-1703520</v>
      </c>
      <c r="AB24" s="11" t="n">
        <v>-6457832</v>
      </c>
      <c r="AC24" s="11" t="n">
        <v>177930288</v>
      </c>
      <c r="AD24" s="11" t="n">
        <v>149018440</v>
      </c>
      <c r="AE24" s="11" t="n">
        <v>172673760</v>
      </c>
      <c r="AF24" s="11" t="n">
        <v>4646108</v>
      </c>
      <c r="AG24" s="11" t="n">
        <v>-3816588</v>
      </c>
      <c r="AH24" s="11" t="n">
        <v>-4048980</v>
      </c>
      <c r="AI24" s="11" t="n">
        <v>212368852</v>
      </c>
      <c r="AJ24" s="11" t="n">
        <v>235790760</v>
      </c>
      <c r="AK24" s="11" t="n">
        <v>-8617740</v>
      </c>
      <c r="AL24" s="11" t="n">
        <v>-11444595</v>
      </c>
      <c r="AM24" s="11" t="n">
        <v>-159149</v>
      </c>
      <c r="AN24" s="11" t="n">
        <v>-11062448</v>
      </c>
      <c r="AO24" s="11" t="n">
        <v>2106002</v>
      </c>
      <c r="AP24" s="11" t="n">
        <v>-9513125</v>
      </c>
      <c r="AQ24" s="11" t="n">
        <v>8820478</v>
      </c>
      <c r="AR24" s="11" t="n">
        <v>9660608</v>
      </c>
      <c r="AS24" s="11" t="n">
        <v>11392173</v>
      </c>
      <c r="AT24" s="11" t="n">
        <v>423156576</v>
      </c>
      <c r="AU24" s="11" t="n">
        <v>54640971</v>
      </c>
      <c r="AV24" s="11" t="n">
        <v>359914395</v>
      </c>
      <c r="AW24" s="11" t="n">
        <v>-104552751</v>
      </c>
      <c r="AX24" s="11" t="n">
        <v>-94475316</v>
      </c>
      <c r="AY24" s="11" t="n">
        <v>-5127344</v>
      </c>
      <c r="AZ24" s="11" t="n">
        <v>2856195</v>
      </c>
      <c r="BA24" s="11" t="n">
        <v>-4464566</v>
      </c>
      <c r="BB24" s="11" t="n">
        <v>7326161</v>
      </c>
      <c r="BC24" s="11" t="n">
        <v>8302580</v>
      </c>
      <c r="BD24" s="11" t="n">
        <v>130684528</v>
      </c>
      <c r="BE24" s="11" t="n">
        <v>-3845232</v>
      </c>
      <c r="BF24" s="11" t="n">
        <v>225069904</v>
      </c>
      <c r="BG24" s="11" t="n">
        <v>265874112</v>
      </c>
      <c r="BH24" s="11" t="n">
        <v>-111649807</v>
      </c>
      <c r="BI24" s="11" t="n">
        <v>61351912</v>
      </c>
      <c r="BJ24" s="11" t="n">
        <v>63508600</v>
      </c>
      <c r="BK24" s="11" t="n">
        <v>190482373</v>
      </c>
      <c r="BL24" s="11" t="n">
        <v>225279828</v>
      </c>
      <c r="BM24" s="11" t="n">
        <v>-15441848</v>
      </c>
      <c r="BN24" s="11" t="n">
        <v>-598860</v>
      </c>
      <c r="BO24" s="11" t="n">
        <v>106160670</v>
      </c>
      <c r="BP24" s="11" t="n">
        <v>-7966860</v>
      </c>
      <c r="BQ24" s="11" t="n">
        <v>134131770</v>
      </c>
      <c r="BR24" s="11" t="n">
        <v>-24637845</v>
      </c>
      <c r="BS24" s="11" t="n">
        <v>-22637895</v>
      </c>
      <c r="BT24" s="11" t="n">
        <v>2055138</v>
      </c>
      <c r="BU24" s="11" t="n">
        <v>-220988</v>
      </c>
      <c r="BV24" s="11" t="n">
        <v>2363034</v>
      </c>
      <c r="BW24" s="11" t="n">
        <v>-804163</v>
      </c>
      <c r="BX24" s="11" t="n">
        <v>-820313</v>
      </c>
      <c r="BY24" s="11" t="n">
        <v>11834548</v>
      </c>
      <c r="BZ24" s="11" t="n">
        <v>41408718</v>
      </c>
      <c r="CA24" s="11" t="n">
        <v>58004060</v>
      </c>
      <c r="CB24" s="11" t="n">
        <v>67730320</v>
      </c>
      <c r="CC24" s="11" t="n">
        <v>-18060232</v>
      </c>
      <c r="CD24" s="11" t="n">
        <v>-1606362</v>
      </c>
      <c r="CE24" s="11" t="n">
        <v>-2559222</v>
      </c>
      <c r="CF24" s="11" t="n">
        <v>82897073</v>
      </c>
      <c r="CG24" s="11" t="n">
        <v>94405903</v>
      </c>
      <c r="CH24" s="11" t="n">
        <v>-3350010</v>
      </c>
      <c r="CI24" s="11" t="n">
        <v>-127816866</v>
      </c>
      <c r="CJ24" s="11" t="n">
        <v>5071176</v>
      </c>
      <c r="CK24" s="11" t="n">
        <v>-152350578</v>
      </c>
      <c r="CL24" s="11" t="n">
        <v>29995911</v>
      </c>
      <c r="CM24" s="11" t="n">
        <v>27477801</v>
      </c>
      <c r="CN24" s="11" t="n">
        <v>801422094</v>
      </c>
      <c r="CO24" s="11" t="n">
        <v>-1620851346</v>
      </c>
      <c r="CP24" s="11" t="n">
        <v>-58868310</v>
      </c>
      <c r="CQ24" s="11" t="n">
        <v>-39336360</v>
      </c>
      <c r="CR24" s="11" t="n">
        <v>-890942646</v>
      </c>
      <c r="CS24" s="11" t="n">
        <v>190412409</v>
      </c>
      <c r="CT24" s="11" t="n">
        <v>173848719</v>
      </c>
      <c r="CU24" s="11" t="n">
        <v>-450547221</v>
      </c>
      <c r="CV24" s="11" t="n">
        <v>-395333961</v>
      </c>
      <c r="CW24" s="11" t="n">
        <v>-3423975</v>
      </c>
      <c r="CX24" s="11" t="n">
        <v>29763262</v>
      </c>
      <c r="CY24" s="11" t="n">
        <v>18478212</v>
      </c>
      <c r="CZ24" s="11" t="n">
        <v>68696954</v>
      </c>
      <c r="DA24" s="11" t="n">
        <v>80785432</v>
      </c>
      <c r="DB24" s="11" t="n">
        <v>-36209278</v>
      </c>
      <c r="DC24" s="11" t="n">
        <v>4259233</v>
      </c>
      <c r="DD24" s="11" t="n">
        <v>3193255</v>
      </c>
      <c r="DE24" s="11" t="n">
        <v>86219384</v>
      </c>
      <c r="DF24" s="11" t="n">
        <v>100264138</v>
      </c>
      <c r="DG24" s="11" t="n">
        <v>-4190303</v>
      </c>
      <c r="DH24" s="11" t="n">
        <v>-493289130</v>
      </c>
      <c r="DI24" s="11" t="n">
        <v>-444443456</v>
      </c>
      <c r="DJ24" s="11" t="n">
        <v>-515691008</v>
      </c>
      <c r="DK24" s="11" t="n">
        <v>862638654</v>
      </c>
      <c r="DL24" s="11" t="n">
        <v>1018756872</v>
      </c>
      <c r="DM24" s="11" t="n">
        <v>16065280</v>
      </c>
      <c r="DN24" s="11" t="n">
        <v>611290859</v>
      </c>
      <c r="DO24" s="11" t="n">
        <v>680301677</v>
      </c>
      <c r="DP24" s="11" t="n">
        <v>-26113632</v>
      </c>
      <c r="DQ24" s="11" t="n">
        <v>72781333</v>
      </c>
      <c r="DR24" s="11" t="n">
        <v>-487065</v>
      </c>
      <c r="DS24" s="11" t="n">
        <v>-4967</v>
      </c>
      <c r="DT24" s="11" t="n">
        <v>481172</v>
      </c>
      <c r="DU24" s="11" t="n">
        <v>11810</v>
      </c>
      <c r="DV24" s="11" t="n">
        <v>308313</v>
      </c>
      <c r="DW24" s="11" t="n">
        <v>-53982</v>
      </c>
      <c r="DX24" s="11" t="n">
        <v>44700</v>
      </c>
      <c r="DY24" s="11" t="n">
        <v>534759</v>
      </c>
      <c r="DZ24" s="11" t="n">
        <v>44323116</v>
      </c>
      <c r="EA24" s="11" t="n">
        <v>174405</v>
      </c>
      <c r="EB24" s="11" t="n">
        <v>35030889</v>
      </c>
      <c r="EC24" s="11" t="n">
        <v>-16318101</v>
      </c>
      <c r="ED24" s="11" t="n">
        <v>-14149800</v>
      </c>
      <c r="EE24" s="11" t="n">
        <v>980288</v>
      </c>
      <c r="EF24" s="11" t="n">
        <v>14745</v>
      </c>
      <c r="EG24" s="11" t="n">
        <v>695742</v>
      </c>
      <c r="EH24" s="11" t="n">
        <v>-225677</v>
      </c>
      <c r="EI24" s="11" t="n">
        <v>-95220</v>
      </c>
      <c r="EJ24" s="11" t="n">
        <v>902420</v>
      </c>
      <c r="EK24" s="11" t="n">
        <v>-6550440</v>
      </c>
      <c r="EL24" s="11" t="n">
        <v>11208284</v>
      </c>
      <c r="EM24" s="11" t="n">
        <v>18046320</v>
      </c>
      <c r="EN24" s="11" t="n">
        <v>-739005</v>
      </c>
      <c r="EO24" s="11" t="n">
        <v>376340</v>
      </c>
      <c r="EP24" s="11" t="n">
        <v>359100</v>
      </c>
      <c r="EQ24" s="11" t="n">
        <v>6446871</v>
      </c>
      <c r="ER24" s="11" t="n">
        <v>12171780</v>
      </c>
      <c r="ES24" s="11" t="n">
        <v>-3065820</v>
      </c>
      <c r="ET24" s="11" t="n">
        <v>-30660</v>
      </c>
      <c r="EU24" s="11" t="n">
        <v>1791270</v>
      </c>
      <c r="EV24" s="11" t="n">
        <v>-116160</v>
      </c>
      <c r="EW24" s="11" t="n">
        <v>3665670</v>
      </c>
      <c r="EX24" s="11" t="n">
        <v>181305</v>
      </c>
      <c r="EY24" s="11" t="n">
        <v>86175</v>
      </c>
      <c r="EZ24" s="11" t="n">
        <v>-12022</v>
      </c>
      <c r="FA24" s="11" t="n">
        <v>-1928</v>
      </c>
      <c r="FB24" s="11" t="n">
        <v>17974</v>
      </c>
      <c r="FC24" s="11" t="n">
        <v>5247</v>
      </c>
      <c r="FD24" s="11" t="n">
        <v>-1935</v>
      </c>
      <c r="FE24" s="11" t="n">
        <v>158188</v>
      </c>
      <c r="FF24" s="11" t="n">
        <v>-2487442</v>
      </c>
      <c r="FG24" s="11" t="n">
        <v>-377640</v>
      </c>
      <c r="FH24" s="11" t="n">
        <v>79260</v>
      </c>
      <c r="FI24" s="11" t="n">
        <v>-162412</v>
      </c>
      <c r="FJ24" s="11" t="n">
        <v>8478</v>
      </c>
      <c r="FK24" s="11" t="n">
        <v>-12750</v>
      </c>
      <c r="FL24" s="11" t="n">
        <v>-521037</v>
      </c>
      <c r="FM24" s="11" t="n">
        <v>281865</v>
      </c>
      <c r="FN24" s="11" t="n">
        <v>26190</v>
      </c>
      <c r="FO24" s="11" t="n">
        <v>-4756746</v>
      </c>
      <c r="FP24" s="11" t="n">
        <v>116556</v>
      </c>
      <c r="FQ24" s="11" t="n">
        <v>-6229758</v>
      </c>
      <c r="FR24" s="11" t="n">
        <v>828141</v>
      </c>
      <c r="FS24" s="11" t="n">
        <v>796095</v>
      </c>
      <c r="FT24" s="11" t="n">
        <v>11212014</v>
      </c>
      <c r="FU24" s="11" t="n">
        <v>-204745026</v>
      </c>
      <c r="FV24" s="11" t="n">
        <v>-76511610</v>
      </c>
      <c r="FW24" s="11" t="n">
        <v>-59880420</v>
      </c>
      <c r="FX24" s="11" t="n">
        <v>-9667086</v>
      </c>
      <c r="FY24" s="11" t="n">
        <v>3826779</v>
      </c>
      <c r="FZ24" s="11" t="n">
        <v>3343725</v>
      </c>
      <c r="GA24" s="11" t="n">
        <v>-135850551</v>
      </c>
      <c r="GB24" s="11" t="n">
        <v>-112689855</v>
      </c>
      <c r="GC24" s="11" t="n">
        <v>-2380005</v>
      </c>
      <c r="GD24" s="11" t="n">
        <v>344822</v>
      </c>
      <c r="GE24" s="11" t="n">
        <v>-5231308</v>
      </c>
      <c r="GF24" s="11" t="n">
        <v>-489326</v>
      </c>
      <c r="GG24" s="11" t="n">
        <v>612360</v>
      </c>
      <c r="GH24" s="11" t="n">
        <v>-323418</v>
      </c>
      <c r="GI24" s="11" t="n">
        <v>72023</v>
      </c>
      <c r="GJ24" s="11" t="n">
        <v>42705</v>
      </c>
      <c r="GK24" s="11" t="n">
        <v>-1551616</v>
      </c>
      <c r="GL24" s="11" t="n">
        <v>-73530</v>
      </c>
      <c r="GM24" s="11" t="n">
        <v>-188505</v>
      </c>
      <c r="GN24" s="11" t="n">
        <v>-2511610</v>
      </c>
      <c r="GO24" s="11" t="n">
        <v>-4393036</v>
      </c>
      <c r="GP24" s="11" t="n">
        <v>-5784180</v>
      </c>
      <c r="GQ24" s="11" t="n">
        <v>63082774</v>
      </c>
      <c r="GR24" s="11" t="n">
        <v>92212320</v>
      </c>
      <c r="GS24" s="11" t="n">
        <v>16009620</v>
      </c>
      <c r="GT24" s="11" t="n">
        <v>4644949</v>
      </c>
      <c r="GU24" s="11" t="n">
        <v>5736195</v>
      </c>
      <c r="GV24" s="11" t="n">
        <v>-664080</v>
      </c>
      <c r="GW24" s="11" t="n">
        <v>26463675</v>
      </c>
      <c r="GX24" s="11" t="n">
        <v>-27960</v>
      </c>
      <c r="GY24" s="11" t="n">
        <v>-14737005</v>
      </c>
      <c r="GZ24" s="11" t="n">
        <v>1204665</v>
      </c>
      <c r="HA24" s="11" t="n">
        <v>-11040330</v>
      </c>
      <c r="HB24" s="11" t="n">
        <v>6646830</v>
      </c>
      <c r="HC24" s="11" t="n">
        <v>5672685</v>
      </c>
      <c r="HD24" s="11" t="n">
        <v>-177907</v>
      </c>
      <c r="HE24" s="11" t="n">
        <v>11607</v>
      </c>
      <c r="HF24" s="11" t="n">
        <v>-130286</v>
      </c>
      <c r="HG24" s="11" t="n">
        <v>70882</v>
      </c>
      <c r="HH24" s="11" t="n">
        <v>55283</v>
      </c>
      <c r="HI24" s="11" t="n">
        <v>-1547422</v>
      </c>
      <c r="HJ24" s="11" t="n">
        <v>1578203</v>
      </c>
      <c r="HK24" s="11" t="n">
        <v>-4933090</v>
      </c>
      <c r="HL24" s="11" t="n">
        <v>-6956528</v>
      </c>
      <c r="HM24" s="11" t="n">
        <v>1030253</v>
      </c>
      <c r="HN24" s="11" t="n">
        <v>-294682</v>
      </c>
      <c r="HO24" s="11" t="n">
        <v>-26990</v>
      </c>
      <c r="HP24" s="11" t="n">
        <v>-2983842</v>
      </c>
      <c r="HQ24" s="11" t="n">
        <v>-4604037</v>
      </c>
      <c r="HR24" s="11" t="n">
        <v>1238718</v>
      </c>
      <c r="HS24" s="11" t="n">
        <v>13635699</v>
      </c>
      <c r="HT24" s="11" t="n">
        <v>-1332639</v>
      </c>
      <c r="HU24" s="11" t="n">
        <v>10110462</v>
      </c>
      <c r="HV24" s="11" t="n">
        <v>-6360954</v>
      </c>
      <c r="HW24" s="11" t="n">
        <v>-5415891</v>
      </c>
      <c r="HX24" s="11" t="n">
        <v>-114901941</v>
      </c>
      <c r="HY24" s="11" t="n">
        <v>-55246341</v>
      </c>
      <c r="HZ24" s="11" t="n">
        <v>-111131535</v>
      </c>
      <c r="IA24" s="11" t="n">
        <v>-88089684</v>
      </c>
      <c r="IB24" s="11" t="n">
        <v>90595659</v>
      </c>
      <c r="IC24" s="11" t="n">
        <v>-42739851</v>
      </c>
      <c r="ID24" s="11" t="n">
        <v>-37028145</v>
      </c>
      <c r="IE24" s="11" t="n">
        <v>-108172716</v>
      </c>
      <c r="IF24" s="11" t="n">
        <v>-87258861</v>
      </c>
      <c r="IG24" s="11" t="n">
        <v>-3046551</v>
      </c>
      <c r="IH24" s="11" t="n">
        <v>-2818893</v>
      </c>
      <c r="II24" s="11" t="n">
        <v>793322</v>
      </c>
      <c r="IJ24" s="11" t="n">
        <v>-5906031</v>
      </c>
      <c r="IK24" s="11" t="n">
        <v>-7500092</v>
      </c>
      <c r="IL24" s="11" t="n">
        <v>2012592</v>
      </c>
      <c r="IM24" s="11" t="n">
        <v>-737787</v>
      </c>
      <c r="IN24" s="11" t="n">
        <v>-386625</v>
      </c>
      <c r="IO24" s="11" t="n">
        <v>-4009066</v>
      </c>
      <c r="IP24" s="11" t="n">
        <v>-5245998</v>
      </c>
      <c r="IQ24" s="11" t="n">
        <v>1152953</v>
      </c>
      <c r="IR24" s="11" t="n">
        <v>-18105985</v>
      </c>
      <c r="IS24" s="11" t="n">
        <v>26793384</v>
      </c>
      <c r="IT24" s="11" t="n">
        <v>44989240</v>
      </c>
      <c r="IU24" s="11" t="n">
        <v>30394459</v>
      </c>
      <c r="IV24" s="11" t="n">
        <v>35512380</v>
      </c>
      <c r="IW24" s="11" t="n">
        <v>22971784</v>
      </c>
      <c r="IX24" s="11" t="n">
        <v>-14390681</v>
      </c>
      <c r="IY24" s="11" t="n">
        <v>-29637435</v>
      </c>
      <c r="IZ24" s="11" t="n">
        <v>8100160</v>
      </c>
      <c r="JA24" s="11" t="n">
        <v>21526941</v>
      </c>
      <c r="JB24" s="11" t="n">
        <v>-1030500</v>
      </c>
      <c r="JC24" s="11" t="n">
        <v>82500</v>
      </c>
      <c r="JD24" s="11" t="n">
        <v>-905400</v>
      </c>
      <c r="JE24" s="11" t="n">
        <v>408000</v>
      </c>
      <c r="JF24" s="11" t="n">
        <v>352140</v>
      </c>
      <c r="JG24" s="11" t="n">
        <v>-915750</v>
      </c>
      <c r="JH24" s="11" t="n">
        <v>-70308450</v>
      </c>
      <c r="JI24" s="11" t="n">
        <v>-29930625</v>
      </c>
      <c r="JJ24" s="11" t="n">
        <v>-23469705</v>
      </c>
      <c r="JK24" s="11" t="n">
        <v>6433350</v>
      </c>
      <c r="JL24" s="11" t="n">
        <v>2033625</v>
      </c>
      <c r="JM24" s="11" t="n">
        <v>1566015</v>
      </c>
      <c r="JN24" s="11" t="n">
        <v>-54133950</v>
      </c>
      <c r="JO24" s="11" t="n">
        <v>-44646180</v>
      </c>
      <c r="JP24" s="11" t="n">
        <v>-935595</v>
      </c>
      <c r="JQ24" s="11" t="n">
        <v>97150</v>
      </c>
      <c r="JR24" s="11" t="n">
        <v>-959130</v>
      </c>
      <c r="JS24" s="11" t="n">
        <v>-16375</v>
      </c>
      <c r="JT24" s="11" t="n">
        <v>203113</v>
      </c>
      <c r="JU24" s="11" t="n">
        <v>-8570</v>
      </c>
      <c r="JV24" s="11" t="n">
        <v>39775</v>
      </c>
      <c r="JW24" s="11" t="n">
        <v>16937</v>
      </c>
      <c r="JX24" s="11" t="n">
        <v>-394130</v>
      </c>
      <c r="JY24" s="11" t="n">
        <v>-149296</v>
      </c>
      <c r="JZ24" s="11" t="n">
        <v>-86013</v>
      </c>
      <c r="KA24" s="11" t="n">
        <v>-7480630</v>
      </c>
      <c r="KB24" s="11" t="n">
        <v>-2836250</v>
      </c>
      <c r="KC24" s="11" t="n">
        <v>-2032102</v>
      </c>
      <c r="KD24" s="11" t="n">
        <v>26740475</v>
      </c>
      <c r="KE24" s="11" t="n">
        <v>35702143</v>
      </c>
      <c r="KF24" s="11" t="n">
        <v>6272310</v>
      </c>
      <c r="KG24" s="11" t="n">
        <v>3312905</v>
      </c>
      <c r="KH24" s="11" t="n">
        <v>1483423</v>
      </c>
      <c r="KI24" s="11" t="n">
        <v>-337512</v>
      </c>
      <c r="KJ24" s="11" t="n">
        <v>10508523</v>
      </c>
      <c r="KK24" s="11" t="n">
        <v>8881950</v>
      </c>
      <c r="KL24" s="11" t="n">
        <v>68917410</v>
      </c>
      <c r="KM24" s="11" t="n">
        <v>35464875</v>
      </c>
      <c r="KN24" s="11" t="n">
        <v>27875559</v>
      </c>
      <c r="KO24" s="11" t="n">
        <v>-13321110</v>
      </c>
      <c r="KP24" s="11" t="n">
        <v>677325</v>
      </c>
      <c r="KQ24" s="11" t="n">
        <v>803451</v>
      </c>
      <c r="KR24" s="11" t="n">
        <v>58445610</v>
      </c>
      <c r="KS24" s="11" t="n">
        <v>48041832</v>
      </c>
      <c r="KT24" s="11" t="n">
        <v>1082361</v>
      </c>
      <c r="KU24" s="11" t="n">
        <v>-544750140</v>
      </c>
      <c r="KV24" s="11" t="n">
        <v>-226458375</v>
      </c>
      <c r="KW24" s="11" t="n">
        <v>-177515481</v>
      </c>
      <c r="KX24" s="11" t="n">
        <v>417990525</v>
      </c>
      <c r="KY24" s="11" t="n">
        <v>332281479</v>
      </c>
      <c r="KZ24" s="11" t="n">
        <v>1924065</v>
      </c>
      <c r="LA24" s="11" t="n">
        <v>381183165</v>
      </c>
      <c r="LB24" s="11" t="n">
        <v>315514419</v>
      </c>
      <c r="LC24" s="11" t="n">
        <v>6948084</v>
      </c>
      <c r="LD24" s="11" t="n">
        <v>-9585921</v>
      </c>
      <c r="LE24" s="11" t="n">
        <v>-14763970</v>
      </c>
      <c r="LF24" s="11" t="n">
        <v>-3484575</v>
      </c>
      <c r="LG24" s="11" t="n">
        <v>-877313</v>
      </c>
      <c r="LH24" s="11" t="n">
        <v>31913540</v>
      </c>
      <c r="LI24" s="11" t="n">
        <v>39528682</v>
      </c>
      <c r="LJ24" s="11" t="n">
        <v>7433129</v>
      </c>
      <c r="LK24" s="11" t="n">
        <v>6352030</v>
      </c>
      <c r="LL24" s="11" t="n">
        <v>2651322</v>
      </c>
      <c r="LM24" s="11" t="n">
        <v>248308</v>
      </c>
      <c r="LN24" s="11" t="n">
        <v>11275714</v>
      </c>
      <c r="LO24" s="11" t="n">
        <v>-162712235</v>
      </c>
      <c r="LP24" s="11" t="n">
        <v>-241266485</v>
      </c>
      <c r="LQ24" s="11" t="n">
        <v>-47274656</v>
      </c>
      <c r="LR24" s="11" t="n">
        <v>85875779</v>
      </c>
      <c r="LS24" s="11" t="n">
        <v>74582204</v>
      </c>
    </row>
    <row r="25" customFormat="false" ht="15" hidden="false" customHeight="true" outlineLevel="0" collapsed="false">
      <c r="A25" s="7" t="s">
        <v>91</v>
      </c>
      <c r="B25" s="11" t="n">
        <v>180840</v>
      </c>
      <c r="C25" s="11" t="n">
        <v>-3137056</v>
      </c>
      <c r="D25" s="11" t="n">
        <v>489176</v>
      </c>
      <c r="E25" s="11" t="n">
        <v>20205936</v>
      </c>
      <c r="F25" s="11" t="n">
        <v>473096</v>
      </c>
      <c r="G25" s="11" t="n">
        <v>-14978552</v>
      </c>
      <c r="H25" s="11" t="n">
        <v>-1303080</v>
      </c>
      <c r="I25" s="11" t="n">
        <v>-19059408</v>
      </c>
      <c r="J25" s="11" t="n">
        <v>639316</v>
      </c>
      <c r="K25" s="11" t="n">
        <v>-50756</v>
      </c>
      <c r="L25" s="11" t="n">
        <v>-59016</v>
      </c>
      <c r="M25" s="11" t="n">
        <v>-105896</v>
      </c>
      <c r="N25" s="11" t="n">
        <v>5219612</v>
      </c>
      <c r="O25" s="11" t="n">
        <v>-587760</v>
      </c>
      <c r="P25" s="11" t="n">
        <v>1978128</v>
      </c>
      <c r="Q25" s="11" t="n">
        <v>-848892</v>
      </c>
      <c r="R25" s="11" t="n">
        <v>-70409432</v>
      </c>
      <c r="S25" s="11" t="n">
        <v>164476</v>
      </c>
      <c r="T25" s="11" t="n">
        <v>-37592276</v>
      </c>
      <c r="U25" s="11" t="n">
        <v>14802676</v>
      </c>
      <c r="V25" s="11" t="n">
        <v>33065064</v>
      </c>
      <c r="W25" s="11" t="n">
        <v>5511520</v>
      </c>
      <c r="X25" s="11" t="n">
        <v>-153668</v>
      </c>
      <c r="Y25" s="11" t="n">
        <v>9915160</v>
      </c>
      <c r="Z25" s="11" t="n">
        <v>-1955636</v>
      </c>
      <c r="AA25" s="11" t="n">
        <v>1512</v>
      </c>
      <c r="AB25" s="11" t="n">
        <v>-11677768</v>
      </c>
      <c r="AC25" s="11" t="n">
        <v>578318800</v>
      </c>
      <c r="AD25" s="11" t="n">
        <v>-66097896</v>
      </c>
      <c r="AE25" s="11" t="n">
        <v>214803792</v>
      </c>
      <c r="AF25" s="11" t="n">
        <v>4883924</v>
      </c>
      <c r="AG25" s="11" t="n">
        <v>-2300696</v>
      </c>
      <c r="AH25" s="11" t="n">
        <v>-5985792</v>
      </c>
      <c r="AI25" s="11" t="n">
        <v>86293772</v>
      </c>
      <c r="AJ25" s="11" t="n">
        <v>386270856</v>
      </c>
      <c r="AK25" s="11" t="n">
        <v>-76200048</v>
      </c>
      <c r="AL25" s="11" t="n">
        <v>1827340</v>
      </c>
      <c r="AM25" s="11" t="n">
        <v>-175220</v>
      </c>
      <c r="AN25" s="11" t="n">
        <v>-7646700</v>
      </c>
      <c r="AO25" s="11" t="n">
        <v>214000</v>
      </c>
      <c r="AP25" s="11" t="n">
        <v>11788580</v>
      </c>
      <c r="AQ25" s="11" t="n">
        <v>-231840</v>
      </c>
      <c r="AR25" s="11" t="n">
        <v>9953580</v>
      </c>
      <c r="AS25" s="11" t="n">
        <v>-1903428</v>
      </c>
      <c r="AT25" s="11" t="n">
        <v>-71527256</v>
      </c>
      <c r="AU25" s="11" t="n">
        <v>-8492796</v>
      </c>
      <c r="AV25" s="11" t="n">
        <v>-53143820</v>
      </c>
      <c r="AW25" s="11" t="n">
        <v>17189036</v>
      </c>
      <c r="AX25" s="11" t="n">
        <v>19924136</v>
      </c>
      <c r="AY25" s="11" t="n">
        <v>-1106492</v>
      </c>
      <c r="AZ25" s="11" t="n">
        <v>1037268</v>
      </c>
      <c r="BA25" s="11" t="n">
        <v>17375296</v>
      </c>
      <c r="BB25" s="11" t="n">
        <v>-1889716</v>
      </c>
      <c r="BC25" s="11" t="n">
        <v>8457548</v>
      </c>
      <c r="BD25" s="11" t="n">
        <v>43915580</v>
      </c>
      <c r="BE25" s="11" t="n">
        <v>683824372</v>
      </c>
      <c r="BF25" s="11" t="n">
        <v>-81004236</v>
      </c>
      <c r="BG25" s="11" t="n">
        <v>306236592</v>
      </c>
      <c r="BH25" s="11" t="n">
        <v>48565252</v>
      </c>
      <c r="BI25" s="11" t="n">
        <v>935504</v>
      </c>
      <c r="BJ25" s="11" t="n">
        <v>48593852</v>
      </c>
      <c r="BK25" s="11" t="n">
        <v>104147812</v>
      </c>
      <c r="BL25" s="11" t="n">
        <v>418011172</v>
      </c>
      <c r="BM25" s="11" t="n">
        <v>-96157068</v>
      </c>
      <c r="BN25" s="11" t="n">
        <v>-106572</v>
      </c>
      <c r="BO25" s="11" t="n">
        <v>-26436714</v>
      </c>
      <c r="BP25" s="11" t="n">
        <v>1826596</v>
      </c>
      <c r="BQ25" s="11" t="n">
        <v>-11067120</v>
      </c>
      <c r="BR25" s="11" t="n">
        <v>5119544</v>
      </c>
      <c r="BS25" s="11" t="n">
        <v>15200014</v>
      </c>
      <c r="BT25" s="11" t="n">
        <v>2089002</v>
      </c>
      <c r="BU25" s="11" t="n">
        <v>-162668</v>
      </c>
      <c r="BV25" s="11" t="n">
        <v>1748724</v>
      </c>
      <c r="BW25" s="11" t="n">
        <v>-504424</v>
      </c>
      <c r="BX25" s="11" t="n">
        <v>-876998</v>
      </c>
      <c r="BY25" s="11" t="n">
        <v>-4547580</v>
      </c>
      <c r="BZ25" s="11" t="n">
        <v>216860718</v>
      </c>
      <c r="CA25" s="11" t="n">
        <v>-24777384</v>
      </c>
      <c r="CB25" s="11" t="n">
        <v>80395548</v>
      </c>
      <c r="CC25" s="11" t="n">
        <v>-13079852</v>
      </c>
      <c r="CD25" s="11" t="n">
        <v>831296</v>
      </c>
      <c r="CE25" s="11" t="n">
        <v>-8169452</v>
      </c>
      <c r="CF25" s="11" t="n">
        <v>31623208</v>
      </c>
      <c r="CG25" s="11" t="n">
        <v>158341658</v>
      </c>
      <c r="CH25" s="11" t="n">
        <v>-29814792</v>
      </c>
      <c r="CI25" s="11" t="n">
        <v>23365974</v>
      </c>
      <c r="CJ25" s="11" t="n">
        <v>-2397960</v>
      </c>
      <c r="CK25" s="11" t="n">
        <v>8428548</v>
      </c>
      <c r="CL25" s="11" t="n">
        <v>-4330236</v>
      </c>
      <c r="CM25" s="11" t="n">
        <v>-14670930</v>
      </c>
      <c r="CN25" s="11" t="n">
        <v>-194366138</v>
      </c>
      <c r="CO25" s="11" t="n">
        <v>-335650314</v>
      </c>
      <c r="CP25" s="11" t="n">
        <v>48285866</v>
      </c>
      <c r="CQ25" s="11" t="n">
        <v>-306722672</v>
      </c>
      <c r="CR25" s="11" t="n">
        <v>104558036</v>
      </c>
      <c r="CS25" s="11" t="n">
        <v>-40975772</v>
      </c>
      <c r="CT25" s="11" t="n">
        <v>-90560030</v>
      </c>
      <c r="CU25" s="11" t="n">
        <v>-44785864</v>
      </c>
      <c r="CV25" s="11" t="n">
        <v>-321387374</v>
      </c>
      <c r="CW25" s="11" t="n">
        <v>87160078</v>
      </c>
      <c r="CX25" s="11" t="n">
        <v>11339254</v>
      </c>
      <c r="CY25" s="11" t="n">
        <v>218194140</v>
      </c>
      <c r="CZ25" s="11" t="n">
        <v>-25714882</v>
      </c>
      <c r="DA25" s="11" t="n">
        <v>95294164</v>
      </c>
      <c r="DB25" s="11" t="n">
        <v>-26482708</v>
      </c>
      <c r="DC25" s="11" t="n">
        <v>4740436</v>
      </c>
      <c r="DD25" s="11" t="n">
        <v>-2660030</v>
      </c>
      <c r="DE25" s="11" t="n">
        <v>31160396</v>
      </c>
      <c r="DF25" s="11" t="n">
        <v>171373228</v>
      </c>
      <c r="DG25" s="11" t="n">
        <v>-33805886</v>
      </c>
      <c r="DH25" s="11" t="n">
        <v>-1652125786</v>
      </c>
      <c r="DI25" s="11" t="n">
        <v>190472548</v>
      </c>
      <c r="DJ25" s="11" t="n">
        <v>-643840156</v>
      </c>
      <c r="DK25" s="11" t="n">
        <v>-81506758</v>
      </c>
      <c r="DL25" s="11" t="n">
        <v>1495318516</v>
      </c>
      <c r="DM25" s="11" t="n">
        <v>-140630820</v>
      </c>
      <c r="DN25" s="11" t="n">
        <v>245833428</v>
      </c>
      <c r="DO25" s="11" t="n">
        <v>1116116342</v>
      </c>
      <c r="DP25" s="11" t="n">
        <v>-224478644</v>
      </c>
      <c r="DQ25" s="11" t="n">
        <v>277563794</v>
      </c>
      <c r="DR25" s="11" t="n">
        <v>32234</v>
      </c>
      <c r="DS25" s="11" t="n">
        <v>-5674</v>
      </c>
      <c r="DT25" s="11" t="n">
        <v>-43944</v>
      </c>
      <c r="DU25" s="11" t="n">
        <v>-6964</v>
      </c>
      <c r="DV25" s="11" t="n">
        <v>537238</v>
      </c>
      <c r="DW25" s="11" t="n">
        <v>-91380</v>
      </c>
      <c r="DX25" s="11" t="n">
        <v>259272</v>
      </c>
      <c r="DY25" s="11" t="n">
        <v>11234</v>
      </c>
      <c r="DZ25" s="11" t="n">
        <v>-2839324</v>
      </c>
      <c r="EA25" s="11" t="n">
        <v>36478</v>
      </c>
      <c r="EB25" s="11" t="n">
        <v>-6649674</v>
      </c>
      <c r="EC25" s="11" t="n">
        <v>1817450</v>
      </c>
      <c r="ED25" s="11" t="n">
        <v>-1100364</v>
      </c>
      <c r="EE25" s="11" t="n">
        <v>515108</v>
      </c>
      <c r="EF25" s="11" t="n">
        <v>-3994</v>
      </c>
      <c r="EG25" s="11" t="n">
        <v>983276</v>
      </c>
      <c r="EH25" s="11" t="n">
        <v>-288070</v>
      </c>
      <c r="EI25" s="11" t="n">
        <v>103332</v>
      </c>
      <c r="EJ25" s="11" t="n">
        <v>-663152</v>
      </c>
      <c r="EK25" s="11" t="n">
        <v>56387852</v>
      </c>
      <c r="EL25" s="11" t="n">
        <v>-10526880</v>
      </c>
      <c r="EM25" s="11" t="n">
        <v>24338016</v>
      </c>
      <c r="EN25" s="11" t="n">
        <v>828658</v>
      </c>
      <c r="EO25" s="11" t="n">
        <v>-289240</v>
      </c>
      <c r="EP25" s="11" t="n">
        <v>-55680</v>
      </c>
      <c r="EQ25" s="11" t="n">
        <v>11439970</v>
      </c>
      <c r="ER25" s="11" t="n">
        <v>35146644</v>
      </c>
      <c r="ES25" s="11" t="n">
        <v>-11499120</v>
      </c>
      <c r="ET25" s="11" t="n">
        <v>-11012</v>
      </c>
      <c r="EU25" s="11" t="n">
        <v>-144834</v>
      </c>
      <c r="EV25" s="11" t="n">
        <v>-5744</v>
      </c>
      <c r="EW25" s="11" t="n">
        <v>968900</v>
      </c>
      <c r="EX25" s="11" t="n">
        <v>-218286</v>
      </c>
      <c r="EY25" s="11" t="n">
        <v>564000</v>
      </c>
      <c r="EZ25" s="11" t="n">
        <v>10482</v>
      </c>
      <c r="FA25" s="11" t="n">
        <v>-1368</v>
      </c>
      <c r="FB25" s="11" t="n">
        <v>12984</v>
      </c>
      <c r="FC25" s="11" t="n">
        <v>7206</v>
      </c>
      <c r="FD25" s="11" t="n">
        <v>-10704</v>
      </c>
      <c r="FE25" s="11" t="n">
        <v>-23460</v>
      </c>
      <c r="FF25" s="11" t="n">
        <v>1093038</v>
      </c>
      <c r="FG25" s="11" t="n">
        <v>-113004</v>
      </c>
      <c r="FH25" s="11" t="n">
        <v>396072</v>
      </c>
      <c r="FI25" s="11" t="n">
        <v>-113592</v>
      </c>
      <c r="FJ25" s="11" t="n">
        <v>30876</v>
      </c>
      <c r="FK25" s="11" t="n">
        <v>-75648</v>
      </c>
      <c r="FL25" s="11" t="n">
        <v>-891402</v>
      </c>
      <c r="FM25" s="11" t="n">
        <v>1606800</v>
      </c>
      <c r="FN25" s="11" t="n">
        <v>156888</v>
      </c>
      <c r="FO25" s="11" t="n">
        <v>-1020466</v>
      </c>
      <c r="FP25" s="11" t="n">
        <v>10460</v>
      </c>
      <c r="FQ25" s="11" t="n">
        <v>-1934032</v>
      </c>
      <c r="FR25" s="11" t="n">
        <v>544814</v>
      </c>
      <c r="FS25" s="11" t="n">
        <v>-179352</v>
      </c>
      <c r="FT25" s="11" t="n">
        <v>669862</v>
      </c>
      <c r="FU25" s="11" t="n">
        <v>-115223674</v>
      </c>
      <c r="FV25" s="11" t="n">
        <v>27393846</v>
      </c>
      <c r="FW25" s="11" t="n">
        <v>-54623964</v>
      </c>
      <c r="FX25" s="11" t="n">
        <v>-88484</v>
      </c>
      <c r="FY25" s="11" t="n">
        <v>76838</v>
      </c>
      <c r="FZ25" s="11" t="n">
        <v>442176</v>
      </c>
      <c r="GA25" s="11" t="n">
        <v>-9598454</v>
      </c>
      <c r="GB25" s="11" t="n">
        <v>-83274600</v>
      </c>
      <c r="GC25" s="11" t="n">
        <v>24348444</v>
      </c>
      <c r="GD25" s="11" t="n">
        <v>116814</v>
      </c>
      <c r="GE25" s="11" t="n">
        <v>637740</v>
      </c>
      <c r="GF25" s="11" t="n">
        <v>-1186362</v>
      </c>
      <c r="GG25" s="11" t="n">
        <v>1162644</v>
      </c>
      <c r="GH25" s="11" t="n">
        <v>-227928</v>
      </c>
      <c r="GI25" s="11" t="n">
        <v>74526</v>
      </c>
      <c r="GJ25" s="11" t="n">
        <v>-32448</v>
      </c>
      <c r="GK25" s="11" t="n">
        <v>-1907964</v>
      </c>
      <c r="GL25" s="11" t="n">
        <v>2091408</v>
      </c>
      <c r="GM25" s="11" t="n">
        <v>-412212</v>
      </c>
      <c r="GN25" s="11" t="n">
        <v>-13608426</v>
      </c>
      <c r="GO25" s="11" t="n">
        <v>3914568</v>
      </c>
      <c r="GP25" s="11" t="n">
        <v>-7016064</v>
      </c>
      <c r="GQ25" s="11" t="n">
        <v>-116835678</v>
      </c>
      <c r="GR25" s="11" t="n">
        <v>97140156</v>
      </c>
      <c r="GS25" s="11" t="n">
        <v>32293584</v>
      </c>
      <c r="GT25" s="11" t="n">
        <v>1043898</v>
      </c>
      <c r="GU25" s="11" t="n">
        <v>9909696</v>
      </c>
      <c r="GV25" s="11" t="n">
        <v>-3388800</v>
      </c>
      <c r="GW25" s="11" t="n">
        <v>92531676</v>
      </c>
      <c r="GX25" s="11" t="n">
        <v>-26102</v>
      </c>
      <c r="GY25" s="11" t="n">
        <v>918951</v>
      </c>
      <c r="GZ25" s="11" t="n">
        <v>-108514</v>
      </c>
      <c r="HA25" s="11" t="n">
        <v>3327380</v>
      </c>
      <c r="HB25" s="11" t="n">
        <v>-882046</v>
      </c>
      <c r="HC25" s="11" t="n">
        <v>845689</v>
      </c>
      <c r="HD25" s="11" t="n">
        <v>-197343</v>
      </c>
      <c r="HE25" s="11" t="n">
        <v>13462</v>
      </c>
      <c r="HF25" s="11" t="n">
        <v>-150666</v>
      </c>
      <c r="HG25" s="11" t="n">
        <v>81266</v>
      </c>
      <c r="HH25" s="11" t="n">
        <v>61087</v>
      </c>
      <c r="HI25" s="11" t="n">
        <v>346470</v>
      </c>
      <c r="HJ25" s="11" t="n">
        <v>-19852137</v>
      </c>
      <c r="HK25" s="11" t="n">
        <v>3807606</v>
      </c>
      <c r="HL25" s="11" t="n">
        <v>-8544432</v>
      </c>
      <c r="HM25" s="11" t="n">
        <v>1089718</v>
      </c>
      <c r="HN25" s="11" t="n">
        <v>-117064</v>
      </c>
      <c r="HO25" s="11" t="n">
        <v>690118</v>
      </c>
      <c r="HP25" s="11" t="n">
        <v>-5268122</v>
      </c>
      <c r="HQ25" s="11" t="n">
        <v>-12668617</v>
      </c>
      <c r="HR25" s="11" t="n">
        <v>4697238</v>
      </c>
      <c r="HS25" s="11" t="n">
        <v>-1978921</v>
      </c>
      <c r="HT25" s="11" t="n">
        <v>-8280</v>
      </c>
      <c r="HU25" s="11" t="n">
        <v>-4225042</v>
      </c>
      <c r="HV25" s="11" t="n">
        <v>1164304</v>
      </c>
      <c r="HW25" s="11" t="n">
        <v>-596303</v>
      </c>
      <c r="HX25" s="11" t="n">
        <v>8518487</v>
      </c>
      <c r="HY25" s="11" t="n">
        <v>-103517569</v>
      </c>
      <c r="HZ25" s="11" t="n">
        <v>25881581</v>
      </c>
      <c r="IA25" s="11" t="n">
        <v>-43122308</v>
      </c>
      <c r="IB25" s="11" t="n">
        <v>-18620294</v>
      </c>
      <c r="IC25" s="11" t="n">
        <v>5120168</v>
      </c>
      <c r="ID25" s="11" t="n">
        <v>-2747281</v>
      </c>
      <c r="IE25" s="11" t="n">
        <v>-5647094</v>
      </c>
      <c r="IF25" s="11" t="n">
        <v>-60874449</v>
      </c>
      <c r="IG25" s="11" t="n">
        <v>17572309</v>
      </c>
      <c r="IH25" s="11" t="n">
        <v>-1083221</v>
      </c>
      <c r="II25" s="11" t="n">
        <v>-20520510</v>
      </c>
      <c r="IJ25" s="11" t="n">
        <v>2641493</v>
      </c>
      <c r="IK25" s="11" t="n">
        <v>-9139628</v>
      </c>
      <c r="IL25" s="11" t="n">
        <v>2226842</v>
      </c>
      <c r="IM25" s="11" t="n">
        <v>-626264</v>
      </c>
      <c r="IN25" s="11" t="n">
        <v>288163</v>
      </c>
      <c r="IO25" s="11" t="n">
        <v>-6433654</v>
      </c>
      <c r="IP25" s="11" t="n">
        <v>-13329926</v>
      </c>
      <c r="IQ25" s="11" t="n">
        <v>4581373</v>
      </c>
      <c r="IR25" s="11" t="n">
        <v>144996239</v>
      </c>
      <c r="IS25" s="11" t="n">
        <v>-25537652</v>
      </c>
      <c r="IT25" s="11" t="n">
        <v>62946824</v>
      </c>
      <c r="IU25" s="11" t="n">
        <v>-130203433</v>
      </c>
      <c r="IV25" s="11" t="n">
        <v>-30936212</v>
      </c>
      <c r="IW25" s="11" t="n">
        <v>61973544</v>
      </c>
      <c r="IX25" s="11" t="n">
        <v>-31330272</v>
      </c>
      <c r="IY25" s="11" t="n">
        <v>-90831031</v>
      </c>
      <c r="IZ25" s="11" t="n">
        <v>29599060</v>
      </c>
      <c r="JA25" s="11" t="n">
        <v>74879681</v>
      </c>
      <c r="JB25" s="11" t="n">
        <v>-431220</v>
      </c>
      <c r="JC25" s="11" t="n">
        <v>32420</v>
      </c>
      <c r="JD25" s="11" t="n">
        <v>-352140</v>
      </c>
      <c r="JE25" s="11" t="n">
        <v>124570</v>
      </c>
      <c r="JF25" s="11" t="n">
        <v>167798</v>
      </c>
      <c r="JG25" s="11" t="n">
        <v>651330</v>
      </c>
      <c r="JH25" s="11" t="n">
        <v>-42572730</v>
      </c>
      <c r="JI25" s="11" t="n">
        <v>10186275</v>
      </c>
      <c r="JJ25" s="11" t="n">
        <v>-19878789</v>
      </c>
      <c r="JK25" s="11" t="n">
        <v>2668820</v>
      </c>
      <c r="JL25" s="11" t="n">
        <v>-577670</v>
      </c>
      <c r="JM25" s="11" t="n">
        <v>1747976</v>
      </c>
      <c r="JN25" s="11" t="n">
        <v>-3980080</v>
      </c>
      <c r="JO25" s="11" t="n">
        <v>-32799350</v>
      </c>
      <c r="JP25" s="11" t="n">
        <v>9706269</v>
      </c>
      <c r="JQ25" s="11" t="n">
        <v>22710</v>
      </c>
      <c r="JR25" s="11" t="n">
        <v>-173250</v>
      </c>
      <c r="JS25" s="11" t="n">
        <v>-400755</v>
      </c>
      <c r="JT25" s="11" t="n">
        <v>259437</v>
      </c>
      <c r="JU25" s="11" t="n">
        <v>-5520</v>
      </c>
      <c r="JV25" s="11" t="n">
        <v>36690</v>
      </c>
      <c r="JW25" s="11" t="n">
        <v>-10668</v>
      </c>
      <c r="JX25" s="11" t="n">
        <v>-377310</v>
      </c>
      <c r="JY25" s="11" t="n">
        <v>144444</v>
      </c>
      <c r="JZ25" s="11" t="n">
        <v>-230889</v>
      </c>
      <c r="KA25" s="11" t="n">
        <v>-1980390</v>
      </c>
      <c r="KB25" s="11" t="n">
        <v>1141770</v>
      </c>
      <c r="KC25" s="11" t="n">
        <v>-1438770</v>
      </c>
      <c r="KD25" s="11" t="n">
        <v>-43657545</v>
      </c>
      <c r="KE25" s="11" t="n">
        <v>33599883</v>
      </c>
      <c r="KF25" s="11" t="n">
        <v>12345966</v>
      </c>
      <c r="KG25" s="11" t="n">
        <v>2921970</v>
      </c>
      <c r="KH25" s="11" t="n">
        <v>-580572</v>
      </c>
      <c r="KI25" s="11" t="n">
        <v>-1788114</v>
      </c>
      <c r="KJ25" s="11" t="n">
        <v>36776343</v>
      </c>
      <c r="KK25" s="11" t="n">
        <v>2594710</v>
      </c>
      <c r="KL25" s="11" t="n">
        <v>43102650</v>
      </c>
      <c r="KM25" s="11" t="n">
        <v>-9790705</v>
      </c>
      <c r="KN25" s="11" t="n">
        <v>22572859</v>
      </c>
      <c r="KO25" s="11" t="n">
        <v>-5359420</v>
      </c>
      <c r="KP25" s="11" t="n">
        <v>1485640</v>
      </c>
      <c r="KQ25" s="11" t="n">
        <v>-687410</v>
      </c>
      <c r="KR25" s="11" t="n">
        <v>4456190</v>
      </c>
      <c r="KS25" s="11" t="n">
        <v>35205568</v>
      </c>
      <c r="KT25" s="11" t="n">
        <v>-10330601</v>
      </c>
      <c r="KU25" s="11" t="n">
        <v>-321269740</v>
      </c>
      <c r="KV25" s="11" t="n">
        <v>76080445</v>
      </c>
      <c r="KW25" s="11" t="n">
        <v>-153708253</v>
      </c>
      <c r="KX25" s="11" t="n">
        <v>51570905</v>
      </c>
      <c r="KY25" s="11" t="n">
        <v>241546651</v>
      </c>
      <c r="KZ25" s="11" t="n">
        <v>-81874659</v>
      </c>
      <c r="LA25" s="11" t="n">
        <v>26802270</v>
      </c>
      <c r="LB25" s="11" t="n">
        <v>232373966</v>
      </c>
      <c r="LC25" s="11" t="n">
        <v>-67852157</v>
      </c>
      <c r="LD25" s="11" t="n">
        <v>-17149879</v>
      </c>
      <c r="LE25" s="11" t="n">
        <v>-3312450</v>
      </c>
      <c r="LF25" s="11" t="n">
        <v>-1895775</v>
      </c>
      <c r="LG25" s="11" t="n">
        <v>372279</v>
      </c>
      <c r="LH25" s="11" t="n">
        <v>-43991100</v>
      </c>
      <c r="LI25" s="11" t="n">
        <v>35001090</v>
      </c>
      <c r="LJ25" s="11" t="n">
        <v>15087693</v>
      </c>
      <c r="LK25" s="11" t="n">
        <v>5812350</v>
      </c>
      <c r="LL25" s="11" t="n">
        <v>-1646508</v>
      </c>
      <c r="LM25" s="11" t="n">
        <v>-289089</v>
      </c>
      <c r="LN25" s="11" t="n">
        <v>39549846</v>
      </c>
      <c r="LO25" s="11" t="n">
        <v>331855125</v>
      </c>
      <c r="LP25" s="11" t="n">
        <v>-242321061</v>
      </c>
      <c r="LQ25" s="11" t="n">
        <v>-101388252</v>
      </c>
      <c r="LR25" s="11" t="n">
        <v>288403167</v>
      </c>
      <c r="LS25" s="11" t="n">
        <v>260246253</v>
      </c>
    </row>
    <row r="26" customFormat="false" ht="15" hidden="false" customHeight="true" outlineLevel="0" collapsed="false">
      <c r="A26" s="7" t="s">
        <v>92</v>
      </c>
      <c r="B26" s="11" t="n">
        <v>-2083128</v>
      </c>
      <c r="C26" s="11" t="n">
        <v>54508284</v>
      </c>
      <c r="D26" s="11" t="n">
        <v>-1729444</v>
      </c>
      <c r="E26" s="11" t="n">
        <v>-157809648</v>
      </c>
      <c r="F26" s="11" t="n">
        <v>-1247232</v>
      </c>
      <c r="G26" s="11" t="n">
        <v>-120245252</v>
      </c>
      <c r="H26" s="11" t="n">
        <v>80626496</v>
      </c>
      <c r="I26" s="11" t="n">
        <v>44155168</v>
      </c>
      <c r="J26" s="11" t="n">
        <v>-9977778</v>
      </c>
      <c r="K26" s="11" t="n">
        <v>29122</v>
      </c>
      <c r="L26" s="11" t="n">
        <v>-9981144</v>
      </c>
      <c r="M26" s="11" t="n">
        <v>622044</v>
      </c>
      <c r="N26" s="11" t="n">
        <v>-18477334</v>
      </c>
      <c r="O26" s="11" t="n">
        <v>-2563268</v>
      </c>
      <c r="P26" s="11" t="n">
        <v>2163032</v>
      </c>
      <c r="Q26" s="11" t="n">
        <v>7521678</v>
      </c>
      <c r="R26" s="11" t="n">
        <v>1017049680</v>
      </c>
      <c r="S26" s="11" t="n">
        <v>-10302750</v>
      </c>
      <c r="T26" s="11" t="n">
        <v>1059439554</v>
      </c>
      <c r="U26" s="11" t="n">
        <v>-319113342</v>
      </c>
      <c r="V26" s="11" t="n">
        <v>-268093764</v>
      </c>
      <c r="W26" s="11" t="n">
        <v>-10492664</v>
      </c>
      <c r="X26" s="11" t="n">
        <v>498994</v>
      </c>
      <c r="Y26" s="11" t="n">
        <v>-17021180</v>
      </c>
      <c r="Z26" s="11" t="n">
        <v>-1000910</v>
      </c>
      <c r="AA26" s="11" t="n">
        <v>2413068</v>
      </c>
      <c r="AB26" s="11" t="n">
        <v>53099640</v>
      </c>
      <c r="AC26" s="11" t="n">
        <v>-823625048</v>
      </c>
      <c r="AD26" s="11" t="n">
        <v>-580498696</v>
      </c>
      <c r="AE26" s="11" t="n">
        <v>-47703152</v>
      </c>
      <c r="AF26" s="11" t="n">
        <v>-46969442</v>
      </c>
      <c r="AG26" s="11" t="n">
        <v>22541216</v>
      </c>
      <c r="AH26" s="11" t="n">
        <v>14480272</v>
      </c>
      <c r="AI26" s="11" t="n">
        <v>-863117150</v>
      </c>
      <c r="AJ26" s="11" t="n">
        <v>-266798516</v>
      </c>
      <c r="AK26" s="11" t="n">
        <v>-138051632</v>
      </c>
      <c r="AL26" s="11" t="n">
        <v>-31497615</v>
      </c>
      <c r="AM26" s="11" t="n">
        <v>-202649</v>
      </c>
      <c r="AN26" s="11" t="n">
        <v>45461772</v>
      </c>
      <c r="AO26" s="11" t="n">
        <v>-4855038</v>
      </c>
      <c r="AP26" s="11" t="n">
        <v>30712835</v>
      </c>
      <c r="AQ26" s="11" t="n">
        <v>-34645322</v>
      </c>
      <c r="AR26" s="11" t="n">
        <v>-14910592</v>
      </c>
      <c r="AS26" s="11" t="n">
        <v>31452417</v>
      </c>
      <c r="AT26" s="11" t="n">
        <v>1196558424</v>
      </c>
      <c r="AU26" s="11" t="n">
        <v>145898199</v>
      </c>
      <c r="AV26" s="11" t="n">
        <v>1014500655</v>
      </c>
      <c r="AW26" s="11" t="n">
        <v>-312551739</v>
      </c>
      <c r="AX26" s="11" t="n">
        <v>-277482564</v>
      </c>
      <c r="AY26" s="11" t="n">
        <v>53094940</v>
      </c>
      <c r="AZ26" s="11" t="n">
        <v>-3909393</v>
      </c>
      <c r="BA26" s="11" t="n">
        <v>37195846</v>
      </c>
      <c r="BB26" s="11" t="n">
        <v>-36606499</v>
      </c>
      <c r="BC26" s="11" t="n">
        <v>-16674460</v>
      </c>
      <c r="BD26" s="11" t="n">
        <v>-395018076</v>
      </c>
      <c r="BE26" s="11" t="n">
        <v>-297523988</v>
      </c>
      <c r="BF26" s="11" t="n">
        <v>-865017748</v>
      </c>
      <c r="BG26" s="11" t="n">
        <v>-165934640</v>
      </c>
      <c r="BH26" s="11" t="n">
        <v>298638057</v>
      </c>
      <c r="BI26" s="11" t="n">
        <v>-208655184</v>
      </c>
      <c r="BJ26" s="11" t="n">
        <v>-111837576</v>
      </c>
      <c r="BK26" s="11" t="n">
        <v>-811120203</v>
      </c>
      <c r="BL26" s="11" t="n">
        <v>-209683468</v>
      </c>
      <c r="BM26" s="11" t="n">
        <v>-157254488</v>
      </c>
      <c r="BN26" s="11" t="n">
        <v>-1410984</v>
      </c>
      <c r="BO26" s="11" t="n">
        <v>368671392</v>
      </c>
      <c r="BP26" s="11" t="n">
        <v>-32660208</v>
      </c>
      <c r="BQ26" s="11" t="n">
        <v>426492180</v>
      </c>
      <c r="BR26" s="11" t="n">
        <v>-127186857</v>
      </c>
      <c r="BS26" s="11" t="n">
        <v>-104124627</v>
      </c>
      <c r="BT26" s="11" t="n">
        <v>335424</v>
      </c>
      <c r="BU26" s="11" t="n">
        <v>7360</v>
      </c>
      <c r="BV26" s="11" t="n">
        <v>1368132</v>
      </c>
      <c r="BW26" s="11" t="n">
        <v>733697</v>
      </c>
      <c r="BX26" s="11" t="n">
        <v>-1973</v>
      </c>
      <c r="BY26" s="11" t="n">
        <v>-9687168</v>
      </c>
      <c r="BZ26" s="11" t="n">
        <v>-256087536</v>
      </c>
      <c r="CA26" s="11" t="n">
        <v>-221940588</v>
      </c>
      <c r="CB26" s="11" t="n">
        <v>-24237348</v>
      </c>
      <c r="CC26" s="11" t="n">
        <v>33892984</v>
      </c>
      <c r="CD26" s="11" t="n">
        <v>16319534</v>
      </c>
      <c r="CE26" s="11" t="n">
        <v>-588806</v>
      </c>
      <c r="CF26" s="11" t="n">
        <v>-345095651</v>
      </c>
      <c r="CG26" s="11" t="n">
        <v>-100365961</v>
      </c>
      <c r="CH26" s="11" t="n">
        <v>-54321570</v>
      </c>
      <c r="CI26" s="11" t="n">
        <v>-421744032</v>
      </c>
      <c r="CJ26" s="11" t="n">
        <v>26077608</v>
      </c>
      <c r="CK26" s="11" t="n">
        <v>-471326292</v>
      </c>
      <c r="CL26" s="11" t="n">
        <v>141005583</v>
      </c>
      <c r="CM26" s="11" t="n">
        <v>116405469</v>
      </c>
      <c r="CN26" s="11" t="n">
        <v>2948424480</v>
      </c>
      <c r="CO26" s="11" t="n">
        <v>-4327484544</v>
      </c>
      <c r="CP26" s="11" t="n">
        <v>1173346632</v>
      </c>
      <c r="CQ26" s="11" t="n">
        <v>707714424</v>
      </c>
      <c r="CR26" s="11" t="n">
        <v>-3027475044</v>
      </c>
      <c r="CS26" s="11" t="n">
        <v>913222737</v>
      </c>
      <c r="CT26" s="11" t="n">
        <v>770033979</v>
      </c>
      <c r="CU26" s="11" t="n">
        <v>-135557019</v>
      </c>
      <c r="CV26" s="11" t="n">
        <v>-403511229</v>
      </c>
      <c r="CW26" s="11" t="n">
        <v>87238413</v>
      </c>
      <c r="CX26" s="11" t="n">
        <v>-8399168</v>
      </c>
      <c r="CY26" s="11" t="n">
        <v>-296890224</v>
      </c>
      <c r="CZ26" s="11" t="n">
        <v>-252822844</v>
      </c>
      <c r="DA26" s="11" t="n">
        <v>-27082580</v>
      </c>
      <c r="DB26" s="11" t="n">
        <v>27744164</v>
      </c>
      <c r="DC26" s="11" t="n">
        <v>12824569</v>
      </c>
      <c r="DD26" s="11" t="n">
        <v>-643661</v>
      </c>
      <c r="DE26" s="11" t="n">
        <v>-381807970</v>
      </c>
      <c r="DF26" s="11" t="n">
        <v>-112211138</v>
      </c>
      <c r="DG26" s="11" t="n">
        <v>-60726803</v>
      </c>
      <c r="DH26" s="11" t="n">
        <v>2161751216</v>
      </c>
      <c r="DI26" s="11" t="n">
        <v>1744124092</v>
      </c>
      <c r="DJ26" s="11" t="n">
        <v>175240724</v>
      </c>
      <c r="DK26" s="11" t="n">
        <v>-3420183772</v>
      </c>
      <c r="DL26" s="11" t="n">
        <v>-776093828</v>
      </c>
      <c r="DM26" s="11" t="n">
        <v>-348906228</v>
      </c>
      <c r="DN26" s="11" t="n">
        <v>-2460450513</v>
      </c>
      <c r="DO26" s="11" t="n">
        <v>-744519259</v>
      </c>
      <c r="DP26" s="11" t="n">
        <v>-401231576</v>
      </c>
      <c r="DQ26" s="11" t="n">
        <v>294600149</v>
      </c>
      <c r="DR26" s="11" t="n">
        <v>-713142</v>
      </c>
      <c r="DS26" s="11" t="n">
        <v>-7306</v>
      </c>
      <c r="DT26" s="11" t="n">
        <v>-888264</v>
      </c>
      <c r="DU26" s="11" t="n">
        <v>2028</v>
      </c>
      <c r="DV26" s="11" t="n">
        <v>-740906</v>
      </c>
      <c r="DW26" s="11" t="n">
        <v>-168244</v>
      </c>
      <c r="DX26" s="11" t="n">
        <v>276808</v>
      </c>
      <c r="DY26" s="11" t="n">
        <v>783234</v>
      </c>
      <c r="DZ26" s="11" t="n">
        <v>77267664</v>
      </c>
      <c r="EA26" s="11" t="n">
        <v>373914</v>
      </c>
      <c r="EB26" s="11" t="n">
        <v>60551946</v>
      </c>
      <c r="EC26" s="11" t="n">
        <v>-23199462</v>
      </c>
      <c r="ED26" s="11" t="n">
        <v>-22359276</v>
      </c>
      <c r="EE26" s="11" t="n">
        <v>-183976</v>
      </c>
      <c r="EF26" s="11" t="n">
        <v>6058</v>
      </c>
      <c r="EG26" s="11" t="n">
        <v>-193384</v>
      </c>
      <c r="EH26" s="11" t="n">
        <v>-422454</v>
      </c>
      <c r="EI26" s="11" t="n">
        <v>74948</v>
      </c>
      <c r="EJ26" s="11" t="n">
        <v>685464</v>
      </c>
      <c r="EK26" s="11" t="n">
        <v>-4854520</v>
      </c>
      <c r="EL26" s="11" t="n">
        <v>-47125352</v>
      </c>
      <c r="EM26" s="11" t="n">
        <v>2141744</v>
      </c>
      <c r="EN26" s="11" t="n">
        <v>-560666</v>
      </c>
      <c r="EO26" s="11" t="n">
        <v>-22240</v>
      </c>
      <c r="EP26" s="11" t="n">
        <v>208720</v>
      </c>
      <c r="EQ26" s="11" t="n">
        <v>-38388038</v>
      </c>
      <c r="ER26" s="11" t="n">
        <v>273636</v>
      </c>
      <c r="ES26" s="11" t="n">
        <v>-14279920</v>
      </c>
      <c r="ET26" s="11" t="n">
        <v>-44964</v>
      </c>
      <c r="EU26" s="11" t="n">
        <v>-837648</v>
      </c>
      <c r="EV26" s="11" t="n">
        <v>-203238</v>
      </c>
      <c r="EW26" s="11" t="n">
        <v>2776770</v>
      </c>
      <c r="EX26" s="11" t="n">
        <v>71658</v>
      </c>
      <c r="EY26" s="11" t="n">
        <v>585360</v>
      </c>
      <c r="EZ26" s="11" t="n">
        <v>47424</v>
      </c>
      <c r="FA26" s="11" t="n">
        <v>-2210</v>
      </c>
      <c r="FB26" s="11" t="n">
        <v>75162</v>
      </c>
      <c r="FC26" s="11" t="n">
        <v>11342</v>
      </c>
      <c r="FD26" s="11" t="n">
        <v>-11456</v>
      </c>
      <c r="FE26" s="11" t="n">
        <v>-255528</v>
      </c>
      <c r="FF26" s="11" t="n">
        <v>4328904</v>
      </c>
      <c r="FG26" s="11" t="n">
        <v>286872</v>
      </c>
      <c r="FH26" s="11" t="n">
        <v>403968</v>
      </c>
      <c r="FI26" s="11" t="n">
        <v>203254</v>
      </c>
      <c r="FJ26" s="11" t="n">
        <v>47744</v>
      </c>
      <c r="FK26" s="11" t="n">
        <v>-80552</v>
      </c>
      <c r="FL26" s="11" t="n">
        <v>-580646</v>
      </c>
      <c r="FM26" s="11" t="n">
        <v>1685960</v>
      </c>
      <c r="FN26" s="11" t="n">
        <v>165912</v>
      </c>
      <c r="FO26" s="11" t="n">
        <v>-3951792</v>
      </c>
      <c r="FP26" s="11" t="n">
        <v>199638</v>
      </c>
      <c r="FQ26" s="11" t="n">
        <v>-6867522</v>
      </c>
      <c r="FR26" s="11" t="n">
        <v>1384038</v>
      </c>
      <c r="FS26" s="11" t="n">
        <v>766872</v>
      </c>
      <c r="FT26" s="11" t="n">
        <v>21581280</v>
      </c>
      <c r="FU26" s="11" t="n">
        <v>-371981664</v>
      </c>
      <c r="FV26" s="11" t="n">
        <v>19485792</v>
      </c>
      <c r="FW26" s="11" t="n">
        <v>-37159776</v>
      </c>
      <c r="FX26" s="11" t="n">
        <v>-18712584</v>
      </c>
      <c r="FY26" s="11" t="n">
        <v>6574032</v>
      </c>
      <c r="FZ26" s="11" t="n">
        <v>6065244</v>
      </c>
      <c r="GA26" s="11" t="n">
        <v>-96416424</v>
      </c>
      <c r="GB26" s="11" t="n">
        <v>-136762740</v>
      </c>
      <c r="GC26" s="11" t="n">
        <v>16795836</v>
      </c>
      <c r="GD26" s="11" t="n">
        <v>-16328</v>
      </c>
      <c r="GE26" s="11" t="n">
        <v>637416</v>
      </c>
      <c r="GF26" s="11" t="n">
        <v>-2456584</v>
      </c>
      <c r="GG26" s="11" t="n">
        <v>198016</v>
      </c>
      <c r="GH26" s="11" t="n">
        <v>-3826</v>
      </c>
      <c r="GI26" s="11" t="n">
        <v>118384</v>
      </c>
      <c r="GJ26" s="11" t="n">
        <v>-13172</v>
      </c>
      <c r="GK26" s="11" t="n">
        <v>-4045870</v>
      </c>
      <c r="GL26" s="11" t="n">
        <v>467812</v>
      </c>
      <c r="GM26" s="11" t="n">
        <v>-546068</v>
      </c>
      <c r="GN26" s="11" t="n">
        <v>-1944064</v>
      </c>
      <c r="GO26" s="11" t="n">
        <v>13335232</v>
      </c>
      <c r="GP26" s="11" t="n">
        <v>-927856</v>
      </c>
      <c r="GQ26" s="11" t="n">
        <v>-228094912</v>
      </c>
      <c r="GR26" s="11" t="n">
        <v>12645424</v>
      </c>
      <c r="GS26" s="11" t="n">
        <v>22123536</v>
      </c>
      <c r="GT26" s="11" t="n">
        <v>-10970448</v>
      </c>
      <c r="GU26" s="11" t="n">
        <v>1350884</v>
      </c>
      <c r="GV26" s="11" t="n">
        <v>-4030400</v>
      </c>
      <c r="GW26" s="11" t="n">
        <v>87139004</v>
      </c>
      <c r="GX26" s="11" t="n">
        <v>-41094</v>
      </c>
      <c r="GY26" s="11" t="n">
        <v>-28994328</v>
      </c>
      <c r="GZ26" s="11" t="n">
        <v>1692747</v>
      </c>
      <c r="HA26" s="11" t="n">
        <v>-21717045</v>
      </c>
      <c r="HB26" s="11" t="n">
        <v>9316638</v>
      </c>
      <c r="HC26" s="11" t="n">
        <v>9289953</v>
      </c>
      <c r="HD26" s="11" t="n">
        <v>-245856</v>
      </c>
      <c r="HE26" s="11" t="n">
        <v>17225</v>
      </c>
      <c r="HF26" s="11" t="n">
        <v>-179793</v>
      </c>
      <c r="HG26" s="11" t="n">
        <v>105142</v>
      </c>
      <c r="HH26" s="11" t="n">
        <v>79223</v>
      </c>
      <c r="HI26" s="11" t="n">
        <v>2025972</v>
      </c>
      <c r="HJ26" s="11" t="n">
        <v>3073164</v>
      </c>
      <c r="HK26" s="11" t="n">
        <v>18444792</v>
      </c>
      <c r="HL26" s="11" t="n">
        <v>317004</v>
      </c>
      <c r="HM26" s="11" t="n">
        <v>-1696891</v>
      </c>
      <c r="HN26" s="11" t="n">
        <v>-425846</v>
      </c>
      <c r="HO26" s="11" t="n">
        <v>630626</v>
      </c>
      <c r="HP26" s="11" t="n">
        <v>14802824</v>
      </c>
      <c r="HQ26" s="11" t="n">
        <v>1222099</v>
      </c>
      <c r="HR26" s="11" t="n">
        <v>5807958</v>
      </c>
      <c r="HS26" s="11" t="n">
        <v>27391608</v>
      </c>
      <c r="HT26" s="11" t="n">
        <v>-1880667</v>
      </c>
      <c r="HU26" s="11" t="n">
        <v>20362293</v>
      </c>
      <c r="HV26" s="11" t="n">
        <v>-8895492</v>
      </c>
      <c r="HW26" s="11" t="n">
        <v>-8914599</v>
      </c>
      <c r="HX26" s="11" t="n">
        <v>-198608400</v>
      </c>
      <c r="HY26" s="11" t="n">
        <v>-108867024</v>
      </c>
      <c r="HZ26" s="11" t="n">
        <v>-66216888</v>
      </c>
      <c r="IA26" s="11" t="n">
        <v>-97485192</v>
      </c>
      <c r="IB26" s="11" t="n">
        <v>155115576</v>
      </c>
      <c r="IC26" s="11" t="n">
        <v>-59952213</v>
      </c>
      <c r="ID26" s="11" t="n">
        <v>-57943917</v>
      </c>
      <c r="IE26" s="11" t="n">
        <v>-84578949</v>
      </c>
      <c r="IF26" s="11" t="n">
        <v>-107899029</v>
      </c>
      <c r="IG26" s="11" t="n">
        <v>10108269</v>
      </c>
      <c r="IH26" s="11" t="n">
        <v>229892</v>
      </c>
      <c r="II26" s="11" t="n">
        <v>1980156</v>
      </c>
      <c r="IJ26" s="11" t="n">
        <v>16863736</v>
      </c>
      <c r="IK26" s="11" t="n">
        <v>-527140</v>
      </c>
      <c r="IL26" s="11" t="n">
        <v>-306851</v>
      </c>
      <c r="IM26" s="11" t="n">
        <v>-1083181</v>
      </c>
      <c r="IN26" s="11" t="n">
        <v>111011</v>
      </c>
      <c r="IO26" s="11" t="n">
        <v>13179175</v>
      </c>
      <c r="IP26" s="11" t="n">
        <v>252578</v>
      </c>
      <c r="IQ26" s="11" t="n">
        <v>5659493</v>
      </c>
      <c r="IR26" s="11" t="n">
        <v>-13443824</v>
      </c>
      <c r="IS26" s="11" t="n">
        <v>-121718188</v>
      </c>
      <c r="IT26" s="11" t="n">
        <v>4640308</v>
      </c>
      <c r="IU26" s="11" t="n">
        <v>-62237492</v>
      </c>
      <c r="IV26" s="11" t="n">
        <v>9142364</v>
      </c>
      <c r="IW26" s="11" t="n">
        <v>61291404</v>
      </c>
      <c r="IX26" s="11" t="n">
        <v>99121557</v>
      </c>
      <c r="IY26" s="11" t="n">
        <v>298093</v>
      </c>
      <c r="IZ26" s="11" t="n">
        <v>36911960</v>
      </c>
      <c r="JA26" s="11" t="n">
        <v>68786821</v>
      </c>
      <c r="JB26" s="11" t="n">
        <v>-1779840</v>
      </c>
      <c r="JC26" s="11" t="n">
        <v>118440</v>
      </c>
      <c r="JD26" s="11" t="n">
        <v>-1529280</v>
      </c>
      <c r="JE26" s="11" t="n">
        <v>583290</v>
      </c>
      <c r="JF26" s="11" t="n">
        <v>552006</v>
      </c>
      <c r="JG26" s="11" t="n">
        <v>10251360</v>
      </c>
      <c r="JH26" s="11" t="n">
        <v>-138404160</v>
      </c>
      <c r="JI26" s="11" t="n">
        <v>8029800</v>
      </c>
      <c r="JJ26" s="11" t="n">
        <v>-12887208</v>
      </c>
      <c r="JK26" s="11" t="n">
        <v>401940</v>
      </c>
      <c r="JL26" s="11" t="n">
        <v>2825235</v>
      </c>
      <c r="JM26" s="11" t="n">
        <v>4036977</v>
      </c>
      <c r="JN26" s="11" t="n">
        <v>-38458485</v>
      </c>
      <c r="JO26" s="11" t="n">
        <v>-53998155</v>
      </c>
      <c r="JP26" s="11" t="n">
        <v>6713793</v>
      </c>
      <c r="JQ26" s="11" t="n">
        <v>-37440</v>
      </c>
      <c r="JR26" s="11" t="n">
        <v>-1362240</v>
      </c>
      <c r="JS26" s="11" t="n">
        <v>-1064160</v>
      </c>
      <c r="JT26" s="11" t="n">
        <v>-128736</v>
      </c>
      <c r="JU26" s="11" t="n">
        <v>122820</v>
      </c>
      <c r="JV26" s="11" t="n">
        <v>58545</v>
      </c>
      <c r="JW26" s="11" t="n">
        <v>-3045</v>
      </c>
      <c r="JX26" s="11" t="n">
        <v>-1360785</v>
      </c>
      <c r="JY26" s="11" t="n">
        <v>-533103</v>
      </c>
      <c r="JZ26" s="11" t="n">
        <v>-287853</v>
      </c>
      <c r="KA26" s="11" t="n">
        <v>10757520</v>
      </c>
      <c r="KB26" s="11" t="n">
        <v>5960340</v>
      </c>
      <c r="KC26" s="11" t="n">
        <v>1012572</v>
      </c>
      <c r="KD26" s="11" t="n">
        <v>-88897140</v>
      </c>
      <c r="KE26" s="11" t="n">
        <v>-147276</v>
      </c>
      <c r="KF26" s="11" t="n">
        <v>8286012</v>
      </c>
      <c r="KG26" s="11" t="n">
        <v>-2731035</v>
      </c>
      <c r="KH26" s="11" t="n">
        <v>-4196601</v>
      </c>
      <c r="KI26" s="11" t="n">
        <v>-2068116</v>
      </c>
      <c r="KJ26" s="11" t="n">
        <v>34642149</v>
      </c>
      <c r="KK26" s="11" t="n">
        <v>2507040</v>
      </c>
      <c r="KL26" s="11" t="n">
        <v>137436480</v>
      </c>
      <c r="KM26" s="11" t="n">
        <v>-3521160</v>
      </c>
      <c r="KN26" s="11" t="n">
        <v>18159048</v>
      </c>
      <c r="KO26" s="11" t="n">
        <v>-11299860</v>
      </c>
      <c r="KP26" s="11" t="n">
        <v>1055925</v>
      </c>
      <c r="KQ26" s="11" t="n">
        <v>-430857</v>
      </c>
      <c r="KR26" s="11" t="n">
        <v>42015285</v>
      </c>
      <c r="KS26" s="11" t="n">
        <v>58227723</v>
      </c>
      <c r="KT26" s="11" t="n">
        <v>-7043157</v>
      </c>
      <c r="KU26" s="11" t="n">
        <v>-986546880</v>
      </c>
      <c r="KV26" s="11" t="n">
        <v>31591440</v>
      </c>
      <c r="KW26" s="11" t="n">
        <v>-122743440</v>
      </c>
      <c r="KX26" s="11" t="n">
        <v>346235760</v>
      </c>
      <c r="KY26" s="11" t="n">
        <v>416956176</v>
      </c>
      <c r="KZ26" s="11" t="n">
        <v>-56429568</v>
      </c>
      <c r="LA26" s="11" t="n">
        <v>273127140</v>
      </c>
      <c r="LB26" s="11" t="n">
        <v>383688756</v>
      </c>
      <c r="LC26" s="11" t="n">
        <v>-46268298</v>
      </c>
      <c r="LD26" s="11" t="n">
        <v>-19223334</v>
      </c>
      <c r="LE26" s="11" t="n">
        <v>972240</v>
      </c>
      <c r="LF26" s="11" t="n">
        <v>-1573020</v>
      </c>
      <c r="LG26" s="11" t="n">
        <v>200652</v>
      </c>
      <c r="LH26" s="11" t="n">
        <v>-84867780</v>
      </c>
      <c r="LI26" s="11" t="n">
        <v>3957636</v>
      </c>
      <c r="LJ26" s="11" t="n">
        <v>11111916</v>
      </c>
      <c r="LK26" s="11" t="n">
        <v>6680505</v>
      </c>
      <c r="LL26" s="11" t="n">
        <v>-737301</v>
      </c>
      <c r="LM26" s="11" t="n">
        <v>-185826</v>
      </c>
      <c r="LN26" s="11" t="n">
        <v>37165815</v>
      </c>
      <c r="LO26" s="11" t="n">
        <v>606748800</v>
      </c>
      <c r="LP26" s="11" t="n">
        <v>-31358304</v>
      </c>
      <c r="LQ26" s="11" t="n">
        <v>-74485848</v>
      </c>
      <c r="LR26" s="11" t="n">
        <v>267442968</v>
      </c>
      <c r="LS26" s="11" t="n">
        <v>244658922</v>
      </c>
    </row>
    <row r="27" customFormat="false" ht="15" hidden="false" customHeight="true" outlineLevel="0" collapsed="false">
      <c r="A27" s="7" t="s">
        <v>93</v>
      </c>
      <c r="B27" s="11" t="n">
        <v>1103548</v>
      </c>
      <c r="C27" s="11" t="n">
        <v>46149656</v>
      </c>
      <c r="D27" s="11" t="n">
        <v>435772</v>
      </c>
      <c r="E27" s="11" t="n">
        <v>228721024</v>
      </c>
      <c r="F27" s="11" t="n">
        <v>-7881172</v>
      </c>
      <c r="G27" s="11" t="n">
        <v>310982020</v>
      </c>
      <c r="H27" s="11" t="n">
        <v>-17240908</v>
      </c>
      <c r="I27" s="11" t="n">
        <v>-1271312</v>
      </c>
      <c r="J27" s="11" t="n">
        <v>-5386502</v>
      </c>
      <c r="K27" s="11" t="n">
        <v>52910</v>
      </c>
      <c r="L27" s="11" t="n">
        <v>-15355592</v>
      </c>
      <c r="M27" s="11" t="n">
        <v>885540</v>
      </c>
      <c r="N27" s="11" t="n">
        <v>-25386914</v>
      </c>
      <c r="O27" s="11" t="n">
        <v>-2265360</v>
      </c>
      <c r="P27" s="11" t="n">
        <v>-4292428</v>
      </c>
      <c r="Q27" s="11" t="n">
        <v>4339698</v>
      </c>
      <c r="R27" s="11" t="n">
        <v>474243952</v>
      </c>
      <c r="S27" s="11" t="n">
        <v>-1435898</v>
      </c>
      <c r="T27" s="11" t="n">
        <v>456262822</v>
      </c>
      <c r="U27" s="11" t="n">
        <v>-178890062</v>
      </c>
      <c r="V27" s="11" t="n">
        <v>-185711904</v>
      </c>
      <c r="W27" s="11" t="n">
        <v>-17029768</v>
      </c>
      <c r="X27" s="11" t="n">
        <v>727550</v>
      </c>
      <c r="Y27" s="11" t="n">
        <v>-24934996</v>
      </c>
      <c r="Z27" s="11" t="n">
        <v>-67930</v>
      </c>
      <c r="AA27" s="11" t="n">
        <v>-1634052</v>
      </c>
      <c r="AB27" s="11" t="n">
        <v>73872232</v>
      </c>
      <c r="AC27" s="11" t="n">
        <v>-934447752</v>
      </c>
      <c r="AD27" s="11" t="n">
        <v>-709420712</v>
      </c>
      <c r="AE27" s="11" t="n">
        <v>-907337312</v>
      </c>
      <c r="AF27" s="11" t="n">
        <v>-68242054</v>
      </c>
      <c r="AG27" s="11" t="n">
        <v>30013380</v>
      </c>
      <c r="AH27" s="11" t="n">
        <v>31675252</v>
      </c>
      <c r="AI27" s="11" t="n">
        <v>-1035006794</v>
      </c>
      <c r="AJ27" s="11" t="n">
        <v>-1238861036</v>
      </c>
      <c r="AK27" s="11" t="n">
        <v>64451548</v>
      </c>
      <c r="AL27" s="11" t="n">
        <v>-25981160</v>
      </c>
      <c r="AM27" s="11" t="n">
        <v>380564</v>
      </c>
      <c r="AN27" s="11" t="n">
        <v>-106613792</v>
      </c>
      <c r="AO27" s="11" t="n">
        <v>7429768</v>
      </c>
      <c r="AP27" s="11" t="n">
        <v>-156899480</v>
      </c>
      <c r="AQ27" s="11" t="n">
        <v>3867932</v>
      </c>
      <c r="AR27" s="11" t="n">
        <v>-4680768</v>
      </c>
      <c r="AS27" s="11" t="n">
        <v>26174448</v>
      </c>
      <c r="AT27" s="11" t="n">
        <v>926328256</v>
      </c>
      <c r="AU27" s="11" t="n">
        <v>125159256</v>
      </c>
      <c r="AV27" s="11" t="n">
        <v>760108840</v>
      </c>
      <c r="AW27" s="11" t="n">
        <v>-244153456</v>
      </c>
      <c r="AX27" s="11" t="n">
        <v>-225677536</v>
      </c>
      <c r="AY27" s="11" t="n">
        <v>-120975520</v>
      </c>
      <c r="AZ27" s="11" t="n">
        <v>5651748</v>
      </c>
      <c r="BA27" s="11" t="n">
        <v>-169200580</v>
      </c>
      <c r="BB27" s="11" t="n">
        <v>7472992</v>
      </c>
      <c r="BC27" s="11" t="n">
        <v>-1409936</v>
      </c>
      <c r="BD27" s="11" t="n">
        <v>778491296</v>
      </c>
      <c r="BE27" s="11" t="n">
        <v>-2474960160</v>
      </c>
      <c r="BF27" s="11" t="n">
        <v>-863978016</v>
      </c>
      <c r="BG27" s="11" t="n">
        <v>-1092956032</v>
      </c>
      <c r="BH27" s="11" t="n">
        <v>-973199600</v>
      </c>
      <c r="BI27" s="11" t="n">
        <v>88452980</v>
      </c>
      <c r="BJ27" s="11" t="n">
        <v>41987744</v>
      </c>
      <c r="BK27" s="11" t="n">
        <v>-1361274900</v>
      </c>
      <c r="BL27" s="11" t="n">
        <v>-1499801440</v>
      </c>
      <c r="BM27" s="11" t="n">
        <v>77584336</v>
      </c>
      <c r="BN27" s="11" t="n">
        <v>-611886</v>
      </c>
      <c r="BO27" s="11" t="n">
        <v>158868768</v>
      </c>
      <c r="BP27" s="11" t="n">
        <v>-15416732</v>
      </c>
      <c r="BQ27" s="11" t="n">
        <v>168146640</v>
      </c>
      <c r="BR27" s="11" t="n">
        <v>-72213718</v>
      </c>
      <c r="BS27" s="11" t="n">
        <v>-78210728</v>
      </c>
      <c r="BT27" s="11" t="n">
        <v>183816</v>
      </c>
      <c r="BU27" s="11" t="n">
        <v>50840</v>
      </c>
      <c r="BV27" s="11" t="n">
        <v>1232202</v>
      </c>
      <c r="BW27" s="11" t="n">
        <v>966670</v>
      </c>
      <c r="BX27" s="11" t="n">
        <v>1255844</v>
      </c>
      <c r="BY27" s="11" t="n">
        <v>-17831312</v>
      </c>
      <c r="BZ27" s="11" t="n">
        <v>-269413536</v>
      </c>
      <c r="CA27" s="11" t="n">
        <v>-272677768</v>
      </c>
      <c r="CB27" s="11" t="n">
        <v>-349559840</v>
      </c>
      <c r="CC27" s="11" t="n">
        <v>45016724</v>
      </c>
      <c r="CD27" s="11" t="n">
        <v>18355620</v>
      </c>
      <c r="CE27" s="11" t="n">
        <v>25143208</v>
      </c>
      <c r="CF27" s="11" t="n">
        <v>-411063826</v>
      </c>
      <c r="CG27" s="11" t="n">
        <v>-502605656</v>
      </c>
      <c r="CH27" s="11" t="n">
        <v>24653612</v>
      </c>
      <c r="CI27" s="11" t="n">
        <v>-181866768</v>
      </c>
      <c r="CJ27" s="11" t="n">
        <v>12583782</v>
      </c>
      <c r="CK27" s="11" t="n">
        <v>-187299006</v>
      </c>
      <c r="CL27" s="11" t="n">
        <v>78501048</v>
      </c>
      <c r="CM27" s="11" t="n">
        <v>84107544</v>
      </c>
      <c r="CN27" s="11" t="n">
        <v>1314985600</v>
      </c>
      <c r="CO27" s="11" t="n">
        <v>-1347184992</v>
      </c>
      <c r="CP27" s="11" t="n">
        <v>1081754960</v>
      </c>
      <c r="CQ27" s="11" t="n">
        <v>1408547392</v>
      </c>
      <c r="CR27" s="11" t="n">
        <v>-1261048492</v>
      </c>
      <c r="CS27" s="11" t="n">
        <v>492751810</v>
      </c>
      <c r="CT27" s="11" t="n">
        <v>510677992</v>
      </c>
      <c r="CU27" s="11" t="n">
        <v>532566758</v>
      </c>
      <c r="CV27" s="11" t="n">
        <v>827589928</v>
      </c>
      <c r="CW27" s="11" t="n">
        <v>-107709032</v>
      </c>
      <c r="CX27" s="11" t="n">
        <v>-18891112</v>
      </c>
      <c r="CY27" s="11" t="n">
        <v>-309972840</v>
      </c>
      <c r="CZ27" s="11" t="n">
        <v>-310899248</v>
      </c>
      <c r="DA27" s="11" t="n">
        <v>-398532736</v>
      </c>
      <c r="DB27" s="11" t="n">
        <v>40903114</v>
      </c>
      <c r="DC27" s="11" t="n">
        <v>13357670</v>
      </c>
      <c r="DD27" s="11" t="n">
        <v>18838868</v>
      </c>
      <c r="DE27" s="11" t="n">
        <v>-453982406</v>
      </c>
      <c r="DF27" s="11" t="n">
        <v>-553789132</v>
      </c>
      <c r="DG27" s="11" t="n">
        <v>28241912</v>
      </c>
      <c r="DH27" s="11" t="n">
        <v>2381191728</v>
      </c>
      <c r="DI27" s="11" t="n">
        <v>2135587960</v>
      </c>
      <c r="DJ27" s="11" t="n">
        <v>2735275872</v>
      </c>
      <c r="DK27" s="11" t="n">
        <v>-4146735912</v>
      </c>
      <c r="DL27" s="11" t="n">
        <v>-5352867744</v>
      </c>
      <c r="DM27" s="11" t="n">
        <v>-37398592</v>
      </c>
      <c r="DN27" s="11" t="n">
        <v>-2940272890</v>
      </c>
      <c r="DO27" s="11" t="n">
        <v>-3547824192</v>
      </c>
      <c r="DP27" s="11" t="n">
        <v>195602420</v>
      </c>
      <c r="DQ27" s="11" t="n">
        <v>-431297452</v>
      </c>
      <c r="DR27" s="11" t="n">
        <v>-1018153</v>
      </c>
      <c r="DS27" s="11" t="n">
        <v>12809</v>
      </c>
      <c r="DT27" s="11" t="n">
        <v>-2229580</v>
      </c>
      <c r="DU27" s="11" t="n">
        <v>157858</v>
      </c>
      <c r="DV27" s="11" t="n">
        <v>-4208471</v>
      </c>
      <c r="DW27" s="11" t="n">
        <v>-384798</v>
      </c>
      <c r="DX27" s="11" t="n">
        <v>-558212</v>
      </c>
      <c r="DY27" s="11" t="n">
        <v>937715</v>
      </c>
      <c r="DZ27" s="11" t="n">
        <v>117782504</v>
      </c>
      <c r="EA27" s="11" t="n">
        <v>-669791</v>
      </c>
      <c r="EB27" s="11" t="n">
        <v>110922033</v>
      </c>
      <c r="EC27" s="11" t="n">
        <v>-31998769</v>
      </c>
      <c r="ED27" s="11" t="n">
        <v>-24516996</v>
      </c>
      <c r="EE27" s="11" t="n">
        <v>-3535212</v>
      </c>
      <c r="EF27" s="11" t="n">
        <v>153813</v>
      </c>
      <c r="EG27" s="11" t="n">
        <v>-5271454</v>
      </c>
      <c r="EH27" s="11" t="n">
        <v>48167</v>
      </c>
      <c r="EI27" s="11" t="n">
        <v>-205672</v>
      </c>
      <c r="EJ27" s="11" t="n">
        <v>16794684</v>
      </c>
      <c r="EK27" s="11" t="n">
        <v>-243946348</v>
      </c>
      <c r="EL27" s="11" t="n">
        <v>-114586204</v>
      </c>
      <c r="EM27" s="11" t="n">
        <v>-118263376</v>
      </c>
      <c r="EN27" s="11" t="n">
        <v>-14429201</v>
      </c>
      <c r="EO27" s="11" t="n">
        <v>5214340</v>
      </c>
      <c r="EP27" s="11" t="n">
        <v>4168420</v>
      </c>
      <c r="EQ27" s="11" t="n">
        <v>-174186461</v>
      </c>
      <c r="ER27" s="11" t="n">
        <v>-162153504</v>
      </c>
      <c r="ES27" s="11" t="n">
        <v>8277740</v>
      </c>
      <c r="ET27" s="11" t="n">
        <v>-13706</v>
      </c>
      <c r="EU27" s="11" t="n">
        <v>-3284592</v>
      </c>
      <c r="EV27" s="11" t="n">
        <v>46498</v>
      </c>
      <c r="EW27" s="11" t="n">
        <v>-2880550</v>
      </c>
      <c r="EX27" s="11" t="n">
        <v>-211833</v>
      </c>
      <c r="EY27" s="11" t="n">
        <v>-1235595</v>
      </c>
      <c r="EZ27" s="11" t="n">
        <v>71336</v>
      </c>
      <c r="FA27" s="11" t="n">
        <v>-2710</v>
      </c>
      <c r="FB27" s="11" t="n">
        <v>92892</v>
      </c>
      <c r="FC27" s="11" t="n">
        <v>7845</v>
      </c>
      <c r="FD27" s="11" t="n">
        <v>23059</v>
      </c>
      <c r="FE27" s="11" t="n">
        <v>-407432</v>
      </c>
      <c r="FF27" s="11" t="n">
        <v>7268744</v>
      </c>
      <c r="FG27" s="11" t="n">
        <v>777492</v>
      </c>
      <c r="FH27" s="11" t="n">
        <v>-904932</v>
      </c>
      <c r="FI27" s="11" t="n">
        <v>254414</v>
      </c>
      <c r="FJ27" s="11" t="n">
        <v>15270</v>
      </c>
      <c r="FK27" s="11" t="n">
        <v>166078</v>
      </c>
      <c r="FL27" s="11" t="n">
        <v>213069</v>
      </c>
      <c r="FM27" s="11" t="n">
        <v>-3527965</v>
      </c>
      <c r="FN27" s="11" t="n">
        <v>-350838</v>
      </c>
      <c r="FO27" s="11" t="n">
        <v>1439552</v>
      </c>
      <c r="FP27" s="11" t="n">
        <v>-33808</v>
      </c>
      <c r="FQ27" s="11" t="n">
        <v>1159784</v>
      </c>
      <c r="FR27" s="11" t="n">
        <v>625853</v>
      </c>
      <c r="FS27" s="11" t="n">
        <v>1468017</v>
      </c>
      <c r="FT27" s="11" t="n">
        <v>-3218240</v>
      </c>
      <c r="FU27" s="11" t="n">
        <v>-24608512</v>
      </c>
      <c r="FV27" s="11" t="n">
        <v>127734360</v>
      </c>
      <c r="FW27" s="11" t="n">
        <v>222029304</v>
      </c>
      <c r="FX27" s="11" t="n">
        <v>3170728</v>
      </c>
      <c r="FY27" s="11" t="n">
        <v>-1600705</v>
      </c>
      <c r="FZ27" s="11" t="n">
        <v>-1932501</v>
      </c>
      <c r="GA27" s="11" t="n">
        <v>113608663</v>
      </c>
      <c r="GB27" s="11" t="n">
        <v>203974395</v>
      </c>
      <c r="GC27" s="11" t="n">
        <v>-33731679</v>
      </c>
      <c r="GD27" s="11" t="n">
        <v>-108672</v>
      </c>
      <c r="GE27" s="11" t="n">
        <v>3720160</v>
      </c>
      <c r="GF27" s="11" t="n">
        <v>-2433428</v>
      </c>
      <c r="GG27" s="11" t="n">
        <v>-5218724</v>
      </c>
      <c r="GH27" s="11" t="n">
        <v>184</v>
      </c>
      <c r="GI27" s="11" t="n">
        <v>104395</v>
      </c>
      <c r="GJ27" s="11" t="n">
        <v>233383</v>
      </c>
      <c r="GK27" s="11" t="n">
        <v>-3577866</v>
      </c>
      <c r="GL27" s="11" t="n">
        <v>-7998218</v>
      </c>
      <c r="GM27" s="11" t="n">
        <v>212677</v>
      </c>
      <c r="GN27" s="11" t="n">
        <v>-10174432</v>
      </c>
      <c r="GO27" s="11" t="n">
        <v>15082820</v>
      </c>
      <c r="GP27" s="11" t="n">
        <v>28427924</v>
      </c>
      <c r="GQ27" s="11" t="n">
        <v>-288498932</v>
      </c>
      <c r="GR27" s="11" t="n">
        <v>-484567076</v>
      </c>
      <c r="GS27" s="11" t="n">
        <v>-87748164</v>
      </c>
      <c r="GT27" s="11" t="n">
        <v>-9799535</v>
      </c>
      <c r="GU27" s="11" t="n">
        <v>-21898651</v>
      </c>
      <c r="GV27" s="11" t="n">
        <v>5082640</v>
      </c>
      <c r="GW27" s="11" t="n">
        <v>-154230271</v>
      </c>
      <c r="GX27" s="11" t="n">
        <v>49549</v>
      </c>
      <c r="GY27" s="11" t="n">
        <v>-45872112</v>
      </c>
      <c r="GZ27" s="11" t="n">
        <v>3138338</v>
      </c>
      <c r="HA27" s="11" t="n">
        <v>-45676960</v>
      </c>
      <c r="HB27" s="11" t="n">
        <v>12628037</v>
      </c>
      <c r="HC27" s="11" t="n">
        <v>8823592</v>
      </c>
      <c r="HD27" s="11" t="n">
        <v>468596</v>
      </c>
      <c r="HE27" s="11" t="n">
        <v>-31800</v>
      </c>
      <c r="HF27" s="11" t="n">
        <v>369837</v>
      </c>
      <c r="HG27" s="11" t="n">
        <v>-177595</v>
      </c>
      <c r="HH27" s="11" t="n">
        <v>-138172</v>
      </c>
      <c r="HI27" s="11" t="n">
        <v>-239752</v>
      </c>
      <c r="HJ27" s="11" t="n">
        <v>89584784</v>
      </c>
      <c r="HK27" s="11" t="n">
        <v>44990012</v>
      </c>
      <c r="HL27" s="11" t="n">
        <v>44471968</v>
      </c>
      <c r="HM27" s="11" t="n">
        <v>-5890206</v>
      </c>
      <c r="HN27" s="11" t="n">
        <v>-3143990</v>
      </c>
      <c r="HO27" s="11" t="n">
        <v>-3088664</v>
      </c>
      <c r="HP27" s="11" t="n">
        <v>69460219</v>
      </c>
      <c r="HQ27" s="11" t="n">
        <v>61514584</v>
      </c>
      <c r="HR27" s="11" t="n">
        <v>-3588676</v>
      </c>
      <c r="HS27" s="11" t="n">
        <v>47979992</v>
      </c>
      <c r="HT27" s="11" t="n">
        <v>-2922993</v>
      </c>
      <c r="HU27" s="11" t="n">
        <v>47466389</v>
      </c>
      <c r="HV27" s="11" t="n">
        <v>-13187612</v>
      </c>
      <c r="HW27" s="11" t="n">
        <v>-9319628</v>
      </c>
      <c r="HX27" s="11" t="n">
        <v>-332873920</v>
      </c>
      <c r="HY27" s="11" t="n">
        <v>286517648</v>
      </c>
      <c r="HZ27" s="11" t="n">
        <v>-19162840</v>
      </c>
      <c r="IA27" s="11" t="n">
        <v>83859328</v>
      </c>
      <c r="IB27" s="11" t="n">
        <v>311855698</v>
      </c>
      <c r="IC27" s="11" t="n">
        <v>-90325135</v>
      </c>
      <c r="ID27" s="11" t="n">
        <v>-69766192</v>
      </c>
      <c r="IE27" s="11" t="n">
        <v>59793523</v>
      </c>
      <c r="IF27" s="11" t="n">
        <v>138614808</v>
      </c>
      <c r="IG27" s="11" t="n">
        <v>-26771468</v>
      </c>
      <c r="IH27" s="11" t="n">
        <v>3149628</v>
      </c>
      <c r="II27" s="11" t="n">
        <v>90774460</v>
      </c>
      <c r="IJ27" s="11" t="n">
        <v>47253112</v>
      </c>
      <c r="IK27" s="11" t="n">
        <v>45658864</v>
      </c>
      <c r="IL27" s="11" t="n">
        <v>-8645991</v>
      </c>
      <c r="IM27" s="11" t="n">
        <v>-2013015</v>
      </c>
      <c r="IN27" s="11" t="n">
        <v>-2169804</v>
      </c>
      <c r="IO27" s="11" t="n">
        <v>71697239</v>
      </c>
      <c r="IP27" s="11" t="n">
        <v>62802128</v>
      </c>
      <c r="IQ27" s="11" t="n">
        <v>-3371196</v>
      </c>
      <c r="IR27" s="11" t="n">
        <v>-648580232</v>
      </c>
      <c r="IS27" s="11" t="n">
        <v>-326573060</v>
      </c>
      <c r="IT27" s="11" t="n">
        <v>-322275392</v>
      </c>
      <c r="IU27" s="11" t="n">
        <v>318431628</v>
      </c>
      <c r="IV27" s="11" t="n">
        <v>114001376</v>
      </c>
      <c r="IW27" s="11" t="n">
        <v>-100824688</v>
      </c>
      <c r="IX27" s="11" t="n">
        <v>481944535</v>
      </c>
      <c r="IY27" s="11" t="n">
        <v>437860648</v>
      </c>
      <c r="IZ27" s="11" t="n">
        <v>-19003620</v>
      </c>
      <c r="JA27" s="11" t="n">
        <v>-130263512</v>
      </c>
      <c r="JB27" s="11" t="n">
        <v>-777360</v>
      </c>
      <c r="JC27" s="11" t="n">
        <v>44510</v>
      </c>
      <c r="JD27" s="11" t="n">
        <v>-755070</v>
      </c>
      <c r="JE27" s="11" t="n">
        <v>159685</v>
      </c>
      <c r="JF27" s="11" t="n">
        <v>58649</v>
      </c>
      <c r="JG27" s="11" t="n">
        <v>8029440</v>
      </c>
      <c r="JH27" s="11" t="n">
        <v>-17574240</v>
      </c>
      <c r="JI27" s="11" t="n">
        <v>50282400</v>
      </c>
      <c r="JJ27" s="11" t="n">
        <v>84133968</v>
      </c>
      <c r="JK27" s="11" t="n">
        <v>-6792940</v>
      </c>
      <c r="JL27" s="11" t="n">
        <v>-1229660</v>
      </c>
      <c r="JM27" s="11" t="n">
        <v>-4211542</v>
      </c>
      <c r="JN27" s="11" t="n">
        <v>45230510</v>
      </c>
      <c r="JO27" s="11" t="n">
        <v>80395600</v>
      </c>
      <c r="JP27" s="11" t="n">
        <v>-13489143</v>
      </c>
      <c r="JQ27" s="11" t="n">
        <v>-77960</v>
      </c>
      <c r="JR27" s="11" t="n">
        <v>-1338600</v>
      </c>
      <c r="JS27" s="11" t="n">
        <v>-1276060</v>
      </c>
      <c r="JT27" s="11" t="n">
        <v>-1613084</v>
      </c>
      <c r="JU27" s="11" t="n">
        <v>152370</v>
      </c>
      <c r="JV27" s="11" t="n">
        <v>57050</v>
      </c>
      <c r="JW27" s="11" t="n">
        <v>86480</v>
      </c>
      <c r="JX27" s="11" t="n">
        <v>-1514445</v>
      </c>
      <c r="JY27" s="11" t="n">
        <v>-1667823</v>
      </c>
      <c r="JZ27" s="11" t="n">
        <v>235085</v>
      </c>
      <c r="KA27" s="11" t="n">
        <v>15589040</v>
      </c>
      <c r="KB27" s="11" t="n">
        <v>8137840</v>
      </c>
      <c r="KC27" s="11" t="n">
        <v>8224088</v>
      </c>
      <c r="KD27" s="11" t="n">
        <v>-115434040</v>
      </c>
      <c r="KE27" s="11" t="n">
        <v>-181345136</v>
      </c>
      <c r="KF27" s="11" t="n">
        <v>-33768468</v>
      </c>
      <c r="KG27" s="11" t="n">
        <v>-4497280</v>
      </c>
      <c r="KH27" s="11" t="n">
        <v>1219034</v>
      </c>
      <c r="KI27" s="11" t="n">
        <v>3008930</v>
      </c>
      <c r="KJ27" s="11" t="n">
        <v>-61342961</v>
      </c>
      <c r="KK27" s="11" t="n">
        <v>-2757440</v>
      </c>
      <c r="KL27" s="11" t="n">
        <v>13526400</v>
      </c>
      <c r="KM27" s="11" t="n">
        <v>-52268200</v>
      </c>
      <c r="KN27" s="11" t="n">
        <v>-89421128</v>
      </c>
      <c r="KO27" s="11" t="n">
        <v>1903880</v>
      </c>
      <c r="KP27" s="11" t="n">
        <v>2426335</v>
      </c>
      <c r="KQ27" s="11" t="n">
        <v>4912027</v>
      </c>
      <c r="KR27" s="11" t="n">
        <v>-47990875</v>
      </c>
      <c r="KS27" s="11" t="n">
        <v>-85836551</v>
      </c>
      <c r="KT27" s="11" t="n">
        <v>14425408</v>
      </c>
      <c r="KU27" s="11" t="n">
        <v>-77376640</v>
      </c>
      <c r="KV27" s="11" t="n">
        <v>361523200</v>
      </c>
      <c r="KW27" s="11" t="n">
        <v>625202240</v>
      </c>
      <c r="KX27" s="11" t="n">
        <v>-306722800</v>
      </c>
      <c r="KY27" s="11" t="n">
        <v>-557629232</v>
      </c>
      <c r="KZ27" s="11" t="n">
        <v>127068360</v>
      </c>
      <c r="LA27" s="11" t="n">
        <v>-317699910</v>
      </c>
      <c r="LB27" s="11" t="n">
        <v>-569508742</v>
      </c>
      <c r="LC27" s="11" t="n">
        <v>93877525</v>
      </c>
      <c r="LD27" s="11" t="n">
        <v>32017943</v>
      </c>
      <c r="LE27" s="11" t="n">
        <v>6104800</v>
      </c>
      <c r="LF27" s="11" t="n">
        <v>-715460</v>
      </c>
      <c r="LG27" s="11" t="n">
        <v>-3245972</v>
      </c>
      <c r="LH27" s="11" t="n">
        <v>-112208900</v>
      </c>
      <c r="LI27" s="11" t="n">
        <v>-182049940</v>
      </c>
      <c r="LJ27" s="11" t="n">
        <v>-38326808</v>
      </c>
      <c r="LK27" s="11" t="n">
        <v>5865745</v>
      </c>
      <c r="LL27" s="11" t="n">
        <v>13116109</v>
      </c>
      <c r="LM27" s="11" t="n">
        <v>1581705</v>
      </c>
      <c r="LN27" s="11" t="n">
        <v>-66158701</v>
      </c>
      <c r="LO27" s="11" t="n">
        <v>780313240</v>
      </c>
      <c r="LP27" s="11" t="n">
        <v>1293073368</v>
      </c>
      <c r="LQ27" s="11" t="n">
        <v>263355500</v>
      </c>
      <c r="LR27" s="11" t="n">
        <v>-497700452</v>
      </c>
      <c r="LS27" s="11" t="n">
        <v>-434057605</v>
      </c>
    </row>
    <row r="28" customFormat="false" ht="15" hidden="false" customHeight="true" outlineLevel="0" collapsed="false">
      <c r="A28" s="7" t="s">
        <v>94</v>
      </c>
      <c r="B28" s="11" t="n">
        <v>-757742</v>
      </c>
      <c r="C28" s="11" t="n">
        <v>131779168</v>
      </c>
      <c r="D28" s="11" t="n">
        <v>110174</v>
      </c>
      <c r="E28" s="11" t="n">
        <v>-118842168</v>
      </c>
      <c r="F28" s="11" t="n">
        <v>-829406</v>
      </c>
      <c r="G28" s="11" t="n">
        <v>-133236282</v>
      </c>
      <c r="H28" s="11" t="n">
        <v>27954018</v>
      </c>
      <c r="I28" s="11" t="n">
        <v>-1034876</v>
      </c>
      <c r="J28" s="11" t="n">
        <v>-8794958</v>
      </c>
      <c r="K28" s="11" t="n">
        <v>-13146</v>
      </c>
      <c r="L28" s="11" t="n">
        <v>136580</v>
      </c>
      <c r="M28" s="11" t="n">
        <v>204620</v>
      </c>
      <c r="N28" s="11" t="n">
        <v>-471502</v>
      </c>
      <c r="O28" s="11" t="n">
        <v>-392522</v>
      </c>
      <c r="P28" s="11" t="n">
        <v>1459582</v>
      </c>
      <c r="Q28" s="11" t="n">
        <v>1007458</v>
      </c>
      <c r="R28" s="11" t="n">
        <v>1355624312</v>
      </c>
      <c r="S28" s="11" t="n">
        <v>-25958786</v>
      </c>
      <c r="T28" s="11" t="n">
        <v>1628445626</v>
      </c>
      <c r="U28" s="11" t="n">
        <v>-256192994</v>
      </c>
      <c r="V28" s="11" t="n">
        <v>-241824804</v>
      </c>
      <c r="W28" s="11" t="n">
        <v>2041924</v>
      </c>
      <c r="X28" s="11" t="n">
        <v>-15362</v>
      </c>
      <c r="Y28" s="11" t="n">
        <v>2380060</v>
      </c>
      <c r="Z28" s="11" t="n">
        <v>-427900</v>
      </c>
      <c r="AA28" s="11" t="n">
        <v>-194266</v>
      </c>
      <c r="AB28" s="11" t="n">
        <v>31942540</v>
      </c>
      <c r="AC28" s="11" t="n">
        <v>-97964388</v>
      </c>
      <c r="AD28" s="11" t="n">
        <v>-56523468</v>
      </c>
      <c r="AE28" s="11" t="n">
        <v>228730288</v>
      </c>
      <c r="AF28" s="11" t="n">
        <v>-36495106</v>
      </c>
      <c r="AG28" s="11" t="n">
        <v>7119034</v>
      </c>
      <c r="AH28" s="11" t="n">
        <v>1318166</v>
      </c>
      <c r="AI28" s="11" t="n">
        <v>-86412720</v>
      </c>
      <c r="AJ28" s="11" t="n">
        <v>257287078</v>
      </c>
      <c r="AK28" s="11" t="n">
        <v>-53309662</v>
      </c>
      <c r="AL28" s="11" t="n">
        <v>-58295690</v>
      </c>
      <c r="AM28" s="11" t="n">
        <v>-366786</v>
      </c>
      <c r="AN28" s="11" t="n">
        <v>43699898</v>
      </c>
      <c r="AO28" s="11" t="n">
        <v>-1669812</v>
      </c>
      <c r="AP28" s="11" t="n">
        <v>51931775</v>
      </c>
      <c r="AQ28" s="11" t="n">
        <v>-11282193</v>
      </c>
      <c r="AR28" s="11" t="n">
        <v>1547507</v>
      </c>
      <c r="AS28" s="11" t="n">
        <v>55311814</v>
      </c>
      <c r="AT28" s="11" t="n">
        <v>1543071368</v>
      </c>
      <c r="AU28" s="11" t="n">
        <v>354206618</v>
      </c>
      <c r="AV28" s="11" t="n">
        <v>1218851390</v>
      </c>
      <c r="AW28" s="11" t="n">
        <v>-188508438</v>
      </c>
      <c r="AX28" s="11" t="n">
        <v>-189510908</v>
      </c>
      <c r="AY28" s="11" t="n">
        <v>51171838</v>
      </c>
      <c r="AZ28" s="11" t="n">
        <v>644262</v>
      </c>
      <c r="BA28" s="11" t="n">
        <v>56942431</v>
      </c>
      <c r="BB28" s="11" t="n">
        <v>-11890773</v>
      </c>
      <c r="BC28" s="11" t="n">
        <v>275929</v>
      </c>
      <c r="BD28" s="11" t="n">
        <v>-309721562</v>
      </c>
      <c r="BE28" s="11" t="n">
        <v>460938942</v>
      </c>
      <c r="BF28" s="11" t="n">
        <v>-157326030</v>
      </c>
      <c r="BG28" s="11" t="n">
        <v>183024184</v>
      </c>
      <c r="BH28" s="11" t="n">
        <v>350451827</v>
      </c>
      <c r="BI28" s="11" t="n">
        <v>-73950597</v>
      </c>
      <c r="BJ28" s="11" t="n">
        <v>3974387</v>
      </c>
      <c r="BK28" s="11" t="n">
        <v>-67959378</v>
      </c>
      <c r="BL28" s="11" t="n">
        <v>201178147</v>
      </c>
      <c r="BM28" s="11" t="n">
        <v>-41680899</v>
      </c>
      <c r="BN28" s="11" t="n">
        <v>-3245844</v>
      </c>
      <c r="BO28" s="11" t="n">
        <v>496708302</v>
      </c>
      <c r="BP28" s="11" t="n">
        <v>-35123288</v>
      </c>
      <c r="BQ28" s="11" t="n">
        <v>639035865</v>
      </c>
      <c r="BR28" s="11" t="n">
        <v>-100752067</v>
      </c>
      <c r="BS28" s="11" t="n">
        <v>-94329047</v>
      </c>
      <c r="BT28" s="11" t="n">
        <v>692034</v>
      </c>
      <c r="BU28" s="11" t="n">
        <v>-128016</v>
      </c>
      <c r="BV28" s="11" t="n">
        <v>1129191</v>
      </c>
      <c r="BW28" s="11" t="n">
        <v>-5733</v>
      </c>
      <c r="BX28" s="11" t="n">
        <v>-679665</v>
      </c>
      <c r="BY28" s="11" t="n">
        <v>12101660</v>
      </c>
      <c r="BZ28" s="11" t="n">
        <v>-36552588</v>
      </c>
      <c r="CA28" s="11" t="n">
        <v>-20603648</v>
      </c>
      <c r="CB28" s="11" t="n">
        <v>83896928</v>
      </c>
      <c r="CC28" s="11" t="n">
        <v>-12984578</v>
      </c>
      <c r="CD28" s="11" t="n">
        <v>3911622</v>
      </c>
      <c r="CE28" s="11" t="n">
        <v>-3634322</v>
      </c>
      <c r="CF28" s="11" t="n">
        <v>-33921758</v>
      </c>
      <c r="CG28" s="11" t="n">
        <v>100995242</v>
      </c>
      <c r="CH28" s="11" t="n">
        <v>-20930416</v>
      </c>
      <c r="CI28" s="11" t="n">
        <v>-557200818</v>
      </c>
      <c r="CJ28" s="11" t="n">
        <v>13603636</v>
      </c>
      <c r="CK28" s="11" t="n">
        <v>-674191083</v>
      </c>
      <c r="CL28" s="11" t="n">
        <v>106091009</v>
      </c>
      <c r="CM28" s="11" t="n">
        <v>100052569</v>
      </c>
      <c r="CN28" s="11" t="n">
        <v>3947720798</v>
      </c>
      <c r="CO28" s="11" t="n">
        <v>-6529888266</v>
      </c>
      <c r="CP28" s="11" t="n">
        <v>1060694602</v>
      </c>
      <c r="CQ28" s="11" t="n">
        <v>882137432</v>
      </c>
      <c r="CR28" s="11" t="n">
        <v>-4617164681</v>
      </c>
      <c r="CS28" s="11" t="n">
        <v>725749795</v>
      </c>
      <c r="CT28" s="11" t="n">
        <v>687327295</v>
      </c>
      <c r="CU28" s="11" t="n">
        <v>40108354</v>
      </c>
      <c r="CV28" s="11" t="n">
        <v>-105173761</v>
      </c>
      <c r="CW28" s="11" t="n">
        <v>22502425</v>
      </c>
      <c r="CX28" s="11" t="n">
        <v>19075606</v>
      </c>
      <c r="CY28" s="11" t="n">
        <v>-50101914</v>
      </c>
      <c r="CZ28" s="11" t="n">
        <v>-21635098</v>
      </c>
      <c r="DA28" s="11" t="n">
        <v>95343496</v>
      </c>
      <c r="DB28" s="11" t="n">
        <v>-21857533</v>
      </c>
      <c r="DC28" s="11" t="n">
        <v>4160199</v>
      </c>
      <c r="DD28" s="11" t="n">
        <v>1097531</v>
      </c>
      <c r="DE28" s="11" t="n">
        <v>-35717020</v>
      </c>
      <c r="DF28" s="11" t="n">
        <v>106365439</v>
      </c>
      <c r="DG28" s="11" t="n">
        <v>-22038257</v>
      </c>
      <c r="DH28" s="11" t="n">
        <v>131419032</v>
      </c>
      <c r="DI28" s="11" t="n">
        <v>189595412</v>
      </c>
      <c r="DJ28" s="11" t="n">
        <v>-645300912</v>
      </c>
      <c r="DK28" s="11" t="n">
        <v>-348918372</v>
      </c>
      <c r="DL28" s="11" t="n">
        <v>1038020016</v>
      </c>
      <c r="DM28" s="11" t="n">
        <v>-215748896</v>
      </c>
      <c r="DN28" s="11" t="n">
        <v>-245906594</v>
      </c>
      <c r="DO28" s="11" t="n">
        <v>731848284</v>
      </c>
      <c r="DP28" s="11" t="n">
        <v>-151642210</v>
      </c>
      <c r="DQ28" s="11" t="n">
        <v>-755942</v>
      </c>
      <c r="DR28" s="11" t="n">
        <v>-532186</v>
      </c>
      <c r="DS28" s="11" t="n">
        <v>-2714</v>
      </c>
      <c r="DT28" s="11" t="n">
        <v>-16532</v>
      </c>
      <c r="DU28" s="11" t="n">
        <v>-4906</v>
      </c>
      <c r="DV28" s="11" t="n">
        <v>305277</v>
      </c>
      <c r="DW28" s="11" t="n">
        <v>22313</v>
      </c>
      <c r="DX28" s="11" t="n">
        <v>122819</v>
      </c>
      <c r="DY28" s="11" t="n">
        <v>394614</v>
      </c>
      <c r="DZ28" s="11" t="n">
        <v>86341672</v>
      </c>
      <c r="EA28" s="11" t="n">
        <v>1435722</v>
      </c>
      <c r="EB28" s="11" t="n">
        <v>40485198</v>
      </c>
      <c r="EC28" s="11" t="n">
        <v>-23513446</v>
      </c>
      <c r="ED28" s="11" t="n">
        <v>-20632668</v>
      </c>
      <c r="EE28" s="11" t="n">
        <v>428060</v>
      </c>
      <c r="EF28" s="11" t="n">
        <v>3684</v>
      </c>
      <c r="EG28" s="11" t="n">
        <v>432825</v>
      </c>
      <c r="EH28" s="11" t="n">
        <v>-103367</v>
      </c>
      <c r="EI28" s="11" t="n">
        <v>-14151</v>
      </c>
      <c r="EJ28" s="11" t="n">
        <v>-751348</v>
      </c>
      <c r="EK28" s="11" t="n">
        <v>50785680</v>
      </c>
      <c r="EL28" s="11" t="n">
        <v>2889624</v>
      </c>
      <c r="EM28" s="11" t="n">
        <v>19285172</v>
      </c>
      <c r="EN28" s="11" t="n">
        <v>1196787</v>
      </c>
      <c r="EO28" s="11" t="n">
        <v>-156565</v>
      </c>
      <c r="EP28" s="11" t="n">
        <v>141135</v>
      </c>
      <c r="EQ28" s="11" t="n">
        <v>15185406</v>
      </c>
      <c r="ER28" s="11" t="n">
        <v>21178743</v>
      </c>
      <c r="ES28" s="11" t="n">
        <v>-4561415</v>
      </c>
      <c r="ET28" s="11" t="n">
        <v>-22268</v>
      </c>
      <c r="EU28" s="11" t="n">
        <v>-287808</v>
      </c>
      <c r="EV28" s="11" t="n">
        <v>-200654</v>
      </c>
      <c r="EW28" s="11" t="n">
        <v>3874439</v>
      </c>
      <c r="EX28" s="11" t="n">
        <v>534663</v>
      </c>
      <c r="EY28" s="11" t="n">
        <v>400425</v>
      </c>
      <c r="EZ28" s="11" t="n">
        <v>-776</v>
      </c>
      <c r="FA28" s="11" t="n">
        <v>-818</v>
      </c>
      <c r="FB28" s="11" t="n">
        <v>6985</v>
      </c>
      <c r="FC28" s="11" t="n">
        <v>1793</v>
      </c>
      <c r="FD28" s="11" t="n">
        <v>-3097</v>
      </c>
      <c r="FE28" s="11" t="n">
        <v>-3580</v>
      </c>
      <c r="FF28" s="11" t="n">
        <v>-44738</v>
      </c>
      <c r="FG28" s="11" t="n">
        <v>4542</v>
      </c>
      <c r="FH28" s="11" t="n">
        <v>-53982</v>
      </c>
      <c r="FI28" s="11" t="n">
        <v>-79384</v>
      </c>
      <c r="FJ28" s="11" t="n">
        <v>-3484</v>
      </c>
      <c r="FK28" s="11" t="n">
        <v>-42616</v>
      </c>
      <c r="FL28" s="11" t="n">
        <v>-144254</v>
      </c>
      <c r="FM28" s="11" t="n">
        <v>664456</v>
      </c>
      <c r="FN28" s="11" t="n">
        <v>106602</v>
      </c>
      <c r="FO28" s="11" t="n">
        <v>-3399344</v>
      </c>
      <c r="FP28" s="11" t="n">
        <v>88710</v>
      </c>
      <c r="FQ28" s="11" t="n">
        <v>-4566885</v>
      </c>
      <c r="FR28" s="11" t="n">
        <v>587411</v>
      </c>
      <c r="FS28" s="11" t="n">
        <v>566409</v>
      </c>
      <c r="FT28" s="11" t="n">
        <v>31777592</v>
      </c>
      <c r="FU28" s="11" t="n">
        <v>-650482172</v>
      </c>
      <c r="FV28" s="11" t="n">
        <v>-74027388</v>
      </c>
      <c r="FW28" s="11" t="n">
        <v>-53806596</v>
      </c>
      <c r="FX28" s="11" t="n">
        <v>-25716825</v>
      </c>
      <c r="FY28" s="11" t="n">
        <v>7423043</v>
      </c>
      <c r="FZ28" s="11" t="n">
        <v>6699027</v>
      </c>
      <c r="GA28" s="11" t="n">
        <v>-211857038</v>
      </c>
      <c r="GB28" s="11" t="n">
        <v>-180672357</v>
      </c>
      <c r="GC28" s="11" t="n">
        <v>-3036819</v>
      </c>
      <c r="GD28" s="11" t="n">
        <v>127964</v>
      </c>
      <c r="GE28" s="11" t="n">
        <v>-1225450</v>
      </c>
      <c r="GF28" s="11" t="n">
        <v>-253242</v>
      </c>
      <c r="GG28" s="11" t="n">
        <v>492514</v>
      </c>
      <c r="GH28" s="11" t="n">
        <v>-139935</v>
      </c>
      <c r="GI28" s="11" t="n">
        <v>28721</v>
      </c>
      <c r="GJ28" s="11" t="n">
        <v>8469</v>
      </c>
      <c r="GK28" s="11" t="n">
        <v>-551980</v>
      </c>
      <c r="GL28" s="11" t="n">
        <v>457485</v>
      </c>
      <c r="GM28" s="11" t="n">
        <v>-127303</v>
      </c>
      <c r="GN28" s="11" t="n">
        <v>-13030882</v>
      </c>
      <c r="GO28" s="11" t="n">
        <v>-419322</v>
      </c>
      <c r="GP28" s="11" t="n">
        <v>-6629578</v>
      </c>
      <c r="GQ28" s="11" t="n">
        <v>-21772596</v>
      </c>
      <c r="GR28" s="11" t="n">
        <v>113642182</v>
      </c>
      <c r="GS28" s="11" t="n">
        <v>14733906</v>
      </c>
      <c r="GT28" s="11" t="n">
        <v>3383278</v>
      </c>
      <c r="GU28" s="11" t="n">
        <v>8112192</v>
      </c>
      <c r="GV28" s="11" t="n">
        <v>-1460230</v>
      </c>
      <c r="GW28" s="11" t="n">
        <v>43059754</v>
      </c>
      <c r="GX28" s="11" t="n">
        <v>48808</v>
      </c>
      <c r="GY28" s="11" t="n">
        <v>-31963674</v>
      </c>
      <c r="GZ28" s="11" t="n">
        <v>795326</v>
      </c>
      <c r="HA28" s="11" t="n">
        <v>-12987310</v>
      </c>
      <c r="HB28" s="11" t="n">
        <v>9640454</v>
      </c>
      <c r="HC28" s="11" t="n">
        <v>8362024</v>
      </c>
      <c r="HD28" s="11" t="n">
        <v>-164522</v>
      </c>
      <c r="HE28" s="11" t="n">
        <v>3606</v>
      </c>
      <c r="HF28" s="11" t="n">
        <v>-38234</v>
      </c>
      <c r="HG28" s="11" t="n">
        <v>51210</v>
      </c>
      <c r="HH28" s="11" t="n">
        <v>53908</v>
      </c>
      <c r="HI28" s="11" t="n">
        <v>319366</v>
      </c>
      <c r="HJ28" s="11" t="n">
        <v>-18738713</v>
      </c>
      <c r="HK28" s="11" t="n">
        <v>-1040669</v>
      </c>
      <c r="HL28" s="11" t="n">
        <v>-7116883</v>
      </c>
      <c r="HM28" s="11" t="n">
        <v>336497</v>
      </c>
      <c r="HN28" s="11" t="n">
        <v>122217</v>
      </c>
      <c r="HO28" s="11" t="n">
        <v>260633</v>
      </c>
      <c r="HP28" s="11" t="n">
        <v>-6074558</v>
      </c>
      <c r="HQ28" s="11" t="n">
        <v>-7793933</v>
      </c>
      <c r="HR28" s="11" t="n">
        <v>1874249</v>
      </c>
      <c r="HS28" s="11" t="n">
        <v>31619542</v>
      </c>
      <c r="HT28" s="11" t="n">
        <v>-458058</v>
      </c>
      <c r="HU28" s="11" t="n">
        <v>13343034</v>
      </c>
      <c r="HV28" s="11" t="n">
        <v>-9304834</v>
      </c>
      <c r="HW28" s="11" t="n">
        <v>-8092680</v>
      </c>
      <c r="HX28" s="11" t="n">
        <v>-215264450</v>
      </c>
      <c r="HY28" s="11" t="n">
        <v>-324528662</v>
      </c>
      <c r="HZ28" s="11" t="n">
        <v>-151820594</v>
      </c>
      <c r="IA28" s="11" t="n">
        <v>-117431236</v>
      </c>
      <c r="IB28" s="11" t="n">
        <v>95540088</v>
      </c>
      <c r="IC28" s="11" t="n">
        <v>-61147544</v>
      </c>
      <c r="ID28" s="11" t="n">
        <v>-53393436</v>
      </c>
      <c r="IE28" s="11" t="n">
        <v>-159566912</v>
      </c>
      <c r="IF28" s="11" t="n">
        <v>-132614052</v>
      </c>
      <c r="IG28" s="11" t="n">
        <v>-4299788</v>
      </c>
      <c r="IH28" s="11" t="n">
        <v>-792072</v>
      </c>
      <c r="II28" s="11" t="n">
        <v>-20207365</v>
      </c>
      <c r="IJ28" s="11" t="n">
        <v>-1810909</v>
      </c>
      <c r="IK28" s="11" t="n">
        <v>-7644697</v>
      </c>
      <c r="IL28" s="11" t="n">
        <v>626979</v>
      </c>
      <c r="IM28" s="11" t="n">
        <v>-206853</v>
      </c>
      <c r="IN28" s="11" t="n">
        <v>-91977</v>
      </c>
      <c r="IO28" s="11" t="n">
        <v>-6710698</v>
      </c>
      <c r="IP28" s="11" t="n">
        <v>-8397819</v>
      </c>
      <c r="IQ28" s="11" t="n">
        <v>1786159</v>
      </c>
      <c r="IR28" s="11" t="n">
        <v>129441383</v>
      </c>
      <c r="IS28" s="11" t="n">
        <v>8525471</v>
      </c>
      <c r="IT28" s="11" t="n">
        <v>49103099</v>
      </c>
      <c r="IU28" s="11" t="n">
        <v>-78438906</v>
      </c>
      <c r="IV28" s="11" t="n">
        <v>3413947</v>
      </c>
      <c r="IW28" s="11" t="n">
        <v>29980357</v>
      </c>
      <c r="IX28" s="11" t="n">
        <v>-40552664</v>
      </c>
      <c r="IY28" s="11" t="n">
        <v>-53899446</v>
      </c>
      <c r="IZ28" s="11" t="n">
        <v>11833490</v>
      </c>
      <c r="JA28" s="11" t="n">
        <v>33731548</v>
      </c>
      <c r="JB28" s="11" t="n">
        <v>-1363836</v>
      </c>
      <c r="JC28" s="11" t="n">
        <v>14876</v>
      </c>
      <c r="JD28" s="11" t="n">
        <v>-188088</v>
      </c>
      <c r="JE28" s="11" t="n">
        <v>452416</v>
      </c>
      <c r="JF28" s="11" t="n">
        <v>386612</v>
      </c>
      <c r="JG28" s="11" t="n">
        <v>12481614</v>
      </c>
      <c r="JH28" s="11" t="n">
        <v>-239726631</v>
      </c>
      <c r="JI28" s="11" t="n">
        <v>-26898855</v>
      </c>
      <c r="JJ28" s="11" t="n">
        <v>-19527753</v>
      </c>
      <c r="JK28" s="11" t="n">
        <v>893459</v>
      </c>
      <c r="JL28" s="11" t="n">
        <v>4433839</v>
      </c>
      <c r="JM28" s="11" t="n">
        <v>3751211</v>
      </c>
      <c r="JN28" s="11" t="n">
        <v>-83232526</v>
      </c>
      <c r="JO28" s="11" t="n">
        <v>-70649351</v>
      </c>
      <c r="JP28" s="11" t="n">
        <v>-1147317</v>
      </c>
      <c r="JQ28" s="11" t="n">
        <v>50618</v>
      </c>
      <c r="JR28" s="11" t="n">
        <v>-434361</v>
      </c>
      <c r="JS28" s="11" t="n">
        <v>-94049</v>
      </c>
      <c r="JT28" s="11" t="n">
        <v>203153</v>
      </c>
      <c r="JU28" s="11" t="n">
        <v>-2243</v>
      </c>
      <c r="JV28" s="11" t="n">
        <v>17817</v>
      </c>
      <c r="JW28" s="11" t="n">
        <v>12133</v>
      </c>
      <c r="JX28" s="11" t="n">
        <v>-157058</v>
      </c>
      <c r="JY28" s="11" t="n">
        <v>-95113</v>
      </c>
      <c r="JZ28" s="11" t="n">
        <v>-94051</v>
      </c>
      <c r="KA28" s="11" t="n">
        <v>-4922114</v>
      </c>
      <c r="KB28" s="11" t="n">
        <v>-137614</v>
      </c>
      <c r="KC28" s="11" t="n">
        <v>-2583986</v>
      </c>
      <c r="KD28" s="11" t="n">
        <v>-7964474</v>
      </c>
      <c r="KE28" s="11" t="n">
        <v>41928266</v>
      </c>
      <c r="KF28" s="11" t="n">
        <v>5353392</v>
      </c>
      <c r="KG28" s="11" t="n">
        <v>1738630</v>
      </c>
      <c r="KH28" s="11" t="n">
        <v>1294320</v>
      </c>
      <c r="KI28" s="11" t="n">
        <v>-876550</v>
      </c>
      <c r="KJ28" s="11" t="n">
        <v>16904590</v>
      </c>
      <c r="KK28" s="11" t="n">
        <v>-3162262</v>
      </c>
      <c r="KL28" s="11" t="n">
        <v>250992741</v>
      </c>
      <c r="KM28" s="11" t="n">
        <v>33087181</v>
      </c>
      <c r="KN28" s="11" t="n">
        <v>24328103</v>
      </c>
      <c r="KO28" s="11" t="n">
        <v>-2301585</v>
      </c>
      <c r="KP28" s="11" t="n">
        <v>-1409893</v>
      </c>
      <c r="KQ28" s="11" t="n">
        <v>-1161777</v>
      </c>
      <c r="KR28" s="11" t="n">
        <v>87823194</v>
      </c>
      <c r="KS28" s="11" t="n">
        <v>74505021</v>
      </c>
      <c r="KT28" s="11" t="n">
        <v>1309159</v>
      </c>
      <c r="KU28" s="11" t="n">
        <v>-1741203557</v>
      </c>
      <c r="KV28" s="11" t="n">
        <v>-240439609</v>
      </c>
      <c r="KW28" s="11" t="n">
        <v>-177368921</v>
      </c>
      <c r="KX28" s="11" t="n">
        <v>865544746</v>
      </c>
      <c r="KY28" s="11" t="n">
        <v>682464695</v>
      </c>
      <c r="KZ28" s="11" t="n">
        <v>6070977</v>
      </c>
      <c r="LA28" s="11" t="n">
        <v>601315928</v>
      </c>
      <c r="LB28" s="11" t="n">
        <v>510603042</v>
      </c>
      <c r="LC28" s="11" t="n">
        <v>9254770</v>
      </c>
      <c r="LD28" s="11" t="n">
        <v>-18132796</v>
      </c>
      <c r="LE28" s="11" t="n">
        <v>-8308321</v>
      </c>
      <c r="LF28" s="11" t="n">
        <v>-1009945</v>
      </c>
      <c r="LG28" s="11" t="n">
        <v>-1373965</v>
      </c>
      <c r="LH28" s="11" t="n">
        <v>-6770488</v>
      </c>
      <c r="LI28" s="11" t="n">
        <v>45135271</v>
      </c>
      <c r="LJ28" s="11" t="n">
        <v>6606215</v>
      </c>
      <c r="LK28" s="11" t="n">
        <v>2969194</v>
      </c>
      <c r="LL28" s="11" t="n">
        <v>2052366</v>
      </c>
      <c r="LM28" s="11" t="n">
        <v>-241540</v>
      </c>
      <c r="LN28" s="11" t="n">
        <v>17802742</v>
      </c>
      <c r="LO28" s="11" t="n">
        <v>75619802</v>
      </c>
      <c r="LP28" s="11" t="n">
        <v>-290524572</v>
      </c>
      <c r="LQ28" s="11" t="n">
        <v>-47821070</v>
      </c>
      <c r="LR28" s="11" t="n">
        <v>174057686</v>
      </c>
      <c r="LS28" s="11" t="n">
        <v>122506500</v>
      </c>
    </row>
    <row r="29" customFormat="false" ht="15" hidden="false" customHeight="true" outlineLevel="0" collapsed="false">
      <c r="A29" s="7" t="s">
        <v>95</v>
      </c>
      <c r="B29" s="11" t="n">
        <v>-1712590</v>
      </c>
      <c r="C29" s="11" t="n">
        <v>16296956</v>
      </c>
      <c r="D29" s="11" t="n">
        <v>-617366</v>
      </c>
      <c r="E29" s="11" t="n">
        <v>-117807756</v>
      </c>
      <c r="F29" s="11" t="n">
        <v>2074514</v>
      </c>
      <c r="G29" s="11" t="n">
        <v>-256272858</v>
      </c>
      <c r="H29" s="11" t="n">
        <v>72892950</v>
      </c>
      <c r="I29" s="11" t="n">
        <v>-17903452</v>
      </c>
      <c r="J29" s="11" t="n">
        <v>-4507666</v>
      </c>
      <c r="K29" s="11" t="n">
        <v>17586</v>
      </c>
      <c r="L29" s="11" t="n">
        <v>-7923344</v>
      </c>
      <c r="M29" s="11" t="n">
        <v>246876</v>
      </c>
      <c r="N29" s="11" t="n">
        <v>-3514542</v>
      </c>
      <c r="O29" s="11" t="n">
        <v>-1417430</v>
      </c>
      <c r="P29" s="11" t="n">
        <v>4148542</v>
      </c>
      <c r="Q29" s="11" t="n">
        <v>1457606</v>
      </c>
      <c r="R29" s="11" t="n">
        <v>385477204</v>
      </c>
      <c r="S29" s="11" t="n">
        <v>-7809542</v>
      </c>
      <c r="T29" s="11" t="n">
        <v>707973762</v>
      </c>
      <c r="U29" s="11" t="n">
        <v>-178371518</v>
      </c>
      <c r="V29" s="11" t="n">
        <v>7645832</v>
      </c>
      <c r="W29" s="11" t="n">
        <v>-4065988</v>
      </c>
      <c r="X29" s="11" t="n">
        <v>110298</v>
      </c>
      <c r="Y29" s="11" t="n">
        <v>-3898524</v>
      </c>
      <c r="Z29" s="11" t="n">
        <v>237548</v>
      </c>
      <c r="AA29" s="11" t="n">
        <v>1311650</v>
      </c>
      <c r="AB29" s="11" t="n">
        <v>7384616</v>
      </c>
      <c r="AC29" s="11" t="n">
        <v>943890660</v>
      </c>
      <c r="AD29" s="11" t="n">
        <v>-434745132</v>
      </c>
      <c r="AE29" s="11" t="n">
        <v>368205836</v>
      </c>
      <c r="AF29" s="11" t="n">
        <v>-32685378</v>
      </c>
      <c r="AG29" s="11" t="n">
        <v>12224758</v>
      </c>
      <c r="AH29" s="11" t="n">
        <v>-7606106</v>
      </c>
      <c r="AI29" s="11" t="n">
        <v>-361694376</v>
      </c>
      <c r="AJ29" s="11" t="n">
        <v>657531078</v>
      </c>
      <c r="AK29" s="11" t="n">
        <v>-161756506</v>
      </c>
      <c r="AL29" s="11" t="n">
        <v>-10242715</v>
      </c>
      <c r="AM29" s="11" t="n">
        <v>-455055</v>
      </c>
      <c r="AN29" s="11" t="n">
        <v>33686125</v>
      </c>
      <c r="AO29" s="11" t="n">
        <v>-5478400</v>
      </c>
      <c r="AP29" s="11" t="n">
        <v>98011695</v>
      </c>
      <c r="AQ29" s="11" t="n">
        <v>-29691460</v>
      </c>
      <c r="AR29" s="11" t="n">
        <v>10215195</v>
      </c>
      <c r="AS29" s="11" t="n">
        <v>8022653</v>
      </c>
      <c r="AT29" s="11" t="n">
        <v>384032356</v>
      </c>
      <c r="AU29" s="11" t="n">
        <v>39724971</v>
      </c>
      <c r="AV29" s="11" t="n">
        <v>600048795</v>
      </c>
      <c r="AW29" s="11" t="n">
        <v>-153417511</v>
      </c>
      <c r="AX29" s="11" t="n">
        <v>9870064</v>
      </c>
      <c r="AY29" s="11" t="n">
        <v>43446287</v>
      </c>
      <c r="AZ29" s="11" t="n">
        <v>-2526113</v>
      </c>
      <c r="BA29" s="11" t="n">
        <v>103426584</v>
      </c>
      <c r="BB29" s="11" t="n">
        <v>-30071879</v>
      </c>
      <c r="BC29" s="11" t="n">
        <v>8439597</v>
      </c>
      <c r="BD29" s="11" t="n">
        <v>-336049885</v>
      </c>
      <c r="BE29" s="11" t="n">
        <v>1701340263</v>
      </c>
      <c r="BF29" s="11" t="n">
        <v>-608670639</v>
      </c>
      <c r="BG29" s="11" t="n">
        <v>350539988</v>
      </c>
      <c r="BH29" s="11" t="n">
        <v>701065983</v>
      </c>
      <c r="BI29" s="11" t="n">
        <v>-197210884</v>
      </c>
      <c r="BJ29" s="11" t="n">
        <v>44897323</v>
      </c>
      <c r="BK29" s="11" t="n">
        <v>-271374777</v>
      </c>
      <c r="BL29" s="11" t="n">
        <v>503990763</v>
      </c>
      <c r="BM29" s="11" t="n">
        <v>-124394087</v>
      </c>
      <c r="BN29" s="11" t="n">
        <v>-1302918</v>
      </c>
      <c r="BO29" s="11" t="n">
        <v>136052619</v>
      </c>
      <c r="BP29" s="11" t="n">
        <v>-15896086</v>
      </c>
      <c r="BQ29" s="11" t="n">
        <v>278994060</v>
      </c>
      <c r="BR29" s="11" t="n">
        <v>-69672749</v>
      </c>
      <c r="BS29" s="11" t="n">
        <v>2075426</v>
      </c>
      <c r="BT29" s="11" t="n">
        <v>1759413</v>
      </c>
      <c r="BU29" s="11" t="n">
        <v>-9342</v>
      </c>
      <c r="BV29" s="11" t="n">
        <v>-72594</v>
      </c>
      <c r="BW29" s="11" t="n">
        <v>681519</v>
      </c>
      <c r="BX29" s="11" t="n">
        <v>-1207212</v>
      </c>
      <c r="BY29" s="11" t="n">
        <v>-20489990</v>
      </c>
      <c r="BZ29" s="11" t="n">
        <v>384323787</v>
      </c>
      <c r="CA29" s="11" t="n">
        <v>-165248761</v>
      </c>
      <c r="CB29" s="11" t="n">
        <v>128861437</v>
      </c>
      <c r="CC29" s="11" t="n">
        <v>-2886078</v>
      </c>
      <c r="CD29" s="11" t="n">
        <v>8814344</v>
      </c>
      <c r="CE29" s="11" t="n">
        <v>-14743318</v>
      </c>
      <c r="CF29" s="11" t="n">
        <v>-142051863</v>
      </c>
      <c r="CG29" s="11" t="n">
        <v>258384882</v>
      </c>
      <c r="CH29" s="11" t="n">
        <v>-63469333</v>
      </c>
      <c r="CI29" s="11" t="n">
        <v>-155414421</v>
      </c>
      <c r="CJ29" s="11" t="n">
        <v>7397492</v>
      </c>
      <c r="CK29" s="11" t="n">
        <v>-294852186</v>
      </c>
      <c r="CL29" s="11" t="n">
        <v>74086873</v>
      </c>
      <c r="CM29" s="11" t="n">
        <v>-2881102</v>
      </c>
      <c r="CN29" s="11" t="n">
        <v>1123656931</v>
      </c>
      <c r="CO29" s="11" t="n">
        <v>-2490017157</v>
      </c>
      <c r="CP29" s="11" t="n">
        <v>574431269</v>
      </c>
      <c r="CQ29" s="11" t="n">
        <v>53288344</v>
      </c>
      <c r="CR29" s="11" t="n">
        <v>-2013280482</v>
      </c>
      <c r="CS29" s="11" t="n">
        <v>508311115</v>
      </c>
      <c r="CT29" s="11" t="n">
        <v>-23367010</v>
      </c>
      <c r="CU29" s="11" t="n">
        <v>-97193487</v>
      </c>
      <c r="CV29" s="11" t="n">
        <v>147259038</v>
      </c>
      <c r="CW29" s="11" t="n">
        <v>-36051750</v>
      </c>
      <c r="CX29" s="11" t="n">
        <v>-8874973</v>
      </c>
      <c r="CY29" s="11" t="n">
        <v>406816794</v>
      </c>
      <c r="CZ29" s="11" t="n">
        <v>-181337036</v>
      </c>
      <c r="DA29" s="11" t="n">
        <v>147888971</v>
      </c>
      <c r="DB29" s="11" t="n">
        <v>-2526270</v>
      </c>
      <c r="DC29" s="11" t="n">
        <v>4400623</v>
      </c>
      <c r="DD29" s="11" t="n">
        <v>-6874766</v>
      </c>
      <c r="DE29" s="11" t="n">
        <v>-150100854</v>
      </c>
      <c r="DF29" s="11" t="n">
        <v>273033258</v>
      </c>
      <c r="DG29" s="11" t="n">
        <v>-67137791</v>
      </c>
      <c r="DH29" s="11" t="n">
        <v>-2799120393</v>
      </c>
      <c r="DI29" s="11" t="n">
        <v>1278276199</v>
      </c>
      <c r="DJ29" s="11" t="n">
        <v>-1072290453</v>
      </c>
      <c r="DK29" s="11" t="n">
        <v>-1401697746</v>
      </c>
      <c r="DL29" s="11" t="n">
        <v>2508934923</v>
      </c>
      <c r="DM29" s="11" t="n">
        <v>-608792923</v>
      </c>
      <c r="DN29" s="11" t="n">
        <v>-1024071033</v>
      </c>
      <c r="DO29" s="11" t="n">
        <v>1863036936</v>
      </c>
      <c r="DP29" s="11" t="n">
        <v>-458491955</v>
      </c>
      <c r="DQ29" s="11" t="n">
        <v>15035829</v>
      </c>
      <c r="DR29" s="11" t="n">
        <v>-116459</v>
      </c>
      <c r="DS29" s="11" t="n">
        <v>-2791</v>
      </c>
      <c r="DT29" s="11" t="n">
        <v>-619201</v>
      </c>
      <c r="DU29" s="11" t="n">
        <v>-26326</v>
      </c>
      <c r="DV29" s="11" t="n">
        <v>516877</v>
      </c>
      <c r="DW29" s="11" t="n">
        <v>12950</v>
      </c>
      <c r="DX29" s="11" t="n">
        <v>337643</v>
      </c>
      <c r="DY29" s="11" t="n">
        <v>68541</v>
      </c>
      <c r="DZ29" s="11" t="n">
        <v>13903424</v>
      </c>
      <c r="EA29" s="11" t="n">
        <v>109447</v>
      </c>
      <c r="EB29" s="11" t="n">
        <v>12508399</v>
      </c>
      <c r="EC29" s="11" t="n">
        <v>-5080075</v>
      </c>
      <c r="ED29" s="11" t="n">
        <v>-1995536</v>
      </c>
      <c r="EE29" s="11" t="n">
        <v>-31223</v>
      </c>
      <c r="EF29" s="11" t="n">
        <v>-12871</v>
      </c>
      <c r="EG29" s="11" t="n">
        <v>603974</v>
      </c>
      <c r="EH29" s="11" t="n">
        <v>-114125</v>
      </c>
      <c r="EI29" s="11" t="n">
        <v>150893</v>
      </c>
      <c r="EJ29" s="11" t="n">
        <v>-2561003</v>
      </c>
      <c r="EK29" s="11" t="n">
        <v>128213133</v>
      </c>
      <c r="EL29" s="11" t="n">
        <v>-25464225</v>
      </c>
      <c r="EM29" s="11" t="n">
        <v>29699344</v>
      </c>
      <c r="EN29" s="11" t="n">
        <v>3313327</v>
      </c>
      <c r="EO29" s="11" t="n">
        <v>-1136200</v>
      </c>
      <c r="EP29" s="11" t="n">
        <v>-133785</v>
      </c>
      <c r="EQ29" s="11" t="n">
        <v>23937675</v>
      </c>
      <c r="ER29" s="11" t="n">
        <v>45121631</v>
      </c>
      <c r="ES29" s="11" t="n">
        <v>-14506475</v>
      </c>
      <c r="ET29" s="11" t="n">
        <v>-8542</v>
      </c>
      <c r="EU29" s="11" t="n">
        <v>-1090983</v>
      </c>
      <c r="EV29" s="11" t="n">
        <v>-86080</v>
      </c>
      <c r="EW29" s="11" t="n">
        <v>1599454</v>
      </c>
      <c r="EX29" s="11" t="n">
        <v>130473</v>
      </c>
      <c r="EY29" s="11" t="n">
        <v>606594</v>
      </c>
      <c r="EZ29" s="11" t="n">
        <v>19271</v>
      </c>
      <c r="FA29" s="11" t="n">
        <v>-132</v>
      </c>
      <c r="FB29" s="11" t="n">
        <v>420</v>
      </c>
      <c r="FC29" s="11" t="n">
        <v>2177</v>
      </c>
      <c r="FD29" s="11" t="n">
        <v>-10228</v>
      </c>
      <c r="FE29" s="11" t="n">
        <v>-211058</v>
      </c>
      <c r="FF29" s="11" t="n">
        <v>3662057</v>
      </c>
      <c r="FG29" s="11" t="n">
        <v>572397</v>
      </c>
      <c r="FH29" s="11" t="n">
        <v>62175</v>
      </c>
      <c r="FI29" s="11" t="n">
        <v>-20484</v>
      </c>
      <c r="FJ29" s="11" t="n">
        <v>19922</v>
      </c>
      <c r="FK29" s="11" t="n">
        <v>-112444</v>
      </c>
      <c r="FL29" s="11" t="n">
        <v>-401219</v>
      </c>
      <c r="FM29" s="11" t="n">
        <v>1944976</v>
      </c>
      <c r="FN29" s="11" t="n">
        <v>310821</v>
      </c>
      <c r="FO29" s="11" t="n">
        <v>-377695</v>
      </c>
      <c r="FP29" s="11" t="n">
        <v>42634</v>
      </c>
      <c r="FQ29" s="11" t="n">
        <v>-1858808</v>
      </c>
      <c r="FR29" s="11" t="n">
        <v>295823</v>
      </c>
      <c r="FS29" s="11" t="n">
        <v>-210638</v>
      </c>
      <c r="FT29" s="11" t="n">
        <v>9251341</v>
      </c>
      <c r="FU29" s="11" t="n">
        <v>-308128507</v>
      </c>
      <c r="FV29" s="11" t="n">
        <v>32013447</v>
      </c>
      <c r="FW29" s="11" t="n">
        <v>-53723952</v>
      </c>
      <c r="FX29" s="11" t="n">
        <v>-10748662</v>
      </c>
      <c r="FY29" s="11" t="n">
        <v>3632291</v>
      </c>
      <c r="FZ29" s="11" t="n">
        <v>904918</v>
      </c>
      <c r="GA29" s="11" t="n">
        <v>-83783603</v>
      </c>
      <c r="GB29" s="11" t="n">
        <v>-92558650</v>
      </c>
      <c r="GC29" s="11" t="n">
        <v>24224658</v>
      </c>
      <c r="GD29" s="11" t="n">
        <v>-90347</v>
      </c>
      <c r="GE29" s="11" t="n">
        <v>4174954</v>
      </c>
      <c r="GF29" s="11" t="n">
        <v>-763644</v>
      </c>
      <c r="GG29" s="11" t="n">
        <v>927449</v>
      </c>
      <c r="GH29" s="11" t="n">
        <v>-26628</v>
      </c>
      <c r="GI29" s="11" t="n">
        <v>15437</v>
      </c>
      <c r="GJ29" s="11" t="n">
        <v>-54304</v>
      </c>
      <c r="GK29" s="11" t="n">
        <v>-488278</v>
      </c>
      <c r="GL29" s="11" t="n">
        <v>2236052</v>
      </c>
      <c r="GM29" s="11" t="n">
        <v>-300529</v>
      </c>
      <c r="GN29" s="11" t="n">
        <v>-28555943</v>
      </c>
      <c r="GO29" s="11" t="n">
        <v>11047041</v>
      </c>
      <c r="GP29" s="11" t="n">
        <v>-9866027</v>
      </c>
      <c r="GQ29" s="11" t="n">
        <v>-269121426</v>
      </c>
      <c r="GR29" s="11" t="n">
        <v>162772733</v>
      </c>
      <c r="GS29" s="11" t="n">
        <v>30011343</v>
      </c>
      <c r="GT29" s="11" t="n">
        <v>-1623269</v>
      </c>
      <c r="GU29" s="11" t="n">
        <v>14256028</v>
      </c>
      <c r="GV29" s="11" t="n">
        <v>-4954195</v>
      </c>
      <c r="GW29" s="11" t="n">
        <v>125101057</v>
      </c>
      <c r="GX29" s="11" t="n">
        <v>14252</v>
      </c>
      <c r="GY29" s="11" t="n">
        <v>-5994051</v>
      </c>
      <c r="GZ29" s="11" t="n">
        <v>215089</v>
      </c>
      <c r="HA29" s="11" t="n">
        <v>-3573605</v>
      </c>
      <c r="HB29" s="11" t="n">
        <v>2096521</v>
      </c>
      <c r="HC29" s="11" t="n">
        <v>1324736</v>
      </c>
      <c r="HD29" s="11" t="n">
        <v>-219427</v>
      </c>
      <c r="HE29" s="11" t="n">
        <v>1933</v>
      </c>
      <c r="HF29" s="11" t="n">
        <v>-22389</v>
      </c>
      <c r="HG29" s="11" t="n">
        <v>51829</v>
      </c>
      <c r="HH29" s="11" t="n">
        <v>73068</v>
      </c>
      <c r="HI29" s="11" t="n">
        <v>2498585</v>
      </c>
      <c r="HJ29" s="11" t="n">
        <v>-45603748</v>
      </c>
      <c r="HK29" s="11" t="n">
        <v>10480469</v>
      </c>
      <c r="HL29" s="11" t="n">
        <v>-10334723</v>
      </c>
      <c r="HM29" s="11" t="n">
        <v>146797</v>
      </c>
      <c r="HN29" s="11" t="n">
        <v>497844</v>
      </c>
      <c r="HO29" s="11" t="n">
        <v>923057</v>
      </c>
      <c r="HP29" s="11" t="n">
        <v>-9702313</v>
      </c>
      <c r="HQ29" s="11" t="n">
        <v>-16240293</v>
      </c>
      <c r="HR29" s="11" t="n">
        <v>5931017</v>
      </c>
      <c r="HS29" s="11" t="n">
        <v>5229221</v>
      </c>
      <c r="HT29" s="11" t="n">
        <v>-113195</v>
      </c>
      <c r="HU29" s="11" t="n">
        <v>3633967</v>
      </c>
      <c r="HV29" s="11" t="n">
        <v>-1855579</v>
      </c>
      <c r="HW29" s="11" t="n">
        <v>-1023872</v>
      </c>
      <c r="HX29" s="11" t="n">
        <v>-31311487</v>
      </c>
      <c r="HY29" s="11" t="n">
        <v>-217163431</v>
      </c>
      <c r="HZ29" s="11" t="n">
        <v>11174819</v>
      </c>
      <c r="IA29" s="11" t="n">
        <v>-55444592</v>
      </c>
      <c r="IB29" s="11" t="n">
        <v>26460294</v>
      </c>
      <c r="IC29" s="11" t="n">
        <v>-11352718</v>
      </c>
      <c r="ID29" s="11" t="n">
        <v>-4930544</v>
      </c>
      <c r="IE29" s="11" t="n">
        <v>-69294256</v>
      </c>
      <c r="IF29" s="11" t="n">
        <v>-81050576</v>
      </c>
      <c r="IG29" s="11" t="n">
        <v>21862416</v>
      </c>
      <c r="IH29" s="11" t="n">
        <v>1033536</v>
      </c>
      <c r="II29" s="11" t="n">
        <v>-47734595</v>
      </c>
      <c r="IJ29" s="11" t="n">
        <v>9552262</v>
      </c>
      <c r="IK29" s="11" t="n">
        <v>-11045717</v>
      </c>
      <c r="IL29" s="11" t="n">
        <v>315053</v>
      </c>
      <c r="IM29" s="11" t="n">
        <v>159974</v>
      </c>
      <c r="IN29" s="11" t="n">
        <v>441467</v>
      </c>
      <c r="IO29" s="11" t="n">
        <v>-10300331</v>
      </c>
      <c r="IP29" s="11" t="n">
        <v>-17022399</v>
      </c>
      <c r="IQ29" s="11" t="n">
        <v>5789867</v>
      </c>
      <c r="IR29" s="11" t="n">
        <v>328746361</v>
      </c>
      <c r="IS29" s="11" t="n">
        <v>-59405618</v>
      </c>
      <c r="IT29" s="11" t="n">
        <v>77097871</v>
      </c>
      <c r="IU29" s="11" t="n">
        <v>-294685677</v>
      </c>
      <c r="IV29" s="11" t="n">
        <v>-47406553</v>
      </c>
      <c r="IW29" s="11" t="n">
        <v>77676461</v>
      </c>
      <c r="IX29" s="11" t="n">
        <v>-68993038</v>
      </c>
      <c r="IY29" s="11" t="n">
        <v>-116919734</v>
      </c>
      <c r="IZ29" s="11" t="n">
        <v>37308110</v>
      </c>
      <c r="JA29" s="11" t="n">
        <v>94856864</v>
      </c>
      <c r="JB29" s="11" t="n">
        <v>-573162</v>
      </c>
      <c r="JC29" s="11" t="n">
        <v>5242</v>
      </c>
      <c r="JD29" s="11" t="n">
        <v>-66378</v>
      </c>
      <c r="JE29" s="11" t="n">
        <v>169742</v>
      </c>
      <c r="JF29" s="11" t="n">
        <v>171400</v>
      </c>
      <c r="JG29" s="11" t="n">
        <v>6445413</v>
      </c>
      <c r="JH29" s="11" t="n">
        <v>-115799991</v>
      </c>
      <c r="JI29" s="11" t="n">
        <v>12924780</v>
      </c>
      <c r="JJ29" s="11" t="n">
        <v>-18810834</v>
      </c>
      <c r="JK29" s="11" t="n">
        <v>312634</v>
      </c>
      <c r="JL29" s="11" t="n">
        <v>1790603</v>
      </c>
      <c r="JM29" s="11" t="n">
        <v>2099494</v>
      </c>
      <c r="JN29" s="11" t="n">
        <v>-32797361</v>
      </c>
      <c r="JO29" s="11" t="n">
        <v>-36807646</v>
      </c>
      <c r="JP29" s="11" t="n">
        <v>9435894</v>
      </c>
      <c r="JQ29" s="11" t="n">
        <v>-2969</v>
      </c>
      <c r="JR29" s="11" t="n">
        <v>121569</v>
      </c>
      <c r="JS29" s="11" t="n">
        <v>-529018</v>
      </c>
      <c r="JT29" s="11" t="n">
        <v>299608</v>
      </c>
      <c r="JU29" s="11" t="n">
        <v>-768</v>
      </c>
      <c r="JV29" s="11" t="n">
        <v>3959</v>
      </c>
      <c r="JW29" s="11" t="n">
        <v>-3628</v>
      </c>
      <c r="JX29" s="11" t="n">
        <v>-25263</v>
      </c>
      <c r="JY29" s="11" t="n">
        <v>71052</v>
      </c>
      <c r="JZ29" s="11" t="n">
        <v>-246928</v>
      </c>
      <c r="KA29" s="11" t="n">
        <v>-767239</v>
      </c>
      <c r="KB29" s="11" t="n">
        <v>5882047</v>
      </c>
      <c r="KC29" s="11" t="n">
        <v>-3271759</v>
      </c>
      <c r="KD29" s="11" t="n">
        <v>-104139889</v>
      </c>
      <c r="KE29" s="11" t="n">
        <v>56542111</v>
      </c>
      <c r="KF29" s="11" t="n">
        <v>10605906</v>
      </c>
      <c r="KG29" s="11" t="n">
        <v>498455</v>
      </c>
      <c r="KH29" s="11" t="n">
        <v>91220</v>
      </c>
      <c r="KI29" s="11" t="n">
        <v>-2824915</v>
      </c>
      <c r="KJ29" s="11" t="n">
        <v>49115515</v>
      </c>
      <c r="KK29" s="11" t="n">
        <v>-2628929</v>
      </c>
      <c r="KL29" s="11" t="n">
        <v>121789683</v>
      </c>
      <c r="KM29" s="11" t="n">
        <v>-12344158</v>
      </c>
      <c r="KN29" s="11" t="n">
        <v>21712318</v>
      </c>
      <c r="KO29" s="11" t="n">
        <v>-809402</v>
      </c>
      <c r="KP29" s="11" t="n">
        <v>-665661</v>
      </c>
      <c r="KQ29" s="11" t="n">
        <v>-984738</v>
      </c>
      <c r="KR29" s="11" t="n">
        <v>34638451</v>
      </c>
      <c r="KS29" s="11" t="n">
        <v>38934842</v>
      </c>
      <c r="KT29" s="11" t="n">
        <v>-10121538</v>
      </c>
      <c r="KU29" s="11" t="n">
        <v>-838427620</v>
      </c>
      <c r="KV29" s="11" t="n">
        <v>79532257</v>
      </c>
      <c r="KW29" s="11" t="n">
        <v>-157882954</v>
      </c>
      <c r="KX29" s="11" t="n">
        <v>252374501</v>
      </c>
      <c r="KY29" s="11" t="n">
        <v>389629318</v>
      </c>
      <c r="KZ29" s="11" t="n">
        <v>-84484014</v>
      </c>
      <c r="LA29" s="11" t="n">
        <v>236781646</v>
      </c>
      <c r="LB29" s="11" t="n">
        <v>265446788</v>
      </c>
      <c r="LC29" s="11" t="n">
        <v>-69767940</v>
      </c>
      <c r="LD29" s="11" t="n">
        <v>30133872</v>
      </c>
      <c r="LE29" s="11" t="n">
        <v>73273</v>
      </c>
      <c r="LF29" s="11" t="n">
        <v>2362510</v>
      </c>
      <c r="LG29" s="11" t="n">
        <v>-1261745</v>
      </c>
      <c r="LH29" s="11" t="n">
        <v>-109791416</v>
      </c>
      <c r="LI29" s="11" t="n">
        <v>59057681</v>
      </c>
      <c r="LJ29" s="11" t="n">
        <v>13587430</v>
      </c>
      <c r="LK29" s="11" t="n">
        <v>708823</v>
      </c>
      <c r="LL29" s="11" t="n">
        <v>-415916</v>
      </c>
      <c r="LM29" s="11" t="n">
        <v>-1204425</v>
      </c>
      <c r="LN29" s="11" t="n">
        <v>51895841</v>
      </c>
      <c r="LO29" s="11" t="n">
        <v>755677009</v>
      </c>
      <c r="LP29" s="11" t="n">
        <v>-406800798</v>
      </c>
      <c r="LQ29" s="11" t="n">
        <v>-103711675</v>
      </c>
      <c r="LR29" s="11" t="n">
        <v>473624743</v>
      </c>
      <c r="LS29" s="11" t="n">
        <v>354133130</v>
      </c>
    </row>
    <row r="30" customFormat="false" ht="15" hidden="false" customHeight="true" outlineLevel="0" collapsed="false">
      <c r="A30" s="7" t="s">
        <v>96</v>
      </c>
      <c r="B30" s="11" t="n">
        <v>-4650847</v>
      </c>
      <c r="C30" s="11" t="n">
        <v>179982860</v>
      </c>
      <c r="D30" s="11" t="n">
        <v>-2837477</v>
      </c>
      <c r="E30" s="11" t="n">
        <v>-326880492</v>
      </c>
      <c r="F30" s="11" t="n">
        <v>-5381719</v>
      </c>
      <c r="G30" s="11" t="n">
        <v>-184453803</v>
      </c>
      <c r="H30" s="11" t="n">
        <v>208643895</v>
      </c>
      <c r="I30" s="11" t="n">
        <v>82531496</v>
      </c>
      <c r="J30" s="11" t="n">
        <v>-19650995</v>
      </c>
      <c r="K30" s="11" t="n">
        <v>111135</v>
      </c>
      <c r="L30" s="11" t="n">
        <v>-21137726</v>
      </c>
      <c r="M30" s="11" t="n">
        <v>1271798</v>
      </c>
      <c r="N30" s="11" t="n">
        <v>-37468581</v>
      </c>
      <c r="O30" s="11" t="n">
        <v>-4432879</v>
      </c>
      <c r="P30" s="11" t="n">
        <v>4106205</v>
      </c>
      <c r="Q30" s="11" t="n">
        <v>7688245</v>
      </c>
      <c r="R30" s="11" t="n">
        <v>2199159700</v>
      </c>
      <c r="S30" s="11" t="n">
        <v>-26478125</v>
      </c>
      <c r="T30" s="11" t="n">
        <v>2229358035</v>
      </c>
      <c r="U30" s="11" t="n">
        <v>-710025055</v>
      </c>
      <c r="V30" s="11" t="n">
        <v>-507622060</v>
      </c>
      <c r="W30" s="11" t="n">
        <v>-20707126</v>
      </c>
      <c r="X30" s="11" t="n">
        <v>647323</v>
      </c>
      <c r="Y30" s="11" t="n">
        <v>-27267186</v>
      </c>
      <c r="Z30" s="11" t="n">
        <v>2281186</v>
      </c>
      <c r="AA30" s="11" t="n">
        <v>4477335</v>
      </c>
      <c r="AB30" s="11" t="n">
        <v>113846630</v>
      </c>
      <c r="AC30" s="11" t="n">
        <v>-1795116942</v>
      </c>
      <c r="AD30" s="11" t="n">
        <v>-1259830554</v>
      </c>
      <c r="AE30" s="11" t="n">
        <v>-86498188</v>
      </c>
      <c r="AF30" s="11" t="n">
        <v>-93796539</v>
      </c>
      <c r="AG30" s="11" t="n">
        <v>51925247</v>
      </c>
      <c r="AH30" s="11" t="n">
        <v>27320149</v>
      </c>
      <c r="AI30" s="11" t="n">
        <v>-1856705256</v>
      </c>
      <c r="AJ30" s="11" t="n">
        <v>-502044663</v>
      </c>
      <c r="AK30" s="11" t="n">
        <v>-262873997</v>
      </c>
      <c r="AL30" s="11" t="n">
        <v>-86395070</v>
      </c>
      <c r="AM30" s="11" t="n">
        <v>-734736</v>
      </c>
      <c r="AN30" s="11" t="n">
        <v>94481353</v>
      </c>
      <c r="AO30" s="11" t="n">
        <v>-10123322</v>
      </c>
      <c r="AP30" s="11" t="n">
        <v>45404490</v>
      </c>
      <c r="AQ30" s="11" t="n">
        <v>-85246293</v>
      </c>
      <c r="AR30" s="11" t="n">
        <v>-28863793</v>
      </c>
      <c r="AS30" s="11" t="n">
        <v>81143050</v>
      </c>
      <c r="AT30" s="11" t="n">
        <v>2415869380</v>
      </c>
      <c r="AU30" s="11" t="n">
        <v>491733750</v>
      </c>
      <c r="AV30" s="11" t="n">
        <v>1669345230</v>
      </c>
      <c r="AW30" s="11" t="n">
        <v>-576869610</v>
      </c>
      <c r="AX30" s="11" t="n">
        <v>-416123420</v>
      </c>
      <c r="AY30" s="11" t="n">
        <v>109283219</v>
      </c>
      <c r="AZ30" s="11" t="n">
        <v>-5326030</v>
      </c>
      <c r="BA30" s="11" t="n">
        <v>56841054</v>
      </c>
      <c r="BB30" s="11" t="n">
        <v>-84970023</v>
      </c>
      <c r="BC30" s="11" t="n">
        <v>-30648011</v>
      </c>
      <c r="BD30" s="11" t="n">
        <v>-820837273</v>
      </c>
      <c r="BE30" s="11" t="n">
        <v>-555942357</v>
      </c>
      <c r="BF30" s="11" t="n">
        <v>-1752883443</v>
      </c>
      <c r="BG30" s="11" t="n">
        <v>-352048444</v>
      </c>
      <c r="BH30" s="11" t="n">
        <v>454033308</v>
      </c>
      <c r="BI30" s="11" t="n">
        <v>-552789831</v>
      </c>
      <c r="BJ30" s="11" t="n">
        <v>-213042857</v>
      </c>
      <c r="BK30" s="11" t="n">
        <v>-1343977407</v>
      </c>
      <c r="BL30" s="11" t="n">
        <v>-339021237</v>
      </c>
      <c r="BM30" s="11" t="n">
        <v>-217863519</v>
      </c>
      <c r="BN30" s="11" t="n">
        <v>-5168910</v>
      </c>
      <c r="BO30" s="11" t="n">
        <v>791866065</v>
      </c>
      <c r="BP30" s="11" t="n">
        <v>-66398750</v>
      </c>
      <c r="BQ30" s="11" t="n">
        <v>887869260</v>
      </c>
      <c r="BR30" s="11" t="n">
        <v>-277840915</v>
      </c>
      <c r="BS30" s="11" t="n">
        <v>-198234455</v>
      </c>
      <c r="BT30" s="11" t="n">
        <v>1081623</v>
      </c>
      <c r="BU30" s="11" t="n">
        <v>40986</v>
      </c>
      <c r="BV30" s="11" t="n">
        <v>4834278</v>
      </c>
      <c r="BW30" s="11" t="n">
        <v>2737317</v>
      </c>
      <c r="BX30" s="11" t="n">
        <v>41025</v>
      </c>
      <c r="BY30" s="11" t="n">
        <v>-20173274</v>
      </c>
      <c r="BZ30" s="11" t="n">
        <v>-554809599</v>
      </c>
      <c r="CA30" s="11" t="n">
        <v>-477490915</v>
      </c>
      <c r="CB30" s="11" t="n">
        <v>-47766599</v>
      </c>
      <c r="CC30" s="11" t="n">
        <v>69140346</v>
      </c>
      <c r="CD30" s="11" t="n">
        <v>32959916</v>
      </c>
      <c r="CE30" s="11" t="n">
        <v>-1044868</v>
      </c>
      <c r="CF30" s="11" t="n">
        <v>-730045569</v>
      </c>
      <c r="CG30" s="11" t="n">
        <v>-192447789</v>
      </c>
      <c r="CH30" s="11" t="n">
        <v>-102774496</v>
      </c>
      <c r="CI30" s="11" t="n">
        <v>-888266415</v>
      </c>
      <c r="CJ30" s="11" t="n">
        <v>32942500</v>
      </c>
      <c r="CK30" s="11" t="n">
        <v>-933769890</v>
      </c>
      <c r="CL30" s="11" t="n">
        <v>295464155</v>
      </c>
      <c r="CM30" s="11" t="n">
        <v>211079785</v>
      </c>
      <c r="CN30" s="11" t="n">
        <v>6363765625</v>
      </c>
      <c r="CO30" s="11" t="n">
        <v>-9526913055</v>
      </c>
      <c r="CP30" s="11" t="n">
        <v>2481899615</v>
      </c>
      <c r="CQ30" s="11" t="n">
        <v>1729202080</v>
      </c>
      <c r="CR30" s="11" t="n">
        <v>-6336446250</v>
      </c>
      <c r="CS30" s="11" t="n">
        <v>2024735625</v>
      </c>
      <c r="CT30" s="11" t="n">
        <v>1448099375</v>
      </c>
      <c r="CU30" s="11" t="n">
        <v>-559897545</v>
      </c>
      <c r="CV30" s="11" t="n">
        <v>-446107065</v>
      </c>
      <c r="CW30" s="11" t="n">
        <v>14592025</v>
      </c>
      <c r="CX30" s="11" t="n">
        <v>-13936759</v>
      </c>
      <c r="CY30" s="11" t="n">
        <v>-635364090</v>
      </c>
      <c r="CZ30" s="11" t="n">
        <v>-532229732</v>
      </c>
      <c r="DA30" s="11" t="n">
        <v>-51219673</v>
      </c>
      <c r="DB30" s="11" t="n">
        <v>38213994</v>
      </c>
      <c r="DC30" s="11" t="n">
        <v>15102637</v>
      </c>
      <c r="DD30" s="11" t="n">
        <v>-1412261</v>
      </c>
      <c r="DE30" s="11" t="n">
        <v>-770835642</v>
      </c>
      <c r="DF30" s="11" t="n">
        <v>-204825828</v>
      </c>
      <c r="DG30" s="11" t="n">
        <v>-109437167</v>
      </c>
      <c r="DH30" s="11" t="n">
        <v>4701385053</v>
      </c>
      <c r="DI30" s="11" t="n">
        <v>3774088021</v>
      </c>
      <c r="DJ30" s="11" t="n">
        <v>339819807</v>
      </c>
      <c r="DK30" s="11" t="n">
        <v>-7483583934</v>
      </c>
      <c r="DL30" s="11" t="n">
        <v>-1786218921</v>
      </c>
      <c r="DM30" s="11" t="n">
        <v>-892987351</v>
      </c>
      <c r="DN30" s="11" t="n">
        <v>-5253708207</v>
      </c>
      <c r="DO30" s="11" t="n">
        <v>-1408179249</v>
      </c>
      <c r="DP30" s="11" t="n">
        <v>-750689060</v>
      </c>
      <c r="DQ30" s="11" t="n">
        <v>245449923</v>
      </c>
      <c r="DR30" s="11" t="n">
        <v>-839974</v>
      </c>
      <c r="DS30" s="11" t="n">
        <v>-3100</v>
      </c>
      <c r="DT30" s="11" t="n">
        <v>-1654726</v>
      </c>
      <c r="DU30" s="11" t="n">
        <v>-28989</v>
      </c>
      <c r="DV30" s="11" t="n">
        <v>-569999</v>
      </c>
      <c r="DW30" s="11" t="n">
        <v>-6080</v>
      </c>
      <c r="DX30" s="11" t="n">
        <v>410871</v>
      </c>
      <c r="DY30" s="11" t="n">
        <v>632434</v>
      </c>
      <c r="DZ30" s="11" t="n">
        <v>123072944</v>
      </c>
      <c r="EA30" s="11" t="n">
        <v>2093818</v>
      </c>
      <c r="EB30" s="11" t="n">
        <v>55371946</v>
      </c>
      <c r="EC30" s="11" t="n">
        <v>-37447190</v>
      </c>
      <c r="ED30" s="11" t="n">
        <v>-30806012</v>
      </c>
      <c r="EE30" s="11" t="n">
        <v>-791666</v>
      </c>
      <c r="EF30" s="11" t="n">
        <v>-14099</v>
      </c>
      <c r="EG30" s="11" t="n">
        <v>-224809</v>
      </c>
      <c r="EH30" s="11" t="n">
        <v>-142780</v>
      </c>
      <c r="EI30" s="11" t="n">
        <v>195661</v>
      </c>
      <c r="EJ30" s="11" t="n">
        <v>-122702</v>
      </c>
      <c r="EK30" s="11" t="n">
        <v>25565010</v>
      </c>
      <c r="EL30" s="11" t="n">
        <v>-74660790</v>
      </c>
      <c r="EM30" s="11" t="n">
        <v>-486212</v>
      </c>
      <c r="EN30" s="11" t="n">
        <v>490138</v>
      </c>
      <c r="EO30" s="11" t="n">
        <v>-1307525</v>
      </c>
      <c r="EP30" s="11" t="n">
        <v>-38985</v>
      </c>
      <c r="EQ30" s="11" t="n">
        <v>-25812135</v>
      </c>
      <c r="ER30" s="11" t="n">
        <v>6180347</v>
      </c>
      <c r="ES30" s="11" t="n">
        <v>-18540175</v>
      </c>
      <c r="ET30" s="11" t="n">
        <v>-33170</v>
      </c>
      <c r="EU30" s="11" t="n">
        <v>-3174018</v>
      </c>
      <c r="EV30" s="11" t="n">
        <v>-352181</v>
      </c>
      <c r="EW30" s="11" t="n">
        <v>4358687</v>
      </c>
      <c r="EX30" s="11" t="n">
        <v>774918</v>
      </c>
      <c r="EY30" s="11" t="n">
        <v>994425</v>
      </c>
      <c r="EZ30" s="11" t="n">
        <v>53630</v>
      </c>
      <c r="FA30" s="11" t="n">
        <v>-155</v>
      </c>
      <c r="FB30" s="11" t="n">
        <v>38595</v>
      </c>
      <c r="FC30" s="11" t="n">
        <v>3100</v>
      </c>
      <c r="FD30" s="11" t="n">
        <v>-12555</v>
      </c>
      <c r="FE30" s="11" t="n">
        <v>-584246</v>
      </c>
      <c r="FF30" s="11" t="n">
        <v>10740356</v>
      </c>
      <c r="FG30" s="11" t="n">
        <v>1549542</v>
      </c>
      <c r="FH30" s="11" t="n">
        <v>406428</v>
      </c>
      <c r="FI30" s="11" t="n">
        <v>389413</v>
      </c>
      <c r="FJ30" s="11" t="n">
        <v>29293</v>
      </c>
      <c r="FK30" s="11" t="n">
        <v>-137949</v>
      </c>
      <c r="FL30" s="11" t="n">
        <v>494303</v>
      </c>
      <c r="FM30" s="11" t="n">
        <v>2806848</v>
      </c>
      <c r="FN30" s="11" t="n">
        <v>386247</v>
      </c>
      <c r="FO30" s="11" t="n">
        <v>-2470282</v>
      </c>
      <c r="FP30" s="11" t="n">
        <v>182481</v>
      </c>
      <c r="FQ30" s="11" t="n">
        <v>-5468347</v>
      </c>
      <c r="FR30" s="11" t="n">
        <v>895312</v>
      </c>
      <c r="FS30" s="11" t="n">
        <v>467785</v>
      </c>
      <c r="FT30" s="11" t="n">
        <v>43689610</v>
      </c>
      <c r="FU30" s="11" t="n">
        <v>-847869094</v>
      </c>
      <c r="FV30" s="11" t="n">
        <v>27961122</v>
      </c>
      <c r="FW30" s="11" t="n">
        <v>-29296116</v>
      </c>
      <c r="FX30" s="11" t="n">
        <v>-34081108</v>
      </c>
      <c r="FY30" s="11" t="n">
        <v>13769059</v>
      </c>
      <c r="FZ30" s="11" t="n">
        <v>10437403</v>
      </c>
      <c r="GA30" s="11" t="n">
        <v>-245399617</v>
      </c>
      <c r="GB30" s="11" t="n">
        <v>-225408181</v>
      </c>
      <c r="GC30" s="11" t="n">
        <v>15912741</v>
      </c>
      <c r="GD30" s="11" t="n">
        <v>-283496</v>
      </c>
      <c r="GE30" s="11" t="n">
        <v>5967046</v>
      </c>
      <c r="GF30" s="11" t="n">
        <v>-1678428</v>
      </c>
      <c r="GG30" s="11" t="n">
        <v>178688</v>
      </c>
      <c r="GH30" s="11" t="n">
        <v>186773</v>
      </c>
      <c r="GI30" s="11" t="n">
        <v>21238</v>
      </c>
      <c r="GJ30" s="11" t="n">
        <v>-66884</v>
      </c>
      <c r="GK30" s="11" t="n">
        <v>-1552802</v>
      </c>
      <c r="GL30" s="11" t="n">
        <v>1525503</v>
      </c>
      <c r="GM30" s="11" t="n">
        <v>-382598</v>
      </c>
      <c r="GN30" s="11" t="n">
        <v>-8229998</v>
      </c>
      <c r="GO30" s="11" t="n">
        <v>26475924</v>
      </c>
      <c r="GP30" s="11" t="n">
        <v>201808</v>
      </c>
      <c r="GQ30" s="11" t="n">
        <v>-508541910</v>
      </c>
      <c r="GR30" s="11" t="n">
        <v>-9435052</v>
      </c>
      <c r="GS30" s="11" t="n">
        <v>17882616</v>
      </c>
      <c r="GT30" s="11" t="n">
        <v>-18059431</v>
      </c>
      <c r="GU30" s="11" t="n">
        <v>1808713</v>
      </c>
      <c r="GV30" s="11" t="n">
        <v>-6261470</v>
      </c>
      <c r="GW30" s="11" t="n">
        <v>132466379</v>
      </c>
      <c r="GX30" s="11" t="n">
        <v>75112</v>
      </c>
      <c r="GY30" s="11" t="n">
        <v>-47802486</v>
      </c>
      <c r="GZ30" s="11" t="n">
        <v>1289834</v>
      </c>
      <c r="HA30" s="11" t="n">
        <v>-18788770</v>
      </c>
      <c r="HB30" s="11" t="n">
        <v>15283106</v>
      </c>
      <c r="HC30" s="11" t="n">
        <v>12845416</v>
      </c>
      <c r="HD30" s="11" t="n">
        <v>-324388</v>
      </c>
      <c r="HE30" s="11" t="n">
        <v>2168</v>
      </c>
      <c r="HF30" s="11" t="n">
        <v>-120312</v>
      </c>
      <c r="HG30" s="11" t="n">
        <v>55860</v>
      </c>
      <c r="HH30" s="11" t="n">
        <v>84148</v>
      </c>
      <c r="HI30" s="11" t="n">
        <v>4190687</v>
      </c>
      <c r="HJ30" s="11" t="n">
        <v>-4575019</v>
      </c>
      <c r="HK30" s="11" t="n">
        <v>30453314</v>
      </c>
      <c r="HL30" s="11" t="n">
        <v>1922665</v>
      </c>
      <c r="HM30" s="11" t="n">
        <v>-1523704</v>
      </c>
      <c r="HN30" s="11" t="n">
        <v>518111</v>
      </c>
      <c r="HO30" s="11" t="n">
        <v>1074237</v>
      </c>
      <c r="HP30" s="11" t="n">
        <v>10506981</v>
      </c>
      <c r="HQ30" s="11" t="n">
        <v>-473689</v>
      </c>
      <c r="HR30" s="11" t="n">
        <v>7568669</v>
      </c>
      <c r="HS30" s="11" t="n">
        <v>46996898</v>
      </c>
      <c r="HT30" s="11" t="n">
        <v>-783910</v>
      </c>
      <c r="HU30" s="11" t="n">
        <v>19097918</v>
      </c>
      <c r="HV30" s="11" t="n">
        <v>-14855566</v>
      </c>
      <c r="HW30" s="11" t="n">
        <v>-12426312</v>
      </c>
      <c r="HX30" s="11" t="n">
        <v>-308144506</v>
      </c>
      <c r="HY30" s="11" t="n">
        <v>-398259274</v>
      </c>
      <c r="HZ30" s="11" t="n">
        <v>-108179626</v>
      </c>
      <c r="IA30" s="11" t="n">
        <v>-128955428</v>
      </c>
      <c r="IB30" s="11" t="n">
        <v>131862276</v>
      </c>
      <c r="IC30" s="11" t="n">
        <v>-95599032</v>
      </c>
      <c r="ID30" s="11" t="n">
        <v>-79324604</v>
      </c>
      <c r="IE30" s="11" t="n">
        <v>-169848924</v>
      </c>
      <c r="IF30" s="11" t="n">
        <v>-157705604</v>
      </c>
      <c r="IG30" s="11" t="n">
        <v>12158932</v>
      </c>
      <c r="IH30" s="11" t="n">
        <v>2028993</v>
      </c>
      <c r="II30" s="11" t="n">
        <v>-7200509</v>
      </c>
      <c r="IJ30" s="11" t="n">
        <v>29205994</v>
      </c>
      <c r="IK30" s="11" t="n">
        <v>1015171</v>
      </c>
      <c r="IL30" s="11" t="n">
        <v>-704408</v>
      </c>
      <c r="IM30" s="11" t="n">
        <v>154201</v>
      </c>
      <c r="IN30" s="11" t="n">
        <v>519547</v>
      </c>
      <c r="IO30" s="11" t="n">
        <v>9592251</v>
      </c>
      <c r="IP30" s="11" t="n">
        <v>-1491335</v>
      </c>
      <c r="IQ30" s="11" t="n">
        <v>7401379</v>
      </c>
      <c r="IR30" s="11" t="n">
        <v>64405582</v>
      </c>
      <c r="IS30" s="11" t="n">
        <v>-186824477</v>
      </c>
      <c r="IT30" s="11" t="n">
        <v>-1088789</v>
      </c>
      <c r="IU30" s="11" t="n">
        <v>-264070755</v>
      </c>
      <c r="IV30" s="11" t="n">
        <v>-28360297</v>
      </c>
      <c r="IW30" s="11" t="n">
        <v>77801957</v>
      </c>
      <c r="IX30" s="11" t="n">
        <v>59965338</v>
      </c>
      <c r="IY30" s="11" t="n">
        <v>-16113794</v>
      </c>
      <c r="IZ30" s="11" t="n">
        <v>47755810</v>
      </c>
      <c r="JA30" s="11" t="n">
        <v>92473608</v>
      </c>
      <c r="JB30" s="11" t="n">
        <v>-2171514</v>
      </c>
      <c r="JC30" s="11" t="n">
        <v>19442</v>
      </c>
      <c r="JD30" s="11" t="n">
        <v>-352194</v>
      </c>
      <c r="JE30" s="11" t="n">
        <v>672814</v>
      </c>
      <c r="JF30" s="11" t="n">
        <v>596180</v>
      </c>
      <c r="JG30" s="11" t="n">
        <v>24916347</v>
      </c>
      <c r="JH30" s="11" t="n">
        <v>-319047933</v>
      </c>
      <c r="JI30" s="11" t="n">
        <v>13650240</v>
      </c>
      <c r="JJ30" s="11" t="n">
        <v>-8053113</v>
      </c>
      <c r="JK30" s="11" t="n">
        <v>-1184638</v>
      </c>
      <c r="JL30" s="11" t="n">
        <v>7597777</v>
      </c>
      <c r="JM30" s="11" t="n">
        <v>6912779</v>
      </c>
      <c r="JN30" s="11" t="n">
        <v>-96638743</v>
      </c>
      <c r="JO30" s="11" t="n">
        <v>-88899383</v>
      </c>
      <c r="JP30" s="11" t="n">
        <v>6242763</v>
      </c>
      <c r="JQ30" s="11" t="n">
        <v>-21287</v>
      </c>
      <c r="JR30" s="11" t="n">
        <v>-1957233</v>
      </c>
      <c r="JS30" s="11" t="n">
        <v>-1290766</v>
      </c>
      <c r="JT30" s="11" t="n">
        <v>-141989</v>
      </c>
      <c r="JU30" s="11" t="n">
        <v>20976</v>
      </c>
      <c r="JV30" s="11" t="n">
        <v>4961</v>
      </c>
      <c r="JW30" s="11" t="n">
        <v>-4573</v>
      </c>
      <c r="JX30" s="11" t="n">
        <v>-815769</v>
      </c>
      <c r="JY30" s="11" t="n">
        <v>-560379</v>
      </c>
      <c r="JZ30" s="11" t="n">
        <v>-310381</v>
      </c>
      <c r="KA30" s="11" t="n">
        <v>25585223</v>
      </c>
      <c r="KB30" s="11" t="n">
        <v>14676673</v>
      </c>
      <c r="KC30" s="11" t="n">
        <v>1708151</v>
      </c>
      <c r="KD30" s="11" t="n">
        <v>-201948007</v>
      </c>
      <c r="KE30" s="11" t="n">
        <v>-13603172</v>
      </c>
      <c r="KF30" s="11" t="n">
        <v>5679387</v>
      </c>
      <c r="KG30" s="11" t="n">
        <v>-8499535</v>
      </c>
      <c r="KH30" s="11" t="n">
        <v>-7179565</v>
      </c>
      <c r="KI30" s="11" t="n">
        <v>-3551020</v>
      </c>
      <c r="KJ30" s="11" t="n">
        <v>52150345</v>
      </c>
      <c r="KK30" s="11" t="n">
        <v>-10498427</v>
      </c>
      <c r="KL30" s="11" t="n">
        <v>331762845</v>
      </c>
      <c r="KM30" s="11" t="n">
        <v>-8505946</v>
      </c>
      <c r="KN30" s="11" t="n">
        <v>13775431</v>
      </c>
      <c r="KO30" s="11" t="n">
        <v>-1267618</v>
      </c>
      <c r="KP30" s="11" t="n">
        <v>-3176639</v>
      </c>
      <c r="KQ30" s="11" t="n">
        <v>-3005633</v>
      </c>
      <c r="KR30" s="11" t="n">
        <v>101412629</v>
      </c>
      <c r="KS30" s="11" t="n">
        <v>93318301</v>
      </c>
      <c r="KT30" s="11" t="n">
        <v>-6603401</v>
      </c>
      <c r="KU30" s="11" t="n">
        <v>-2264234416</v>
      </c>
      <c r="KV30" s="11" t="n">
        <v>31605163</v>
      </c>
      <c r="KW30" s="11" t="n">
        <v>-119128129</v>
      </c>
      <c r="KX30" s="11" t="n">
        <v>835747763</v>
      </c>
      <c r="KY30" s="11" t="n">
        <v>793593367</v>
      </c>
      <c r="KZ30" s="11" t="n">
        <v>-55048503</v>
      </c>
      <c r="LA30" s="11" t="n">
        <v>688933554</v>
      </c>
      <c r="LB30" s="11" t="n">
        <v>633851978</v>
      </c>
      <c r="LC30" s="11" t="n">
        <v>-45094430</v>
      </c>
      <c r="LD30" s="11" t="n">
        <v>7504844</v>
      </c>
      <c r="LE30" s="11" t="n">
        <v>12714679</v>
      </c>
      <c r="LF30" s="11" t="n">
        <v>6156970</v>
      </c>
      <c r="LG30" s="11" t="n">
        <v>821500</v>
      </c>
      <c r="LH30" s="11" t="n">
        <v>-204869192</v>
      </c>
      <c r="LI30" s="11" t="n">
        <v>-9276913</v>
      </c>
      <c r="LJ30" s="11" t="n">
        <v>8744410</v>
      </c>
      <c r="LK30" s="11" t="n">
        <v>-3103823</v>
      </c>
      <c r="LL30" s="11" t="n">
        <v>-3540941</v>
      </c>
      <c r="LM30" s="11" t="n">
        <v>-1514130</v>
      </c>
      <c r="LN30" s="11" t="n">
        <v>54789887</v>
      </c>
      <c r="LO30" s="11" t="n">
        <v>1366173511</v>
      </c>
      <c r="LP30" s="11" t="n">
        <v>32899467</v>
      </c>
      <c r="LQ30" s="11" t="n">
        <v>-72337690</v>
      </c>
      <c r="LR30" s="11" t="n">
        <v>466687801</v>
      </c>
      <c r="LS30" s="11" t="n">
        <v>372437690</v>
      </c>
    </row>
    <row r="31" customFormat="false" ht="15" hidden="false" customHeight="true" outlineLevel="0" collapsed="false">
      <c r="A31" s="7" t="s">
        <v>97</v>
      </c>
      <c r="B31" s="11" t="n">
        <v>-198753</v>
      </c>
      <c r="C31" s="11" t="n">
        <v>251254332</v>
      </c>
      <c r="D31" s="11" t="n">
        <v>-3389679</v>
      </c>
      <c r="E31" s="11" t="n">
        <v>563929296</v>
      </c>
      <c r="F31" s="11" t="n">
        <v>-32900985</v>
      </c>
      <c r="G31" s="11" t="n">
        <v>927123315</v>
      </c>
      <c r="H31" s="11" t="n">
        <v>80784705</v>
      </c>
      <c r="I31" s="11" t="n">
        <v>115992660</v>
      </c>
      <c r="J31" s="11" t="n">
        <v>-14136517</v>
      </c>
      <c r="K31" s="11" t="n">
        <v>183181</v>
      </c>
      <c r="L31" s="11" t="n">
        <v>-32452318</v>
      </c>
      <c r="M31" s="11" t="n">
        <v>1837946</v>
      </c>
      <c r="N31" s="11" t="n">
        <v>-52645651</v>
      </c>
      <c r="O31" s="11" t="n">
        <v>-4112921</v>
      </c>
      <c r="P31" s="11" t="n">
        <v>-5964321</v>
      </c>
      <c r="Q31" s="11" t="n">
        <v>9525567</v>
      </c>
      <c r="R31" s="11" t="n">
        <v>914649848</v>
      </c>
      <c r="S31" s="11" t="n">
        <v>16671141</v>
      </c>
      <c r="T31" s="11" t="n">
        <v>609567509</v>
      </c>
      <c r="U31" s="11" t="n">
        <v>-546533321</v>
      </c>
      <c r="V31" s="11" t="n">
        <v>-710282216</v>
      </c>
      <c r="W31" s="11" t="n">
        <v>-33719282</v>
      </c>
      <c r="X31" s="11" t="n">
        <v>1022433</v>
      </c>
      <c r="Y31" s="11" t="n">
        <v>-43372838</v>
      </c>
      <c r="Z31" s="11" t="n">
        <v>4310582</v>
      </c>
      <c r="AA31" s="11" t="n">
        <v>5184917</v>
      </c>
      <c r="AB31" s="11" t="n">
        <v>157188238</v>
      </c>
      <c r="AC31" s="11" t="n">
        <v>-2006891658</v>
      </c>
      <c r="AD31" s="11" t="n">
        <v>-1520753358</v>
      </c>
      <c r="AE31" s="11" t="n">
        <v>-2016449288</v>
      </c>
      <c r="AF31" s="11" t="n">
        <v>-141337165</v>
      </c>
      <c r="AG31" s="11" t="n">
        <v>66206665</v>
      </c>
      <c r="AH31" s="11" t="n">
        <v>85312975</v>
      </c>
      <c r="AI31" s="11" t="n">
        <v>-2212688280</v>
      </c>
      <c r="AJ31" s="11" t="n">
        <v>-2902336265</v>
      </c>
      <c r="AK31" s="11" t="n">
        <v>23935565</v>
      </c>
      <c r="AL31" s="11" t="n">
        <v>-108813760</v>
      </c>
      <c r="AM31" s="11" t="n">
        <v>1379251</v>
      </c>
      <c r="AN31" s="11" t="n">
        <v>-245383288</v>
      </c>
      <c r="AO31" s="11" t="n">
        <v>13668182</v>
      </c>
      <c r="AP31" s="11" t="n">
        <v>-401608120</v>
      </c>
      <c r="AQ31" s="11" t="n">
        <v>-34661357</v>
      </c>
      <c r="AR31" s="11" t="n">
        <v>-49773672</v>
      </c>
      <c r="AS31" s="11" t="n">
        <v>112204236</v>
      </c>
      <c r="AT31" s="11" t="n">
        <v>1460843552</v>
      </c>
      <c r="AU31" s="11" t="n">
        <v>734026392</v>
      </c>
      <c r="AV31" s="11" t="n">
        <v>110720480</v>
      </c>
      <c r="AW31" s="11" t="n">
        <v>-410919092</v>
      </c>
      <c r="AX31" s="11" t="n">
        <v>-582364832</v>
      </c>
      <c r="AY31" s="11" t="n">
        <v>-271545752</v>
      </c>
      <c r="AZ31" s="11" t="n">
        <v>4790031</v>
      </c>
      <c r="BA31" s="11" t="n">
        <v>-415525055</v>
      </c>
      <c r="BB31" s="11" t="n">
        <v>-30532816</v>
      </c>
      <c r="BC31" s="11" t="n">
        <v>-43942876</v>
      </c>
      <c r="BD31" s="11" t="n">
        <v>1838782936</v>
      </c>
      <c r="BE31" s="11" t="n">
        <v>-5141975400</v>
      </c>
      <c r="BF31" s="11" t="n">
        <v>-1391988456</v>
      </c>
      <c r="BG31" s="11" t="n">
        <v>-1981497056</v>
      </c>
      <c r="BH31" s="11" t="n">
        <v>-2723040790</v>
      </c>
      <c r="BI31" s="11" t="n">
        <v>-182199695</v>
      </c>
      <c r="BJ31" s="11" t="n">
        <v>-262607600</v>
      </c>
      <c r="BK31" s="11" t="n">
        <v>-1551882465</v>
      </c>
      <c r="BL31" s="11" t="n">
        <v>-2200028840</v>
      </c>
      <c r="BM31" s="11" t="n">
        <v>2457380</v>
      </c>
      <c r="BN31" s="11" t="n">
        <v>-2187681</v>
      </c>
      <c r="BO31" s="11" t="n">
        <v>313925928</v>
      </c>
      <c r="BP31" s="11" t="n">
        <v>-34079122</v>
      </c>
      <c r="BQ31" s="11" t="n">
        <v>257763240</v>
      </c>
      <c r="BR31" s="11" t="n">
        <v>-213573953</v>
      </c>
      <c r="BS31" s="11" t="n">
        <v>-274844488</v>
      </c>
      <c r="BT31" s="11" t="n">
        <v>954270</v>
      </c>
      <c r="BU31" s="11" t="n">
        <v>157168</v>
      </c>
      <c r="BV31" s="11" t="n">
        <v>4807023</v>
      </c>
      <c r="BW31" s="11" t="n">
        <v>3403982</v>
      </c>
      <c r="BX31" s="11" t="n">
        <v>4484437</v>
      </c>
      <c r="BY31" s="11" t="n">
        <v>-37418524</v>
      </c>
      <c r="BZ31" s="11" t="n">
        <v>-577357224</v>
      </c>
      <c r="CA31" s="11" t="n">
        <v>-581622926</v>
      </c>
      <c r="CB31" s="11" t="n">
        <v>-763391416</v>
      </c>
      <c r="CC31" s="11" t="n">
        <v>93400846</v>
      </c>
      <c r="CD31" s="11" t="n">
        <v>37682700</v>
      </c>
      <c r="CE31" s="11" t="n">
        <v>50111930</v>
      </c>
      <c r="CF31" s="11" t="n">
        <v>-870362879</v>
      </c>
      <c r="CG31" s="11" t="n">
        <v>-1132297984</v>
      </c>
      <c r="CH31" s="11" t="n">
        <v>10144645</v>
      </c>
      <c r="CI31" s="11" t="n">
        <v>-353077392</v>
      </c>
      <c r="CJ31" s="11" t="n">
        <v>20383509</v>
      </c>
      <c r="CK31" s="11" t="n">
        <v>-268020777</v>
      </c>
      <c r="CL31" s="11" t="n">
        <v>228490056</v>
      </c>
      <c r="CM31" s="11" t="n">
        <v>295116576</v>
      </c>
      <c r="CN31" s="11" t="n">
        <v>2575172312</v>
      </c>
      <c r="CO31" s="11" t="n">
        <v>-3141089304</v>
      </c>
      <c r="CP31" s="11" t="n">
        <v>1681772368</v>
      </c>
      <c r="CQ31" s="11" t="n">
        <v>2009721728</v>
      </c>
      <c r="CR31" s="11" t="n">
        <v>-1773473114</v>
      </c>
      <c r="CS31" s="11" t="n">
        <v>1569403355</v>
      </c>
      <c r="CT31" s="11" t="n">
        <v>2036411480</v>
      </c>
      <c r="CU31" s="11" t="n">
        <v>-756088439</v>
      </c>
      <c r="CV31" s="11" t="n">
        <v>-1099873144</v>
      </c>
      <c r="CW31" s="11" t="n">
        <v>105125600</v>
      </c>
      <c r="CX31" s="11" t="n">
        <v>-34257206</v>
      </c>
      <c r="CY31" s="11" t="n">
        <v>-658910946</v>
      </c>
      <c r="CZ31" s="11" t="n">
        <v>-649048144</v>
      </c>
      <c r="DA31" s="11" t="n">
        <v>-852489104</v>
      </c>
      <c r="DB31" s="11" t="n">
        <v>64044203</v>
      </c>
      <c r="DC31" s="11" t="n">
        <v>15301030</v>
      </c>
      <c r="DD31" s="11" t="n">
        <v>20581465</v>
      </c>
      <c r="DE31" s="11" t="n">
        <v>-919098742</v>
      </c>
      <c r="DF31" s="11" t="n">
        <v>-1197868637</v>
      </c>
      <c r="DG31" s="11" t="n">
        <v>9177640</v>
      </c>
      <c r="DH31" s="11" t="n">
        <v>5110534428</v>
      </c>
      <c r="DI31" s="11" t="n">
        <v>4570663610</v>
      </c>
      <c r="DJ31" s="11" t="n">
        <v>6022642440</v>
      </c>
      <c r="DK31" s="11" t="n">
        <v>-8912653362</v>
      </c>
      <c r="DL31" s="11" t="n">
        <v>-11334546312</v>
      </c>
      <c r="DM31" s="11" t="n">
        <v>366170320</v>
      </c>
      <c r="DN31" s="11" t="n">
        <v>-6262275665</v>
      </c>
      <c r="DO31" s="11" t="n">
        <v>-8189023050</v>
      </c>
      <c r="DP31" s="11" t="n">
        <v>55997575</v>
      </c>
      <c r="DQ31" s="11" t="n">
        <v>392497165</v>
      </c>
      <c r="DR31" s="11" t="n">
        <v>-975704</v>
      </c>
      <c r="DS31" s="11" t="n">
        <v>12479</v>
      </c>
      <c r="DT31" s="11" t="n">
        <v>-2300585</v>
      </c>
      <c r="DU31" s="11" t="n">
        <v>124825</v>
      </c>
      <c r="DV31" s="11" t="n">
        <v>-3632159</v>
      </c>
      <c r="DW31" s="11" t="n">
        <v>-277570</v>
      </c>
      <c r="DX31" s="11" t="n">
        <v>-416400</v>
      </c>
      <c r="DY31" s="11" t="n">
        <v>864996</v>
      </c>
      <c r="DZ31" s="11" t="n">
        <v>139891612</v>
      </c>
      <c r="EA31" s="11" t="n">
        <v>3717180</v>
      </c>
      <c r="EB31" s="11" t="n">
        <v>40239676</v>
      </c>
      <c r="EC31" s="11" t="n">
        <v>-45691360</v>
      </c>
      <c r="ED31" s="11" t="n">
        <v>-43029280</v>
      </c>
      <c r="EE31" s="11" t="n">
        <v>-3828727</v>
      </c>
      <c r="EF31" s="11" t="n">
        <v>63120</v>
      </c>
      <c r="EG31" s="11" t="n">
        <v>-3734692</v>
      </c>
      <c r="EH31" s="11" t="n">
        <v>338305</v>
      </c>
      <c r="EI31" s="11" t="n">
        <v>181180</v>
      </c>
      <c r="EJ31" s="11" t="n">
        <v>26661425</v>
      </c>
      <c r="EK31" s="11" t="n">
        <v>-425880987</v>
      </c>
      <c r="EL31" s="11" t="n">
        <v>-147530985</v>
      </c>
      <c r="EM31" s="11" t="n">
        <v>-161158900</v>
      </c>
      <c r="EN31" s="11" t="n">
        <v>-18985580</v>
      </c>
      <c r="EO31" s="11" t="n">
        <v>4787975</v>
      </c>
      <c r="EP31" s="11" t="n">
        <v>3918500</v>
      </c>
      <c r="EQ31" s="11" t="n">
        <v>-181538265</v>
      </c>
      <c r="ER31" s="11" t="n">
        <v>-177353980</v>
      </c>
      <c r="ES31" s="11" t="n">
        <v>7258600</v>
      </c>
      <c r="ET31" s="11" t="n">
        <v>-11677</v>
      </c>
      <c r="EU31" s="11" t="n">
        <v>-4318941</v>
      </c>
      <c r="EV31" s="11" t="n">
        <v>-144403</v>
      </c>
      <c r="EW31" s="11" t="n">
        <v>103117</v>
      </c>
      <c r="EX31" s="11" t="n">
        <v>448398</v>
      </c>
      <c r="EY31" s="11" t="n">
        <v>-337272</v>
      </c>
      <c r="EZ31" s="11" t="n">
        <v>82771</v>
      </c>
      <c r="FA31" s="11" t="n">
        <v>353</v>
      </c>
      <c r="FB31" s="11" t="n">
        <v>42150</v>
      </c>
      <c r="FC31" s="11" t="n">
        <v>-2413</v>
      </c>
      <c r="FD31" s="11" t="n">
        <v>9297</v>
      </c>
      <c r="FE31" s="11" t="n">
        <v>-893020</v>
      </c>
      <c r="FF31" s="11" t="n">
        <v>16320841</v>
      </c>
      <c r="FG31" s="11" t="n">
        <v>2285925</v>
      </c>
      <c r="FH31" s="11" t="n">
        <v>1047945</v>
      </c>
      <c r="FI31" s="11" t="n">
        <v>524363</v>
      </c>
      <c r="FJ31" s="11" t="n">
        <v>-16285</v>
      </c>
      <c r="FK31" s="11" t="n">
        <v>104775</v>
      </c>
      <c r="FL31" s="11" t="n">
        <v>1639873</v>
      </c>
      <c r="FM31" s="11" t="n">
        <v>-1299537</v>
      </c>
      <c r="FN31" s="11" t="n">
        <v>-287310</v>
      </c>
      <c r="FO31" s="11" t="n">
        <v>2154703</v>
      </c>
      <c r="FP31" s="11" t="n">
        <v>83532</v>
      </c>
      <c r="FQ31" s="11" t="n">
        <v>-572996</v>
      </c>
      <c r="FR31" s="11" t="n">
        <v>149303</v>
      </c>
      <c r="FS31" s="11" t="n">
        <v>813968</v>
      </c>
      <c r="FT31" s="11" t="n">
        <v>4249739</v>
      </c>
      <c r="FU31" s="11" t="n">
        <v>-192904805</v>
      </c>
      <c r="FV31" s="11" t="n">
        <v>137963121</v>
      </c>
      <c r="FW31" s="11" t="n">
        <v>238824936</v>
      </c>
      <c r="FX31" s="11" t="n">
        <v>-6348272</v>
      </c>
      <c r="FY31" s="11" t="n">
        <v>5053985</v>
      </c>
      <c r="FZ31" s="11" t="n">
        <v>7653200</v>
      </c>
      <c r="GA31" s="11" t="n">
        <v>-23321567</v>
      </c>
      <c r="GB31" s="11" t="n">
        <v>9362128</v>
      </c>
      <c r="GC31" s="11" t="n">
        <v>-35568840</v>
      </c>
      <c r="GD31" s="11" t="n">
        <v>-526969</v>
      </c>
      <c r="GE31" s="11" t="n">
        <v>11839358</v>
      </c>
      <c r="GF31" s="11" t="n">
        <v>-1503576</v>
      </c>
      <c r="GG31" s="11" t="n">
        <v>-4054181</v>
      </c>
      <c r="GH31" s="11" t="n">
        <v>318844</v>
      </c>
      <c r="GI31" s="11" t="n">
        <v>-21775</v>
      </c>
      <c r="GJ31" s="11" t="n">
        <v>41900</v>
      </c>
      <c r="GK31" s="11" t="n">
        <v>-420526</v>
      </c>
      <c r="GL31" s="11" t="n">
        <v>-3394356</v>
      </c>
      <c r="GM31" s="11" t="n">
        <v>287075</v>
      </c>
      <c r="GN31" s="11" t="n">
        <v>-23827261</v>
      </c>
      <c r="GO31" s="11" t="n">
        <v>30775695</v>
      </c>
      <c r="GP31" s="11" t="n">
        <v>50412575</v>
      </c>
      <c r="GQ31" s="11" t="n">
        <v>-623449146</v>
      </c>
      <c r="GR31" s="11" t="n">
        <v>-949301561</v>
      </c>
      <c r="GS31" s="11" t="n">
        <v>-92929755</v>
      </c>
      <c r="GT31" s="11" t="n">
        <v>-17636345</v>
      </c>
      <c r="GU31" s="11" t="n">
        <v>-32396800</v>
      </c>
      <c r="GV31" s="11" t="n">
        <v>4530125</v>
      </c>
      <c r="GW31" s="11" t="n">
        <v>-145024955</v>
      </c>
      <c r="GX31" s="11" t="n">
        <v>61112</v>
      </c>
      <c r="GY31" s="11" t="n">
        <v>-54911616</v>
      </c>
      <c r="GZ31" s="11" t="n">
        <v>1240624</v>
      </c>
      <c r="HA31" s="11" t="n">
        <v>-16997120</v>
      </c>
      <c r="HB31" s="11" t="n">
        <v>18192376</v>
      </c>
      <c r="HC31" s="11" t="n">
        <v>16373696</v>
      </c>
      <c r="HD31" s="11" t="n">
        <v>558211</v>
      </c>
      <c r="HE31" s="11" t="n">
        <v>-8049</v>
      </c>
      <c r="HF31" s="11" t="n">
        <v>-10107</v>
      </c>
      <c r="HG31" s="11" t="n">
        <v>-250061</v>
      </c>
      <c r="HH31" s="11" t="n">
        <v>-235496</v>
      </c>
      <c r="HI31" s="11" t="n">
        <v>-4099790</v>
      </c>
      <c r="HJ31" s="11" t="n">
        <v>164337136</v>
      </c>
      <c r="HK31" s="11" t="n">
        <v>58516645</v>
      </c>
      <c r="HL31" s="11" t="n">
        <v>62041640</v>
      </c>
      <c r="HM31" s="11" t="n">
        <v>-2443854</v>
      </c>
      <c r="HN31" s="11" t="n">
        <v>-2680345</v>
      </c>
      <c r="HO31" s="11" t="n">
        <v>-2624200</v>
      </c>
      <c r="HP31" s="11" t="n">
        <v>72558371</v>
      </c>
      <c r="HQ31" s="11" t="n">
        <v>68206616</v>
      </c>
      <c r="HR31" s="11" t="n">
        <v>-3105920</v>
      </c>
      <c r="HS31" s="11" t="n">
        <v>57443020</v>
      </c>
      <c r="HT31" s="11" t="n">
        <v>-867036</v>
      </c>
      <c r="HU31" s="11" t="n">
        <v>17588908</v>
      </c>
      <c r="HV31" s="11" t="n">
        <v>-18990004</v>
      </c>
      <c r="HW31" s="11" t="n">
        <v>-17210944</v>
      </c>
      <c r="HX31" s="11" t="n">
        <v>-387073592</v>
      </c>
      <c r="HY31" s="11" t="n">
        <v>172315456</v>
      </c>
      <c r="HZ31" s="11" t="n">
        <v>-36870188</v>
      </c>
      <c r="IA31" s="11" t="n">
        <v>74064032</v>
      </c>
      <c r="IB31" s="11" t="n">
        <v>115920056</v>
      </c>
      <c r="IC31" s="11" t="n">
        <v>-127405580</v>
      </c>
      <c r="ID31" s="11" t="n">
        <v>-117092000</v>
      </c>
      <c r="IE31" s="11" t="n">
        <v>45675956</v>
      </c>
      <c r="IF31" s="11" t="n">
        <v>74306976</v>
      </c>
      <c r="IG31" s="11" t="n">
        <v>-35531680</v>
      </c>
      <c r="IH31" s="11" t="n">
        <v>-353943</v>
      </c>
      <c r="II31" s="11" t="n">
        <v>170161319</v>
      </c>
      <c r="IJ31" s="11" t="n">
        <v>61589048</v>
      </c>
      <c r="IK31" s="11" t="n">
        <v>64148828</v>
      </c>
      <c r="IL31" s="11" t="n">
        <v>-2460012</v>
      </c>
      <c r="IM31" s="11" t="n">
        <v>-1046625</v>
      </c>
      <c r="IN31" s="11" t="n">
        <v>-1074300</v>
      </c>
      <c r="IO31" s="11" t="n">
        <v>75111793</v>
      </c>
      <c r="IP31" s="11" t="n">
        <v>70625548</v>
      </c>
      <c r="IQ31" s="11" t="n">
        <v>-2753700</v>
      </c>
      <c r="IR31" s="11" t="n">
        <v>-1145551942</v>
      </c>
      <c r="IS31" s="11" t="n">
        <v>-415238335</v>
      </c>
      <c r="IT31" s="11" t="n">
        <v>-431803600</v>
      </c>
      <c r="IU31" s="11" t="n">
        <v>293971743</v>
      </c>
      <c r="IV31" s="11" t="n">
        <v>-26965832</v>
      </c>
      <c r="IW31" s="11" t="n">
        <v>-120584060</v>
      </c>
      <c r="IX31" s="11" t="n">
        <v>501414110</v>
      </c>
      <c r="IY31" s="11" t="n">
        <v>475851800</v>
      </c>
      <c r="IZ31" s="11" t="n">
        <v>-16516500</v>
      </c>
      <c r="JA31" s="11" t="n">
        <v>-133916260</v>
      </c>
      <c r="JB31" s="11" t="n">
        <v>-927681</v>
      </c>
      <c r="JC31" s="11" t="n">
        <v>5803</v>
      </c>
      <c r="JD31" s="11" t="n">
        <v>-196959</v>
      </c>
      <c r="JE31" s="11" t="n">
        <v>245807</v>
      </c>
      <c r="JF31" s="11" t="n">
        <v>174832</v>
      </c>
      <c r="JG31" s="11" t="n">
        <v>13618458</v>
      </c>
      <c r="JH31" s="11" t="n">
        <v>-81040848</v>
      </c>
      <c r="JI31" s="11" t="n">
        <v>55292937</v>
      </c>
      <c r="JJ31" s="11" t="n">
        <v>91459272</v>
      </c>
      <c r="JK31" s="11" t="n">
        <v>-2384438</v>
      </c>
      <c r="JL31" s="11" t="n">
        <v>3262595</v>
      </c>
      <c r="JM31" s="11" t="n">
        <v>1994440</v>
      </c>
      <c r="JN31" s="11" t="n">
        <v>-9733913</v>
      </c>
      <c r="JO31" s="11" t="n">
        <v>4144952</v>
      </c>
      <c r="JP31" s="11" t="n">
        <v>-13813320</v>
      </c>
      <c r="JQ31" s="11" t="n">
        <v>-69178</v>
      </c>
      <c r="JR31" s="11" t="n">
        <v>-1952493</v>
      </c>
      <c r="JS31" s="11" t="n">
        <v>-1550672</v>
      </c>
      <c r="JT31" s="11" t="n">
        <v>-1977877</v>
      </c>
      <c r="JU31" s="11" t="n">
        <v>26901</v>
      </c>
      <c r="JV31" s="11" t="n">
        <v>-8630</v>
      </c>
      <c r="JW31" s="11" t="n">
        <v>-665</v>
      </c>
      <c r="JX31" s="11" t="n">
        <v>-846579</v>
      </c>
      <c r="JY31" s="11" t="n">
        <v>-787899</v>
      </c>
      <c r="JZ31" s="11" t="n">
        <v>231835</v>
      </c>
      <c r="KA31" s="11" t="n">
        <v>34706098</v>
      </c>
      <c r="KB31" s="11" t="n">
        <v>18640790</v>
      </c>
      <c r="KC31" s="11" t="n">
        <v>22215250</v>
      </c>
      <c r="KD31" s="11" t="n">
        <v>-251839637</v>
      </c>
      <c r="KE31" s="11" t="n">
        <v>-365279032</v>
      </c>
      <c r="KF31" s="11" t="n">
        <v>-34991235</v>
      </c>
      <c r="KG31" s="11" t="n">
        <v>-11578385</v>
      </c>
      <c r="KH31" s="11" t="n">
        <v>-8972390</v>
      </c>
      <c r="KI31" s="11" t="n">
        <v>2592175</v>
      </c>
      <c r="KJ31" s="11" t="n">
        <v>-56754805</v>
      </c>
      <c r="KK31" s="11" t="n">
        <v>-7707013</v>
      </c>
      <c r="KL31" s="11" t="n">
        <v>81865689</v>
      </c>
      <c r="KM31" s="11" t="n">
        <v>-57219032</v>
      </c>
      <c r="KN31" s="11" t="n">
        <v>-96926752</v>
      </c>
      <c r="KO31" s="11" t="n">
        <v>1124200</v>
      </c>
      <c r="KP31" s="11" t="n">
        <v>-1684195</v>
      </c>
      <c r="KQ31" s="11" t="n">
        <v>-846160</v>
      </c>
      <c r="KR31" s="11" t="n">
        <v>9543535</v>
      </c>
      <c r="KS31" s="11" t="n">
        <v>-5150320</v>
      </c>
      <c r="KT31" s="11" t="n">
        <v>14899040</v>
      </c>
      <c r="KU31" s="11" t="n">
        <v>-528523898</v>
      </c>
      <c r="KV31" s="11" t="n">
        <v>380617475</v>
      </c>
      <c r="KW31" s="11" t="n">
        <v>663067480</v>
      </c>
      <c r="KX31" s="11" t="n">
        <v>-119097503</v>
      </c>
      <c r="KY31" s="11" t="n">
        <v>-396310648</v>
      </c>
      <c r="KZ31" s="11" t="n">
        <v>135988320</v>
      </c>
      <c r="LA31" s="11" t="n">
        <v>59977470</v>
      </c>
      <c r="LB31" s="11" t="n">
        <v>-38692640</v>
      </c>
      <c r="LC31" s="11" t="n">
        <v>103110200</v>
      </c>
      <c r="LD31" s="11" t="n">
        <v>-53692760</v>
      </c>
      <c r="LE31" s="11" t="n">
        <v>22325771</v>
      </c>
      <c r="LF31" s="11" t="n">
        <v>8615840</v>
      </c>
      <c r="LG31" s="11" t="n">
        <v>9203945</v>
      </c>
      <c r="LH31" s="11" t="n">
        <v>-257272264</v>
      </c>
      <c r="LI31" s="11" t="n">
        <v>-378545069</v>
      </c>
      <c r="LJ31" s="11" t="n">
        <v>-40023880</v>
      </c>
      <c r="LK31" s="11" t="n">
        <v>-6135565</v>
      </c>
      <c r="LL31" s="11" t="n">
        <v>-3793720</v>
      </c>
      <c r="LM31" s="11" t="n">
        <v>1065375</v>
      </c>
      <c r="LN31" s="11" t="n">
        <v>-60314555</v>
      </c>
      <c r="LO31" s="11" t="n">
        <v>1693425965</v>
      </c>
      <c r="LP31" s="11" t="n">
        <v>2551961130</v>
      </c>
      <c r="LQ31" s="11" t="n">
        <v>286713025</v>
      </c>
      <c r="LR31" s="11" t="n">
        <v>-694747285</v>
      </c>
      <c r="LS31" s="11" t="n">
        <v>-413573150</v>
      </c>
    </row>
    <row r="32" customFormat="false" ht="15" hidden="false" customHeight="true" outlineLevel="0" collapsed="false">
      <c r="A32" s="7" t="s">
        <v>98</v>
      </c>
      <c r="B32" s="11" t="n">
        <v>-880150</v>
      </c>
      <c r="C32" s="11" t="n">
        <v>-48811588</v>
      </c>
      <c r="D32" s="11" t="n">
        <v>-493262</v>
      </c>
      <c r="E32" s="11" t="n">
        <v>-29916012</v>
      </c>
      <c r="F32" s="11" t="n">
        <v>1868298</v>
      </c>
      <c r="G32" s="11" t="n">
        <v>-122594546</v>
      </c>
      <c r="H32" s="11" t="n">
        <v>39434830</v>
      </c>
      <c r="I32" s="11" t="n">
        <v>-12362604</v>
      </c>
      <c r="J32" s="11" t="n">
        <v>4278866</v>
      </c>
      <c r="K32" s="11" t="n">
        <v>29334</v>
      </c>
      <c r="L32" s="11" t="n">
        <v>-7604516</v>
      </c>
      <c r="M32" s="11" t="n">
        <v>34364</v>
      </c>
      <c r="N32" s="11" t="n">
        <v>-2857078</v>
      </c>
      <c r="O32" s="11" t="n">
        <v>-956010</v>
      </c>
      <c r="P32" s="11" t="n">
        <v>2496678</v>
      </c>
      <c r="Q32" s="11" t="n">
        <v>-771190</v>
      </c>
      <c r="R32" s="11" t="n">
        <v>-567170492</v>
      </c>
      <c r="S32" s="11" t="n">
        <v>10988534</v>
      </c>
      <c r="T32" s="11" t="n">
        <v>-754444298</v>
      </c>
      <c r="U32" s="11" t="n">
        <v>138694526</v>
      </c>
      <c r="V32" s="11" t="n">
        <v>78360384</v>
      </c>
      <c r="W32" s="11" t="n">
        <v>-5258848</v>
      </c>
      <c r="X32" s="11" t="n">
        <v>81526</v>
      </c>
      <c r="Y32" s="11" t="n">
        <v>-5687072</v>
      </c>
      <c r="Z32" s="11" t="n">
        <v>778524</v>
      </c>
      <c r="AA32" s="11" t="n">
        <v>987186</v>
      </c>
      <c r="AB32" s="11" t="n">
        <v>-14974116</v>
      </c>
      <c r="AC32" s="11" t="n">
        <v>962108512</v>
      </c>
      <c r="AD32" s="11" t="n">
        <v>-373212296</v>
      </c>
      <c r="AE32" s="11" t="n">
        <v>191674452</v>
      </c>
      <c r="AF32" s="11" t="n">
        <v>1278230</v>
      </c>
      <c r="AG32" s="11" t="n">
        <v>3568994</v>
      </c>
      <c r="AH32" s="11" t="n">
        <v>-5782386</v>
      </c>
      <c r="AI32" s="11" t="n">
        <v>-261171388</v>
      </c>
      <c r="AJ32" s="11" t="n">
        <v>387888462</v>
      </c>
      <c r="AK32" s="11" t="n">
        <v>-98434698</v>
      </c>
      <c r="AL32" s="11" t="n">
        <v>24850745</v>
      </c>
      <c r="AM32" s="11" t="n">
        <v>-141195</v>
      </c>
      <c r="AN32" s="11" t="n">
        <v>1183105</v>
      </c>
      <c r="AO32" s="11" t="n">
        <v>-3237920</v>
      </c>
      <c r="AP32" s="11" t="n">
        <v>45572915</v>
      </c>
      <c r="AQ32" s="11" t="n">
        <v>-16298300</v>
      </c>
      <c r="AR32" s="11" t="n">
        <v>6914735</v>
      </c>
      <c r="AS32" s="11" t="n">
        <v>-21757519</v>
      </c>
      <c r="AT32" s="11" t="n">
        <v>-779055788</v>
      </c>
      <c r="AU32" s="11" t="n">
        <v>-126818633</v>
      </c>
      <c r="AV32" s="11" t="n">
        <v>-934021985</v>
      </c>
      <c r="AW32" s="11" t="n">
        <v>209554053</v>
      </c>
      <c r="AX32" s="11" t="n">
        <v>34425128</v>
      </c>
      <c r="AY32" s="11" t="n">
        <v>5462219</v>
      </c>
      <c r="AZ32" s="11" t="n">
        <v>-2114341</v>
      </c>
      <c r="BA32" s="11" t="n">
        <v>45207208</v>
      </c>
      <c r="BB32" s="11" t="n">
        <v>-15460243</v>
      </c>
      <c r="BC32" s="11" t="n">
        <v>5858449</v>
      </c>
      <c r="BD32" s="11" t="n">
        <v>-107544465</v>
      </c>
      <c r="BE32" s="11" t="n">
        <v>1384215931</v>
      </c>
      <c r="BF32" s="11" t="n">
        <v>-500965283</v>
      </c>
      <c r="BG32" s="11" t="n">
        <v>218411676</v>
      </c>
      <c r="BH32" s="11" t="n">
        <v>354266371</v>
      </c>
      <c r="BI32" s="11" t="n">
        <v>-110477468</v>
      </c>
      <c r="BJ32" s="11" t="n">
        <v>30801951</v>
      </c>
      <c r="BK32" s="11" t="n">
        <v>-228282149</v>
      </c>
      <c r="BL32" s="11" t="n">
        <v>323023231</v>
      </c>
      <c r="BM32" s="11" t="n">
        <v>-80886179</v>
      </c>
      <c r="BN32" s="11" t="n">
        <v>1514658</v>
      </c>
      <c r="BO32" s="11" t="n">
        <v>-220462689</v>
      </c>
      <c r="BP32" s="11" t="n">
        <v>16711466</v>
      </c>
      <c r="BQ32" s="11" t="n">
        <v>-302222250</v>
      </c>
      <c r="BR32" s="11" t="n">
        <v>52241869</v>
      </c>
      <c r="BS32" s="11" t="n">
        <v>36876764</v>
      </c>
      <c r="BT32" s="11" t="n">
        <v>1180497</v>
      </c>
      <c r="BU32" s="11" t="n">
        <v>102402</v>
      </c>
      <c r="BV32" s="11" t="n">
        <v>-1060536</v>
      </c>
      <c r="BW32" s="11" t="n">
        <v>696561</v>
      </c>
      <c r="BX32" s="11" t="n">
        <v>-630978</v>
      </c>
      <c r="BY32" s="11" t="n">
        <v>-27929510</v>
      </c>
      <c r="BZ32" s="11" t="n">
        <v>389910513</v>
      </c>
      <c r="CA32" s="11" t="n">
        <v>-142102759</v>
      </c>
      <c r="CB32" s="11" t="n">
        <v>63099523</v>
      </c>
      <c r="CC32" s="11" t="n">
        <v>8731378</v>
      </c>
      <c r="CD32" s="11" t="n">
        <v>4153336</v>
      </c>
      <c r="CE32" s="11" t="n">
        <v>-9454822</v>
      </c>
      <c r="CF32" s="11" t="n">
        <v>-102407177</v>
      </c>
      <c r="CG32" s="11" t="n">
        <v>151720538</v>
      </c>
      <c r="CH32" s="11" t="n">
        <v>-38721867</v>
      </c>
      <c r="CI32" s="11" t="n">
        <v>240504831</v>
      </c>
      <c r="CJ32" s="11" t="n">
        <v>-6901732</v>
      </c>
      <c r="CK32" s="11" t="n">
        <v>321532824</v>
      </c>
      <c r="CL32" s="11" t="n">
        <v>-58511573</v>
      </c>
      <c r="CM32" s="11" t="n">
        <v>-34384852</v>
      </c>
      <c r="CN32" s="11" t="n">
        <v>-1648962281</v>
      </c>
      <c r="CO32" s="11" t="n">
        <v>1188334383</v>
      </c>
      <c r="CP32" s="11" t="n">
        <v>221302001</v>
      </c>
      <c r="CQ32" s="11" t="n">
        <v>-850662632</v>
      </c>
      <c r="CR32" s="11" t="n">
        <v>2170409348</v>
      </c>
      <c r="CS32" s="11" t="n">
        <v>-407520895</v>
      </c>
      <c r="CT32" s="11" t="n">
        <v>-211339948</v>
      </c>
      <c r="CU32" s="11" t="n">
        <v>584966093</v>
      </c>
      <c r="CV32" s="11" t="n">
        <v>-967362092</v>
      </c>
      <c r="CW32" s="11" t="n">
        <v>238594148</v>
      </c>
      <c r="CX32" s="11" t="n">
        <v>-21638977</v>
      </c>
      <c r="CY32" s="11" t="n">
        <v>418993968</v>
      </c>
      <c r="CZ32" s="11" t="n">
        <v>-156206234</v>
      </c>
      <c r="DA32" s="11" t="n">
        <v>73390853</v>
      </c>
      <c r="DB32" s="11" t="n">
        <v>16905512</v>
      </c>
      <c r="DC32" s="11" t="n">
        <v>-781843</v>
      </c>
      <c r="DD32" s="11" t="n">
        <v>-5199800</v>
      </c>
      <c r="DE32" s="11" t="n">
        <v>-106897792</v>
      </c>
      <c r="DF32" s="11" t="n">
        <v>158020168</v>
      </c>
      <c r="DG32" s="11" t="n">
        <v>-40187727</v>
      </c>
      <c r="DH32" s="11" t="n">
        <v>-2765811007</v>
      </c>
      <c r="DI32" s="11" t="n">
        <v>1090900901</v>
      </c>
      <c r="DJ32" s="11" t="n">
        <v>-579723147</v>
      </c>
      <c r="DK32" s="11" t="n">
        <v>-1157354890</v>
      </c>
      <c r="DL32" s="11" t="n">
        <v>1844600725</v>
      </c>
      <c r="DM32" s="11" t="n">
        <v>-484968485</v>
      </c>
      <c r="DN32" s="11" t="n">
        <v>-752337243</v>
      </c>
      <c r="DO32" s="11" t="n">
        <v>1117528832</v>
      </c>
      <c r="DP32" s="11" t="n">
        <v>-283087273</v>
      </c>
      <c r="DQ32" s="11" t="n">
        <v>-34125385</v>
      </c>
      <c r="DR32" s="11" t="n">
        <v>745207</v>
      </c>
      <c r="DS32" s="11" t="n">
        <v>1043</v>
      </c>
      <c r="DT32" s="11" t="n">
        <v>-749407</v>
      </c>
      <c r="DU32" s="11" t="n">
        <v>-24822</v>
      </c>
      <c r="DV32" s="11" t="n">
        <v>137369</v>
      </c>
      <c r="DW32" s="11" t="n">
        <v>-21120</v>
      </c>
      <c r="DX32" s="11" t="n">
        <v>218031</v>
      </c>
      <c r="DY32" s="11" t="n">
        <v>-359793</v>
      </c>
      <c r="DZ32" s="11" t="n">
        <v>-66890152</v>
      </c>
      <c r="EA32" s="11" t="n">
        <v>205269</v>
      </c>
      <c r="EB32" s="11" t="n">
        <v>-96180327</v>
      </c>
      <c r="EC32" s="11" t="n">
        <v>32217475</v>
      </c>
      <c r="ED32" s="11" t="n">
        <v>1624428</v>
      </c>
      <c r="EE32" s="11" t="n">
        <v>-455441</v>
      </c>
      <c r="EF32" s="11" t="n">
        <v>-11697</v>
      </c>
      <c r="EG32" s="11" t="n">
        <v>-68292</v>
      </c>
      <c r="EH32" s="11" t="n">
        <v>34895</v>
      </c>
      <c r="EI32" s="11" t="n">
        <v>107541</v>
      </c>
      <c r="EJ32" s="11" t="n">
        <v>-2434461</v>
      </c>
      <c r="EK32" s="11" t="n">
        <v>109052711</v>
      </c>
      <c r="EL32" s="11" t="n">
        <v>-34294795</v>
      </c>
      <c r="EM32" s="11" t="n">
        <v>17936988</v>
      </c>
      <c r="EN32" s="11" t="n">
        <v>3165819</v>
      </c>
      <c r="EO32" s="11" t="n">
        <v>-1067310</v>
      </c>
      <c r="EP32" s="11" t="n">
        <v>-114165</v>
      </c>
      <c r="EQ32" s="11" t="n">
        <v>3213005</v>
      </c>
      <c r="ER32" s="11" t="n">
        <v>28439667</v>
      </c>
      <c r="ES32" s="11" t="n">
        <v>-9472155</v>
      </c>
      <c r="ET32" s="11" t="n">
        <v>19766</v>
      </c>
      <c r="EU32" s="11" t="n">
        <v>-2795349</v>
      </c>
      <c r="EV32" s="11" t="n">
        <v>149768</v>
      </c>
      <c r="EW32" s="11" t="n">
        <v>-3086858</v>
      </c>
      <c r="EX32" s="11" t="n">
        <v>-706761</v>
      </c>
      <c r="EY32" s="11" t="n">
        <v>1053930</v>
      </c>
      <c r="EZ32" s="11" t="n">
        <v>15965</v>
      </c>
      <c r="FA32" s="11" t="n">
        <v>868</v>
      </c>
      <c r="FB32" s="11" t="n">
        <v>-7964</v>
      </c>
      <c r="FC32" s="11" t="n">
        <v>-429</v>
      </c>
      <c r="FD32" s="11" t="n">
        <v>-4308</v>
      </c>
      <c r="FE32" s="11" t="n">
        <v>-243722</v>
      </c>
      <c r="FF32" s="11" t="n">
        <v>3619541</v>
      </c>
      <c r="FG32" s="11" t="n">
        <v>631521</v>
      </c>
      <c r="FH32" s="11" t="n">
        <v>-242013</v>
      </c>
      <c r="FI32" s="11" t="n">
        <v>75212</v>
      </c>
      <c r="FJ32" s="11" t="n">
        <v>27786</v>
      </c>
      <c r="FK32" s="11" t="n">
        <v>-78924</v>
      </c>
      <c r="FL32" s="11" t="n">
        <v>-217767</v>
      </c>
      <c r="FM32" s="11" t="n">
        <v>1097424</v>
      </c>
      <c r="FN32" s="11" t="n">
        <v>176913</v>
      </c>
      <c r="FO32" s="11" t="n">
        <v>3123827</v>
      </c>
      <c r="FP32" s="11" t="n">
        <v>-77754</v>
      </c>
      <c r="FQ32" s="11" t="n">
        <v>4041468</v>
      </c>
      <c r="FR32" s="11" t="n">
        <v>-513311</v>
      </c>
      <c r="FS32" s="11" t="n">
        <v>-551934</v>
      </c>
      <c r="FT32" s="11" t="n">
        <v>-12673265</v>
      </c>
      <c r="FU32" s="11" t="n">
        <v>-83704501</v>
      </c>
      <c r="FV32" s="11" t="n">
        <v>184290321</v>
      </c>
      <c r="FW32" s="11" t="n">
        <v>-88507884</v>
      </c>
      <c r="FX32" s="11" t="n">
        <v>18479562</v>
      </c>
      <c r="FY32" s="11" t="n">
        <v>-6669587</v>
      </c>
      <c r="FZ32" s="11" t="n">
        <v>-36162</v>
      </c>
      <c r="GA32" s="11" t="n">
        <v>224672171</v>
      </c>
      <c r="GB32" s="11" t="n">
        <v>-129296898</v>
      </c>
      <c r="GC32" s="11" t="n">
        <v>47105094</v>
      </c>
      <c r="GD32" s="11" t="n">
        <v>-199981</v>
      </c>
      <c r="GE32" s="11" t="n">
        <v>4522928</v>
      </c>
      <c r="GF32" s="11" t="n">
        <v>-346802</v>
      </c>
      <c r="GG32" s="11" t="n">
        <v>235041</v>
      </c>
      <c r="GH32" s="11" t="n">
        <v>146148</v>
      </c>
      <c r="GI32" s="11" t="n">
        <v>-24229</v>
      </c>
      <c r="GJ32" s="11" t="n">
        <v>-41184</v>
      </c>
      <c r="GK32" s="11" t="n">
        <v>294536</v>
      </c>
      <c r="GL32" s="11" t="n">
        <v>1103220</v>
      </c>
      <c r="GM32" s="11" t="n">
        <v>-99897</v>
      </c>
      <c r="GN32" s="11" t="n">
        <v>-23707963</v>
      </c>
      <c r="GO32" s="11" t="n">
        <v>13204853</v>
      </c>
      <c r="GP32" s="11" t="n">
        <v>-6619647</v>
      </c>
      <c r="GQ32" s="11" t="n">
        <v>-257537618</v>
      </c>
      <c r="GR32" s="11" t="n">
        <v>121850793</v>
      </c>
      <c r="GS32" s="11" t="n">
        <v>4040259</v>
      </c>
      <c r="GT32" s="11" t="n">
        <v>-6777857</v>
      </c>
      <c r="GU32" s="11" t="n">
        <v>9720108</v>
      </c>
      <c r="GV32" s="11" t="n">
        <v>-3521415</v>
      </c>
      <c r="GW32" s="11" t="n">
        <v>70752861</v>
      </c>
      <c r="GX32" s="11" t="n">
        <v>-148996</v>
      </c>
      <c r="GY32" s="11" t="n">
        <v>22160973</v>
      </c>
      <c r="GZ32" s="11" t="n">
        <v>-2040647</v>
      </c>
      <c r="HA32" s="11" t="n">
        <v>34707190</v>
      </c>
      <c r="HB32" s="11" t="n">
        <v>-13203158</v>
      </c>
      <c r="HC32" s="11" t="n">
        <v>-301453</v>
      </c>
      <c r="HD32" s="11" t="n">
        <v>-118819</v>
      </c>
      <c r="HE32" s="11" t="n">
        <v>-7819</v>
      </c>
      <c r="HF32" s="11" t="n">
        <v>76042</v>
      </c>
      <c r="HG32" s="11" t="n">
        <v>-22702</v>
      </c>
      <c r="HH32" s="11" t="n">
        <v>43171</v>
      </c>
      <c r="HI32" s="11" t="n">
        <v>2790305</v>
      </c>
      <c r="HJ32" s="11" t="n">
        <v>-38987881</v>
      </c>
      <c r="HK32" s="11" t="n">
        <v>13905638</v>
      </c>
      <c r="HL32" s="11" t="n">
        <v>-6180656</v>
      </c>
      <c r="HM32" s="11" t="n">
        <v>-779891</v>
      </c>
      <c r="HN32" s="11" t="n">
        <v>381948</v>
      </c>
      <c r="HO32" s="11" t="n">
        <v>607089</v>
      </c>
      <c r="HP32" s="11" t="n">
        <v>-1450186</v>
      </c>
      <c r="HQ32" s="11" t="n">
        <v>-10210121</v>
      </c>
      <c r="HR32" s="11" t="n">
        <v>3871494</v>
      </c>
      <c r="HS32" s="11" t="n">
        <v>-24073483</v>
      </c>
      <c r="HT32" s="11" t="n">
        <v>1026285</v>
      </c>
      <c r="HU32" s="11" t="n">
        <v>-35987166</v>
      </c>
      <c r="HV32" s="11" t="n">
        <v>12816142</v>
      </c>
      <c r="HW32" s="11" t="n">
        <v>470331</v>
      </c>
      <c r="HX32" s="11" t="n">
        <v>177065201</v>
      </c>
      <c r="HY32" s="11" t="n">
        <v>-255123187</v>
      </c>
      <c r="HZ32" s="11" t="n">
        <v>227038463</v>
      </c>
      <c r="IA32" s="11" t="n">
        <v>-21248684</v>
      </c>
      <c r="IB32" s="11" t="n">
        <v>-253816437</v>
      </c>
      <c r="IC32" s="11" t="n">
        <v>84586289</v>
      </c>
      <c r="ID32" s="11" t="n">
        <v>4365237</v>
      </c>
      <c r="IE32" s="11" t="n">
        <v>203575688</v>
      </c>
      <c r="IF32" s="11" t="n">
        <v>-36748827</v>
      </c>
      <c r="IG32" s="11" t="n">
        <v>15748007</v>
      </c>
      <c r="IH32" s="11" t="n">
        <v>2081752</v>
      </c>
      <c r="II32" s="11" t="n">
        <v>-40984690</v>
      </c>
      <c r="IJ32" s="11" t="n">
        <v>13888409</v>
      </c>
      <c r="IK32" s="11" t="n">
        <v>-6600124</v>
      </c>
      <c r="IL32" s="11" t="n">
        <v>-1364754</v>
      </c>
      <c r="IM32" s="11" t="n">
        <v>516193</v>
      </c>
      <c r="IN32" s="11" t="n">
        <v>322044</v>
      </c>
      <c r="IO32" s="11" t="n">
        <v>-1057642</v>
      </c>
      <c r="IP32" s="11" t="n">
        <v>-10667178</v>
      </c>
      <c r="IQ32" s="11" t="n">
        <v>3785089</v>
      </c>
      <c r="IR32" s="11" t="n">
        <v>279388702</v>
      </c>
      <c r="IS32" s="11" t="n">
        <v>-82518851</v>
      </c>
      <c r="IT32" s="11" t="n">
        <v>46707732</v>
      </c>
      <c r="IU32" s="11" t="n">
        <v>-239344089</v>
      </c>
      <c r="IV32" s="11" t="n">
        <v>-33770516</v>
      </c>
      <c r="IW32" s="11" t="n">
        <v>49987432</v>
      </c>
      <c r="IX32" s="11" t="n">
        <v>-15179791</v>
      </c>
      <c r="IY32" s="11" t="n">
        <v>-73841658</v>
      </c>
      <c r="IZ32" s="11" t="n">
        <v>24347235</v>
      </c>
      <c r="JA32" s="11" t="n">
        <v>61423153</v>
      </c>
      <c r="JB32" s="11" t="n">
        <v>28902</v>
      </c>
      <c r="JC32" s="11" t="n">
        <v>-24182</v>
      </c>
      <c r="JD32" s="11" t="n">
        <v>303396</v>
      </c>
      <c r="JE32" s="11" t="n">
        <v>-491512</v>
      </c>
      <c r="JF32" s="11" t="n">
        <v>202726</v>
      </c>
      <c r="JG32" s="11" t="n">
        <v>3200877</v>
      </c>
      <c r="JH32" s="11" t="n">
        <v>-38393268</v>
      </c>
      <c r="JI32" s="11" t="n">
        <v>70544085</v>
      </c>
      <c r="JJ32" s="11" t="n">
        <v>-30210999</v>
      </c>
      <c r="JK32" s="11" t="n">
        <v>-1477658</v>
      </c>
      <c r="JL32" s="11" t="n">
        <v>-4588873</v>
      </c>
      <c r="JM32" s="11" t="n">
        <v>2825458</v>
      </c>
      <c r="JN32" s="11" t="n">
        <v>87607822</v>
      </c>
      <c r="JO32" s="11" t="n">
        <v>-47836918</v>
      </c>
      <c r="JP32" s="11" t="n">
        <v>18958839</v>
      </c>
      <c r="JQ32" s="11" t="n">
        <v>-20801</v>
      </c>
      <c r="JR32" s="11" t="n">
        <v>256698</v>
      </c>
      <c r="JS32" s="11" t="n">
        <v>-396367</v>
      </c>
      <c r="JT32" s="11" t="n">
        <v>170041</v>
      </c>
      <c r="JU32" s="11" t="n">
        <v>3580</v>
      </c>
      <c r="JV32" s="11" t="n">
        <v>-22109</v>
      </c>
      <c r="JW32" s="11" t="n">
        <v>3632</v>
      </c>
      <c r="JX32" s="11" t="n">
        <v>204622</v>
      </c>
      <c r="JY32" s="11" t="n">
        <v>-15556</v>
      </c>
      <c r="JZ32" s="11" t="n">
        <v>-111525</v>
      </c>
      <c r="KA32" s="11" t="n">
        <v>797189</v>
      </c>
      <c r="KB32" s="11" t="n">
        <v>6873763</v>
      </c>
      <c r="KC32" s="11" t="n">
        <v>-2911171</v>
      </c>
      <c r="KD32" s="11" t="n">
        <v>-100017337</v>
      </c>
      <c r="KE32" s="11" t="n">
        <v>42442507</v>
      </c>
      <c r="KF32" s="11" t="n">
        <v>717726</v>
      </c>
      <c r="KG32" s="11" t="n">
        <v>-2030341</v>
      </c>
      <c r="KH32" s="11" t="n">
        <v>640228</v>
      </c>
      <c r="KI32" s="11" t="n">
        <v>-1894023</v>
      </c>
      <c r="KJ32" s="11" t="n">
        <v>27771159</v>
      </c>
      <c r="KK32" s="11" t="n">
        <v>-3708041</v>
      </c>
      <c r="KL32" s="11" t="n">
        <v>42039366</v>
      </c>
      <c r="KM32" s="11" t="n">
        <v>-76928197</v>
      </c>
      <c r="KN32" s="11" t="n">
        <v>32845945</v>
      </c>
      <c r="KO32" s="11" t="n">
        <v>3750912</v>
      </c>
      <c r="KP32" s="11" t="n">
        <v>1305481</v>
      </c>
      <c r="KQ32" s="11" t="n">
        <v>-1472712</v>
      </c>
      <c r="KR32" s="11" t="n">
        <v>-92618310</v>
      </c>
      <c r="KS32" s="11" t="n">
        <v>49922352</v>
      </c>
      <c r="KT32" s="11" t="n">
        <v>-18989359</v>
      </c>
      <c r="KU32" s="11" t="n">
        <v>-269911153</v>
      </c>
      <c r="KV32" s="11" t="n">
        <v>530851258</v>
      </c>
      <c r="KW32" s="11" t="n">
        <v>-238315447</v>
      </c>
      <c r="KX32" s="11" t="n">
        <v>-418785007</v>
      </c>
      <c r="KY32" s="11" t="n">
        <v>310984537</v>
      </c>
      <c r="KZ32" s="11" t="n">
        <v>-241870689</v>
      </c>
      <c r="LA32" s="11" t="n">
        <v>-632015729</v>
      </c>
      <c r="LB32" s="11" t="n">
        <v>348270600</v>
      </c>
      <c r="LC32" s="11" t="n">
        <v>-126933529</v>
      </c>
      <c r="LD32" s="11" t="n">
        <v>-187827041</v>
      </c>
      <c r="LE32" s="11" t="n">
        <v>2677526</v>
      </c>
      <c r="LF32" s="11" t="n">
        <v>4513125</v>
      </c>
      <c r="LG32" s="11" t="n">
        <v>-1823732</v>
      </c>
      <c r="LH32" s="11" t="n">
        <v>-106715692</v>
      </c>
      <c r="LI32" s="11" t="n">
        <v>44393902</v>
      </c>
      <c r="LJ32" s="11" t="n">
        <v>2141681</v>
      </c>
      <c r="LK32" s="11" t="n">
        <v>-3622634</v>
      </c>
      <c r="LL32" s="11" t="n">
        <v>781392</v>
      </c>
      <c r="LM32" s="11" t="n">
        <v>-1150388</v>
      </c>
      <c r="LN32" s="11" t="n">
        <v>28920754</v>
      </c>
      <c r="LO32" s="11" t="n">
        <v>711834313</v>
      </c>
      <c r="LP32" s="11" t="n">
        <v>-304835198</v>
      </c>
      <c r="LQ32" s="11" t="n">
        <v>-28968659</v>
      </c>
      <c r="LR32" s="11" t="n">
        <v>347184815</v>
      </c>
      <c r="LS32" s="11" t="n">
        <v>204698186</v>
      </c>
    </row>
    <row r="33" customFormat="false" ht="15" hidden="false" customHeight="true" outlineLevel="0" collapsed="false">
      <c r="A33" s="7" t="s">
        <v>99</v>
      </c>
      <c r="B33" s="11" t="n">
        <v>-3910765</v>
      </c>
      <c r="C33" s="11" t="n">
        <v>229206444</v>
      </c>
      <c r="D33" s="11" t="n">
        <v>-1950887</v>
      </c>
      <c r="E33" s="11" t="n">
        <v>-324707748</v>
      </c>
      <c r="F33" s="11" t="n">
        <v>-4489301</v>
      </c>
      <c r="G33" s="11" t="n">
        <v>-233519717</v>
      </c>
      <c r="H33" s="11" t="n">
        <v>170852889</v>
      </c>
      <c r="I33" s="11" t="n">
        <v>58392844</v>
      </c>
      <c r="J33" s="11" t="n">
        <v>-13016373</v>
      </c>
      <c r="K33" s="11" t="n">
        <v>113049</v>
      </c>
      <c r="L33" s="11" t="n">
        <v>-20019434</v>
      </c>
      <c r="M33" s="11" t="n">
        <v>1071042</v>
      </c>
      <c r="N33" s="11" t="n">
        <v>-35038801</v>
      </c>
      <c r="O33" s="11" t="n">
        <v>-3934243</v>
      </c>
      <c r="P33" s="11" t="n">
        <v>2957017</v>
      </c>
      <c r="Q33" s="11" t="n">
        <v>-132477</v>
      </c>
      <c r="R33" s="11" t="n">
        <v>2254060380</v>
      </c>
      <c r="S33" s="11" t="n">
        <v>-47830875</v>
      </c>
      <c r="T33" s="11" t="n">
        <v>2830826889</v>
      </c>
      <c r="U33" s="11" t="n">
        <v>-338074797</v>
      </c>
      <c r="V33" s="11" t="n">
        <v>-367659624</v>
      </c>
      <c r="W33" s="11" t="n">
        <v>-19373074</v>
      </c>
      <c r="X33" s="11" t="n">
        <v>404517</v>
      </c>
      <c r="Y33" s="11" t="n">
        <v>-24229508</v>
      </c>
      <c r="Z33" s="11" t="n">
        <v>2976268</v>
      </c>
      <c r="AA33" s="11" t="n">
        <v>3163079</v>
      </c>
      <c r="AB33" s="11" t="n">
        <v>111908770</v>
      </c>
      <c r="AC33" s="11" t="n">
        <v>-1713843098</v>
      </c>
      <c r="AD33" s="11" t="n">
        <v>-1201263006</v>
      </c>
      <c r="AE33" s="11" t="n">
        <v>-53397572</v>
      </c>
      <c r="AF33" s="11" t="n">
        <v>-104176331</v>
      </c>
      <c r="AG33" s="11" t="n">
        <v>42275263</v>
      </c>
      <c r="AH33" s="11" t="n">
        <v>19386521</v>
      </c>
      <c r="AI33" s="11" t="n">
        <v>-1765691288</v>
      </c>
      <c r="AJ33" s="11" t="n">
        <v>-346605707</v>
      </c>
      <c r="AK33" s="11" t="n">
        <v>-187929097</v>
      </c>
      <c r="AL33" s="11" t="n">
        <v>-94118460</v>
      </c>
      <c r="AM33" s="11" t="n">
        <v>-737790</v>
      </c>
      <c r="AN33" s="11" t="n">
        <v>93191155</v>
      </c>
      <c r="AO33" s="11" t="n">
        <v>-8522350</v>
      </c>
      <c r="AP33" s="11" t="n">
        <v>59803355</v>
      </c>
      <c r="AQ33" s="11" t="n">
        <v>-70415520</v>
      </c>
      <c r="AR33" s="11" t="n">
        <v>-21235920</v>
      </c>
      <c r="AS33" s="11" t="n">
        <v>90192252</v>
      </c>
      <c r="AT33" s="11" t="n">
        <v>2352731484</v>
      </c>
      <c r="AU33" s="11" t="n">
        <v>607529124</v>
      </c>
      <c r="AV33" s="11" t="n">
        <v>2114983080</v>
      </c>
      <c r="AW33" s="11" t="n">
        <v>15158196</v>
      </c>
      <c r="AX33" s="11" t="n">
        <v>-160693584</v>
      </c>
      <c r="AY33" s="11" t="n">
        <v>107746577</v>
      </c>
      <c r="AZ33" s="11" t="n">
        <v>-3404444</v>
      </c>
      <c r="BA33" s="11" t="n">
        <v>73887871</v>
      </c>
      <c r="BB33" s="11" t="n">
        <v>-67359270</v>
      </c>
      <c r="BC33" s="11" t="n">
        <v>-21609720</v>
      </c>
      <c r="BD33" s="11" t="n">
        <v>-814581347</v>
      </c>
      <c r="BE33" s="11" t="n">
        <v>-599207423</v>
      </c>
      <c r="BF33" s="11" t="n">
        <v>-1775224761</v>
      </c>
      <c r="BG33" s="11" t="n">
        <v>-371735756</v>
      </c>
      <c r="BH33" s="11" t="n">
        <v>577537137</v>
      </c>
      <c r="BI33" s="11" t="n">
        <v>-453155478</v>
      </c>
      <c r="BJ33" s="11" t="n">
        <v>-151627288</v>
      </c>
      <c r="BK33" s="11" t="n">
        <v>-1591974033</v>
      </c>
      <c r="BL33" s="11" t="n">
        <v>-375097468</v>
      </c>
      <c r="BM33" s="11" t="n">
        <v>-123644400</v>
      </c>
      <c r="BN33" s="11" t="n">
        <v>-5176314</v>
      </c>
      <c r="BO33" s="11" t="n">
        <v>791970147</v>
      </c>
      <c r="BP33" s="11" t="n">
        <v>-54141558</v>
      </c>
      <c r="BQ33" s="11" t="n">
        <v>1042307775</v>
      </c>
      <c r="BR33" s="11" t="n">
        <v>-139683612</v>
      </c>
      <c r="BS33" s="11" t="n">
        <v>-141845532</v>
      </c>
      <c r="BT33" s="11" t="n">
        <v>1082901</v>
      </c>
      <c r="BU33" s="11" t="n">
        <v>44298</v>
      </c>
      <c r="BV33" s="11" t="n">
        <v>4881543</v>
      </c>
      <c r="BW33" s="11" t="n">
        <v>2777730</v>
      </c>
      <c r="BX33" s="11" t="n">
        <v>56010</v>
      </c>
      <c r="BY33" s="11" t="n">
        <v>-18104126</v>
      </c>
      <c r="BZ33" s="11" t="n">
        <v>-528816489</v>
      </c>
      <c r="CA33" s="11" t="n">
        <v>-454211773</v>
      </c>
      <c r="CB33" s="11" t="n">
        <v>-38243993</v>
      </c>
      <c r="CC33" s="11" t="n">
        <v>59978296</v>
      </c>
      <c r="CD33" s="11" t="n">
        <v>27858226</v>
      </c>
      <c r="CE33" s="11" t="n">
        <v>-628054</v>
      </c>
      <c r="CF33" s="11" t="n">
        <v>-691055669</v>
      </c>
      <c r="CG33" s="11" t="n">
        <v>-145046209</v>
      </c>
      <c r="CH33" s="11" t="n">
        <v>-74606160</v>
      </c>
      <c r="CI33" s="11" t="n">
        <v>-888327837</v>
      </c>
      <c r="CJ33" s="11" t="n">
        <v>18470208</v>
      </c>
      <c r="CK33" s="11" t="n">
        <v>-1115146827</v>
      </c>
      <c r="CL33" s="11" t="n">
        <v>133022958</v>
      </c>
      <c r="CM33" s="11" t="n">
        <v>144766164</v>
      </c>
      <c r="CN33" s="11" t="n">
        <v>6465527355</v>
      </c>
      <c r="CO33" s="11" t="n">
        <v>-8258389029</v>
      </c>
      <c r="CP33" s="11" t="n">
        <v>3619299237</v>
      </c>
      <c r="CQ33" s="11" t="n">
        <v>2193617784</v>
      </c>
      <c r="CR33" s="11" t="n">
        <v>-7944677469</v>
      </c>
      <c r="CS33" s="11" t="n">
        <v>892929762</v>
      </c>
      <c r="CT33" s="11" t="n">
        <v>1008043404</v>
      </c>
      <c r="CU33" s="11" t="n">
        <v>3306768741</v>
      </c>
      <c r="CV33" s="11" t="n">
        <v>1407893076</v>
      </c>
      <c r="CW33" s="11" t="n">
        <v>261334308</v>
      </c>
      <c r="CX33" s="11" t="n">
        <v>-11466181</v>
      </c>
      <c r="CY33" s="11" t="n">
        <v>-604448826</v>
      </c>
      <c r="CZ33" s="11" t="n">
        <v>-504526112</v>
      </c>
      <c r="DA33" s="11" t="n">
        <v>-39897631</v>
      </c>
      <c r="DB33" s="11" t="n">
        <v>26961635</v>
      </c>
      <c r="DC33" s="11" t="n">
        <v>8773154</v>
      </c>
      <c r="DD33" s="11" t="n">
        <v>-1039028</v>
      </c>
      <c r="DE33" s="11" t="n">
        <v>-723861436</v>
      </c>
      <c r="DF33" s="11" t="n">
        <v>-148588673</v>
      </c>
      <c r="DG33" s="11" t="n">
        <v>-76245510</v>
      </c>
      <c r="DH33" s="11" t="n">
        <v>4505963267</v>
      </c>
      <c r="DI33" s="11" t="n">
        <v>3625382099</v>
      </c>
      <c r="DJ33" s="11" t="n">
        <v>262073073</v>
      </c>
      <c r="DK33" s="11" t="n">
        <v>-7153050730</v>
      </c>
      <c r="DL33" s="11" t="n">
        <v>-1863523559</v>
      </c>
      <c r="DM33" s="11" t="n">
        <v>-1083311753</v>
      </c>
      <c r="DN33" s="11" t="n">
        <v>-5077080087</v>
      </c>
      <c r="DO33" s="11" t="n">
        <v>-1024555651</v>
      </c>
      <c r="DP33" s="11" t="n">
        <v>-529041094</v>
      </c>
      <c r="DQ33" s="11" t="n">
        <v>-473275009</v>
      </c>
      <c r="DR33" s="11" t="n">
        <v>298554</v>
      </c>
      <c r="DS33" s="11" t="n">
        <v>3008</v>
      </c>
      <c r="DT33" s="11" t="n">
        <v>-2034658</v>
      </c>
      <c r="DU33" s="11" t="n">
        <v>-23911</v>
      </c>
      <c r="DV33" s="11" t="n">
        <v>-1491307</v>
      </c>
      <c r="DW33" s="11" t="n">
        <v>-64346</v>
      </c>
      <c r="DX33" s="11" t="n">
        <v>203459</v>
      </c>
      <c r="DY33" s="11" t="n">
        <v>-325230</v>
      </c>
      <c r="DZ33" s="11" t="n">
        <v>94460784</v>
      </c>
      <c r="EA33" s="11" t="n">
        <v>1058682</v>
      </c>
      <c r="EB33" s="11" t="n">
        <v>69576906</v>
      </c>
      <c r="EC33" s="11" t="n">
        <v>16814442</v>
      </c>
      <c r="ED33" s="11" t="n">
        <v>-7466748</v>
      </c>
      <c r="EE33" s="11" t="n">
        <v>-1264742</v>
      </c>
      <c r="EF33" s="11" t="n">
        <v>-15381</v>
      </c>
      <c r="EG33" s="11" t="n">
        <v>-923553</v>
      </c>
      <c r="EH33" s="11" t="n">
        <v>99314</v>
      </c>
      <c r="EI33" s="11" t="n">
        <v>146409</v>
      </c>
      <c r="EJ33" s="11" t="n">
        <v>350342</v>
      </c>
      <c r="EK33" s="11" t="n">
        <v>-2328490</v>
      </c>
      <c r="EL33" s="11" t="n">
        <v>-94232418</v>
      </c>
      <c r="EM33" s="11" t="n">
        <v>-13487068</v>
      </c>
      <c r="EN33" s="11" t="n">
        <v>-284148</v>
      </c>
      <c r="EO33" s="11" t="n">
        <v>-1118485</v>
      </c>
      <c r="EP33" s="11" t="n">
        <v>-123465</v>
      </c>
      <c r="EQ33" s="11" t="n">
        <v>-68994217</v>
      </c>
      <c r="ER33" s="11" t="n">
        <v>-10118217</v>
      </c>
      <c r="ES33" s="11" t="n">
        <v>-9849455</v>
      </c>
      <c r="ET33" s="11" t="n">
        <v>18642</v>
      </c>
      <c r="EU33" s="11" t="n">
        <v>-8300358</v>
      </c>
      <c r="EV33" s="11" t="n">
        <v>2181</v>
      </c>
      <c r="EW33" s="11" t="n">
        <v>-7638501</v>
      </c>
      <c r="EX33" s="11" t="n">
        <v>-514512</v>
      </c>
      <c r="EY33" s="11" t="n">
        <v>902925</v>
      </c>
      <c r="EZ33" s="11" t="n">
        <v>43418</v>
      </c>
      <c r="FA33" s="11" t="n">
        <v>1515</v>
      </c>
      <c r="FB33" s="11" t="n">
        <v>16159</v>
      </c>
      <c r="FC33" s="11" t="n">
        <v>-1166</v>
      </c>
      <c r="FD33" s="11" t="n">
        <v>-3607</v>
      </c>
      <c r="FE33" s="11" t="n">
        <v>-679634</v>
      </c>
      <c r="FF33" s="11" t="n">
        <v>10595588</v>
      </c>
      <c r="FG33" s="11" t="n">
        <v>1717482</v>
      </c>
      <c r="FH33" s="11" t="n">
        <v>-496932</v>
      </c>
      <c r="FI33" s="11" t="n">
        <v>622657</v>
      </c>
      <c r="FJ33" s="11" t="n">
        <v>41677</v>
      </c>
      <c r="FK33" s="11" t="n">
        <v>-73801</v>
      </c>
      <c r="FL33" s="11" t="n">
        <v>923747</v>
      </c>
      <c r="FM33" s="11" t="n">
        <v>695296</v>
      </c>
      <c r="FN33" s="11" t="n">
        <v>156027</v>
      </c>
      <c r="FO33" s="11" t="n">
        <v>3143778</v>
      </c>
      <c r="FP33" s="11" t="n">
        <v>-68481</v>
      </c>
      <c r="FQ33" s="11" t="n">
        <v>3976557</v>
      </c>
      <c r="FR33" s="11" t="n">
        <v>-489426</v>
      </c>
      <c r="FS33" s="11" t="n">
        <v>-517371</v>
      </c>
      <c r="FT33" s="11" t="n">
        <v>30123390</v>
      </c>
      <c r="FU33" s="11" t="n">
        <v>-482410434</v>
      </c>
      <c r="FV33" s="11" t="n">
        <v>304684182</v>
      </c>
      <c r="FW33" s="11" t="n">
        <v>78090804</v>
      </c>
      <c r="FX33" s="11" t="n">
        <v>-27594642</v>
      </c>
      <c r="FY33" s="11" t="n">
        <v>-1947309</v>
      </c>
      <c r="FZ33" s="11" t="n">
        <v>3256347</v>
      </c>
      <c r="GA33" s="11" t="n">
        <v>310292205</v>
      </c>
      <c r="GB33" s="11" t="n">
        <v>19386663</v>
      </c>
      <c r="GC33" s="11" t="n">
        <v>37984581</v>
      </c>
      <c r="GD33" s="11" t="n">
        <v>-414984</v>
      </c>
      <c r="GE33" s="11" t="n">
        <v>6536522</v>
      </c>
      <c r="GF33" s="11" t="n">
        <v>-943260</v>
      </c>
      <c r="GG33" s="11" t="n">
        <v>-596696</v>
      </c>
      <c r="GH33" s="11" t="n">
        <v>382527</v>
      </c>
      <c r="GI33" s="11" t="n">
        <v>-44058</v>
      </c>
      <c r="GJ33" s="11" t="n">
        <v>-55296</v>
      </c>
      <c r="GK33" s="11" t="n">
        <v>-175516</v>
      </c>
      <c r="GL33" s="11" t="n">
        <v>320955</v>
      </c>
      <c r="GM33" s="11" t="n">
        <v>-62338</v>
      </c>
      <c r="GN33" s="11" t="n">
        <v>-1046642</v>
      </c>
      <c r="GO33" s="11" t="n">
        <v>31180596</v>
      </c>
      <c r="GP33" s="11" t="n">
        <v>4590632</v>
      </c>
      <c r="GQ33" s="11" t="n">
        <v>-488754738</v>
      </c>
      <c r="GR33" s="11" t="n">
        <v>-70803308</v>
      </c>
      <c r="GS33" s="11" t="n">
        <v>-34399344</v>
      </c>
      <c r="GT33" s="11" t="n">
        <v>-28630759</v>
      </c>
      <c r="GU33" s="11" t="n">
        <v>-4092123</v>
      </c>
      <c r="GV33" s="11" t="n">
        <v>-3667390</v>
      </c>
      <c r="GW33" s="11" t="n">
        <v>25899919</v>
      </c>
      <c r="GX33" s="11" t="n">
        <v>16068</v>
      </c>
      <c r="GY33" s="11" t="n">
        <v>-41852754</v>
      </c>
      <c r="GZ33" s="11" t="n">
        <v>-1226064</v>
      </c>
      <c r="HA33" s="11" t="n">
        <v>-31325070</v>
      </c>
      <c r="HB33" s="11" t="n">
        <v>-6924216</v>
      </c>
      <c r="HC33" s="11" t="n">
        <v>3275364</v>
      </c>
      <c r="HD33" s="11" t="n">
        <v>-312172</v>
      </c>
      <c r="HE33" s="11" t="n">
        <v>-11066</v>
      </c>
      <c r="HF33" s="11" t="n">
        <v>-235346</v>
      </c>
      <c r="HG33" s="11" t="n">
        <v>-66300</v>
      </c>
      <c r="HH33" s="11" t="n">
        <v>22050</v>
      </c>
      <c r="HI33" s="11" t="n">
        <v>5003717</v>
      </c>
      <c r="HJ33" s="11" t="n">
        <v>4422983</v>
      </c>
      <c r="HK33" s="11" t="n">
        <v>38168486</v>
      </c>
      <c r="HL33" s="11" t="n">
        <v>6200131</v>
      </c>
      <c r="HM33" s="11" t="n">
        <v>-3615507</v>
      </c>
      <c r="HN33" s="11" t="n">
        <v>290308</v>
      </c>
      <c r="HO33" s="11" t="n">
        <v>573218</v>
      </c>
      <c r="HP33" s="11" t="n">
        <v>27835798</v>
      </c>
      <c r="HQ33" s="11" t="n">
        <v>4986683</v>
      </c>
      <c r="HR33" s="11" t="n">
        <v>4012800</v>
      </c>
      <c r="HS33" s="11" t="n">
        <v>40508502</v>
      </c>
      <c r="HT33" s="11" t="n">
        <v>1278636</v>
      </c>
      <c r="HU33" s="11" t="n">
        <v>30379398</v>
      </c>
      <c r="HV33" s="11" t="n">
        <v>6637956</v>
      </c>
      <c r="HW33" s="11" t="n">
        <v>-3166164</v>
      </c>
      <c r="HX33" s="11" t="n">
        <v>-239508462</v>
      </c>
      <c r="HY33" s="11" t="n">
        <v>-157444014</v>
      </c>
      <c r="HZ33" s="11" t="n">
        <v>166347906</v>
      </c>
      <c r="IA33" s="11" t="n">
        <v>-10418604</v>
      </c>
      <c r="IB33" s="11" t="n">
        <v>174649986</v>
      </c>
      <c r="IC33" s="11" t="n">
        <v>44497944</v>
      </c>
      <c r="ID33" s="11" t="n">
        <v>-19048956</v>
      </c>
      <c r="IE33" s="11" t="n">
        <v>150552486</v>
      </c>
      <c r="IF33" s="11" t="n">
        <v>-20119344</v>
      </c>
      <c r="IG33" s="11" t="n">
        <v>11294580</v>
      </c>
      <c r="IH33" s="11" t="n">
        <v>3056555</v>
      </c>
      <c r="II33" s="11" t="n">
        <v>3106577</v>
      </c>
      <c r="IJ33" s="11" t="n">
        <v>38183326</v>
      </c>
      <c r="IK33" s="11" t="n">
        <v>5923281</v>
      </c>
      <c r="IL33" s="11" t="n">
        <v>-2194209</v>
      </c>
      <c r="IM33" s="11" t="n">
        <v>704378</v>
      </c>
      <c r="IN33" s="11" t="n">
        <v>425868</v>
      </c>
      <c r="IO33" s="11" t="n">
        <v>28126568</v>
      </c>
      <c r="IP33" s="11" t="n">
        <v>4684983</v>
      </c>
      <c r="IQ33" s="11" t="n">
        <v>3955050</v>
      </c>
      <c r="IR33" s="11" t="n">
        <v>-6487902</v>
      </c>
      <c r="IS33" s="11" t="n">
        <v>-238312471</v>
      </c>
      <c r="IT33" s="11" t="n">
        <v>-34235551</v>
      </c>
      <c r="IU33" s="11" t="n">
        <v>-161163913</v>
      </c>
      <c r="IV33" s="11" t="n">
        <v>-22222963</v>
      </c>
      <c r="IW33" s="11" t="n">
        <v>34144495</v>
      </c>
      <c r="IX33" s="11" t="n">
        <v>172572489</v>
      </c>
      <c r="IY33" s="11" t="n">
        <v>25480629</v>
      </c>
      <c r="IZ33" s="11" t="n">
        <v>25314410</v>
      </c>
      <c r="JA33" s="11" t="n">
        <v>41844935</v>
      </c>
      <c r="JB33" s="11" t="n">
        <v>-2166606</v>
      </c>
      <c r="JC33" s="11" t="n">
        <v>-76674</v>
      </c>
      <c r="JD33" s="11" t="n">
        <v>-1544868</v>
      </c>
      <c r="JE33" s="11" t="n">
        <v>-404664</v>
      </c>
      <c r="JF33" s="11" t="n">
        <v>155922</v>
      </c>
      <c r="JG33" s="11" t="n">
        <v>34392609</v>
      </c>
      <c r="JH33" s="11" t="n">
        <v>-199906911</v>
      </c>
      <c r="JI33" s="11" t="n">
        <v>120379320</v>
      </c>
      <c r="JJ33" s="11" t="n">
        <v>35515197</v>
      </c>
      <c r="JK33" s="11" t="n">
        <v>-31597671</v>
      </c>
      <c r="JL33" s="11" t="n">
        <v>-2163516</v>
      </c>
      <c r="JM33" s="11" t="n">
        <v>3731946</v>
      </c>
      <c r="JN33" s="11" t="n">
        <v>123172044</v>
      </c>
      <c r="JO33" s="11" t="n">
        <v>10937109</v>
      </c>
      <c r="JP33" s="11" t="n">
        <v>15296508</v>
      </c>
      <c r="JQ33" s="11" t="n">
        <v>-2501</v>
      </c>
      <c r="JR33" s="11" t="n">
        <v>-1720035</v>
      </c>
      <c r="JS33" s="11" t="n">
        <v>-1077994</v>
      </c>
      <c r="JT33" s="11" t="n">
        <v>-56063</v>
      </c>
      <c r="JU33" s="11" t="n">
        <v>-59087</v>
      </c>
      <c r="JV33" s="11" t="n">
        <v>-37682</v>
      </c>
      <c r="JW33" s="11" t="n">
        <v>-2164</v>
      </c>
      <c r="JX33" s="11" t="n">
        <v>-447392</v>
      </c>
      <c r="JY33" s="11" t="n">
        <v>-163759</v>
      </c>
      <c r="JZ33" s="11" t="n">
        <v>-88050</v>
      </c>
      <c r="KA33" s="11" t="n">
        <v>27534521</v>
      </c>
      <c r="KB33" s="11" t="n">
        <v>16973071</v>
      </c>
      <c r="KC33" s="11" t="n">
        <v>848945</v>
      </c>
      <c r="KD33" s="11" t="n">
        <v>-195030889</v>
      </c>
      <c r="KE33" s="11" t="n">
        <v>-33367748</v>
      </c>
      <c r="KF33" s="11" t="n">
        <v>-14555643</v>
      </c>
      <c r="KG33" s="11" t="n">
        <v>-13861645</v>
      </c>
      <c r="KH33" s="11" t="n">
        <v>-3767729</v>
      </c>
      <c r="KI33" s="11" t="n">
        <v>-1895154</v>
      </c>
      <c r="KJ33" s="11" t="n">
        <v>9889101</v>
      </c>
      <c r="KK33" s="11" t="n">
        <v>-20889249</v>
      </c>
      <c r="KL33" s="11" t="n">
        <v>201636639</v>
      </c>
      <c r="KM33" s="11" t="n">
        <v>-125124294</v>
      </c>
      <c r="KN33" s="11" t="n">
        <v>-33835155</v>
      </c>
      <c r="KO33" s="11" t="n">
        <v>22030503</v>
      </c>
      <c r="KP33" s="11" t="n">
        <v>-526470</v>
      </c>
      <c r="KQ33" s="11" t="n">
        <v>-2700708</v>
      </c>
      <c r="KR33" s="11" t="n">
        <v>-126878448</v>
      </c>
      <c r="KS33" s="11" t="n">
        <v>-9614697</v>
      </c>
      <c r="KT33" s="11" t="n">
        <v>-15324198</v>
      </c>
      <c r="KU33" s="11" t="n">
        <v>-1273376352</v>
      </c>
      <c r="KV33" s="11" t="n">
        <v>825584961</v>
      </c>
      <c r="KW33" s="11" t="n">
        <v>194679357</v>
      </c>
      <c r="KX33" s="11" t="n">
        <v>-341700159</v>
      </c>
      <c r="KY33" s="11" t="n">
        <v>183366813</v>
      </c>
      <c r="KZ33" s="11" t="n">
        <v>-171125253</v>
      </c>
      <c r="LA33" s="11" t="n">
        <v>-838596807</v>
      </c>
      <c r="LB33" s="11" t="n">
        <v>-40684395</v>
      </c>
      <c r="LC33" s="11" t="n">
        <v>-101830902</v>
      </c>
      <c r="LD33" s="11" t="n">
        <v>-131675673</v>
      </c>
      <c r="LE33" s="11" t="n">
        <v>16816409</v>
      </c>
      <c r="LF33" s="11" t="n">
        <v>10249002</v>
      </c>
      <c r="LG33" s="11" t="n">
        <v>501472</v>
      </c>
      <c r="LH33" s="11" t="n">
        <v>-199658476</v>
      </c>
      <c r="LI33" s="11" t="n">
        <v>-32078747</v>
      </c>
      <c r="LJ33" s="11" t="n">
        <v>-13596958</v>
      </c>
      <c r="LK33" s="11" t="n">
        <v>-11232764</v>
      </c>
      <c r="LL33" s="11" t="n">
        <v>-2703012</v>
      </c>
      <c r="LM33" s="11" t="n">
        <v>-1312424</v>
      </c>
      <c r="LN33" s="11" t="n">
        <v>10664956</v>
      </c>
      <c r="LO33" s="11" t="n">
        <v>1289381497</v>
      </c>
      <c r="LP33" s="11" t="n">
        <v>187291093</v>
      </c>
      <c r="LQ33" s="11" t="n">
        <v>75697378</v>
      </c>
      <c r="LR33" s="11" t="n">
        <v>235929599</v>
      </c>
      <c r="LS33" s="11" t="n">
        <v>82146968</v>
      </c>
    </row>
    <row r="34" customFormat="false" ht="15" hidden="false" customHeight="true" outlineLevel="0" collapsed="false">
      <c r="A34" s="7" t="s">
        <v>100</v>
      </c>
      <c r="B34" s="11" t="n">
        <v>537307</v>
      </c>
      <c r="C34" s="11" t="n">
        <v>61934012</v>
      </c>
      <c r="D34" s="11" t="n">
        <v>-2529419</v>
      </c>
      <c r="E34" s="11" t="n">
        <v>510987904</v>
      </c>
      <c r="F34" s="11" t="n">
        <v>-22847581</v>
      </c>
      <c r="G34" s="11" t="n">
        <v>784330663</v>
      </c>
      <c r="H34" s="11" t="n">
        <v>32847293</v>
      </c>
      <c r="I34" s="11" t="n">
        <v>84101164</v>
      </c>
      <c r="J34" s="11" t="n">
        <v>-4919437</v>
      </c>
      <c r="K34" s="11" t="n">
        <v>185321</v>
      </c>
      <c r="L34" s="11" t="n">
        <v>-30734562</v>
      </c>
      <c r="M34" s="11" t="n">
        <v>1537554</v>
      </c>
      <c r="N34" s="11" t="n">
        <v>-49196145</v>
      </c>
      <c r="O34" s="11" t="n">
        <v>-3503235</v>
      </c>
      <c r="P34" s="11" t="n">
        <v>-7020623</v>
      </c>
      <c r="Q34" s="11" t="n">
        <v>-1797193</v>
      </c>
      <c r="R34" s="11" t="n">
        <v>1135771672</v>
      </c>
      <c r="S34" s="11" t="n">
        <v>-31956307</v>
      </c>
      <c r="T34" s="11" t="n">
        <v>1510404013</v>
      </c>
      <c r="U34" s="11" t="n">
        <v>-103068097</v>
      </c>
      <c r="V34" s="11" t="n">
        <v>-39241944</v>
      </c>
      <c r="W34" s="11" t="n">
        <v>-31557758</v>
      </c>
      <c r="X34" s="11" t="n">
        <v>642125</v>
      </c>
      <c r="Y34" s="11" t="n">
        <v>-38926124</v>
      </c>
      <c r="Z34" s="11" t="n">
        <v>5162516</v>
      </c>
      <c r="AA34" s="11" t="n">
        <v>4043099</v>
      </c>
      <c r="AB34" s="11" t="n">
        <v>155332242</v>
      </c>
      <c r="AC34" s="11" t="n">
        <v>-1921760982</v>
      </c>
      <c r="AD34" s="11" t="n">
        <v>-1452732882</v>
      </c>
      <c r="AE34" s="11" t="n">
        <v>-1866048632</v>
      </c>
      <c r="AF34" s="11" t="n">
        <v>-152497251</v>
      </c>
      <c r="AG34" s="11" t="n">
        <v>54970359</v>
      </c>
      <c r="AH34" s="11" t="n">
        <v>57870401</v>
      </c>
      <c r="AI34" s="11" t="n">
        <v>-2106308760</v>
      </c>
      <c r="AJ34" s="11" t="n">
        <v>-2547960167</v>
      </c>
      <c r="AK34" s="11" t="n">
        <v>119145443</v>
      </c>
      <c r="AL34" s="11" t="n">
        <v>-29905360</v>
      </c>
      <c r="AM34" s="11" t="n">
        <v>1384031</v>
      </c>
      <c r="AN34" s="11" t="n">
        <v>-226642248</v>
      </c>
      <c r="AO34" s="11" t="n">
        <v>11929582</v>
      </c>
      <c r="AP34" s="11" t="n">
        <v>-353130240</v>
      </c>
      <c r="AQ34" s="11" t="n">
        <v>-16149337</v>
      </c>
      <c r="AR34" s="11" t="n">
        <v>-39322192</v>
      </c>
      <c r="AS34" s="11" t="n">
        <v>18751676</v>
      </c>
      <c r="AT34" s="11" t="n">
        <v>2316019552</v>
      </c>
      <c r="AU34" s="11" t="n">
        <v>103445032</v>
      </c>
      <c r="AV34" s="11" t="n">
        <v>2949744400</v>
      </c>
      <c r="AW34" s="11" t="n">
        <v>-33282852</v>
      </c>
      <c r="AX34" s="11" t="n">
        <v>148322048</v>
      </c>
      <c r="AY34" s="11" t="n">
        <v>-249298616</v>
      </c>
      <c r="AZ34" s="11" t="n">
        <v>2692779</v>
      </c>
      <c r="BA34" s="11" t="n">
        <v>-357939899</v>
      </c>
      <c r="BB34" s="11" t="n">
        <v>-8585840</v>
      </c>
      <c r="BC34" s="11" t="n">
        <v>-31520748</v>
      </c>
      <c r="BD34" s="11" t="n">
        <v>1707859720</v>
      </c>
      <c r="BE34" s="11" t="n">
        <v>-4993079448</v>
      </c>
      <c r="BF34" s="11" t="n">
        <v>-1502923912</v>
      </c>
      <c r="BG34" s="11" t="n">
        <v>-1921224928</v>
      </c>
      <c r="BH34" s="11" t="n">
        <v>-2398191718</v>
      </c>
      <c r="BI34" s="11" t="n">
        <v>-42584947</v>
      </c>
      <c r="BJ34" s="11" t="n">
        <v>-195185928</v>
      </c>
      <c r="BK34" s="11" t="n">
        <v>-1985918173</v>
      </c>
      <c r="BL34" s="11" t="n">
        <v>-2127157648</v>
      </c>
      <c r="BM34" s="11" t="n">
        <v>123859316</v>
      </c>
      <c r="BN34" s="11" t="n">
        <v>-2357241</v>
      </c>
      <c r="BO34" s="11" t="n">
        <v>364454808</v>
      </c>
      <c r="BP34" s="11" t="n">
        <v>-23647042</v>
      </c>
      <c r="BQ34" s="11" t="n">
        <v>495012240</v>
      </c>
      <c r="BR34" s="11" t="n">
        <v>-47123633</v>
      </c>
      <c r="BS34" s="11" t="n">
        <v>-30729568</v>
      </c>
      <c r="BT34" s="11" t="n">
        <v>997602</v>
      </c>
      <c r="BU34" s="11" t="n">
        <v>154064</v>
      </c>
      <c r="BV34" s="11" t="n">
        <v>4925565</v>
      </c>
      <c r="BW34" s="11" t="n">
        <v>3453844</v>
      </c>
      <c r="BX34" s="11" t="n">
        <v>4521683</v>
      </c>
      <c r="BY34" s="11" t="n">
        <v>-33827556</v>
      </c>
      <c r="BZ34" s="11" t="n">
        <v>-552052440</v>
      </c>
      <c r="CA34" s="11" t="n">
        <v>-553944498</v>
      </c>
      <c r="CB34" s="11" t="n">
        <v>-712105800</v>
      </c>
      <c r="CC34" s="11" t="n">
        <v>81764490</v>
      </c>
      <c r="CD34" s="11" t="n">
        <v>31567896</v>
      </c>
      <c r="CE34" s="11" t="n">
        <v>43351574</v>
      </c>
      <c r="CF34" s="11" t="n">
        <v>-823762005</v>
      </c>
      <c r="CG34" s="11" t="n">
        <v>-1013748240</v>
      </c>
      <c r="CH34" s="11" t="n">
        <v>45367867</v>
      </c>
      <c r="CI34" s="11" t="n">
        <v>-411081984</v>
      </c>
      <c r="CJ34" s="11" t="n">
        <v>6673613</v>
      </c>
      <c r="CK34" s="11" t="n">
        <v>-542898249</v>
      </c>
      <c r="CL34" s="11" t="n">
        <v>32171584</v>
      </c>
      <c r="CM34" s="11" t="n">
        <v>7577240</v>
      </c>
      <c r="CN34" s="11" t="n">
        <v>3092022664</v>
      </c>
      <c r="CO34" s="11" t="n">
        <v>-2387849448</v>
      </c>
      <c r="CP34" s="11" t="n">
        <v>3243872000</v>
      </c>
      <c r="CQ34" s="11" t="n">
        <v>4187442112</v>
      </c>
      <c r="CR34" s="11" t="n">
        <v>-4044736018</v>
      </c>
      <c r="CS34" s="11" t="n">
        <v>189322139</v>
      </c>
      <c r="CT34" s="11" t="n">
        <v>-10986544</v>
      </c>
      <c r="CU34" s="11" t="n">
        <v>4097166977</v>
      </c>
      <c r="CV34" s="11" t="n">
        <v>5486160352</v>
      </c>
      <c r="CW34" s="11" t="n">
        <v>-267919912</v>
      </c>
      <c r="CX34" s="11" t="n">
        <v>-29691722</v>
      </c>
      <c r="CY34" s="11" t="n">
        <v>-629216382</v>
      </c>
      <c r="CZ34" s="11" t="n">
        <v>-615935104</v>
      </c>
      <c r="DA34" s="11" t="n">
        <v>-791748272</v>
      </c>
      <c r="DB34" s="11" t="n">
        <v>49427441</v>
      </c>
      <c r="DC34" s="11" t="n">
        <v>7675556</v>
      </c>
      <c r="DD34" s="11" t="n">
        <v>12306159</v>
      </c>
      <c r="DE34" s="11" t="n">
        <v>-862681876</v>
      </c>
      <c r="DF34" s="11" t="n">
        <v>-1057225787</v>
      </c>
      <c r="DG34" s="11" t="n">
        <v>50609632</v>
      </c>
      <c r="DH34" s="11" t="n">
        <v>4905227556</v>
      </c>
      <c r="DI34" s="11" t="n">
        <v>4398560934</v>
      </c>
      <c r="DJ34" s="11" t="n">
        <v>5652817016</v>
      </c>
      <c r="DK34" s="11" t="n">
        <v>-8542961838</v>
      </c>
      <c r="DL34" s="11" t="n">
        <v>-11008467960</v>
      </c>
      <c r="DM34" s="11" t="n">
        <v>-26424272</v>
      </c>
      <c r="DN34" s="11" t="n">
        <v>-6054187839</v>
      </c>
      <c r="DO34" s="11" t="n">
        <v>-7377132566</v>
      </c>
      <c r="DP34" s="11" t="n">
        <v>361746505</v>
      </c>
      <c r="DQ34" s="11" t="n">
        <v>-738960797</v>
      </c>
      <c r="DR34" s="11" t="n">
        <v>-671954</v>
      </c>
      <c r="DS34" s="11" t="n">
        <v>18479</v>
      </c>
      <c r="DT34" s="11" t="n">
        <v>-2870067</v>
      </c>
      <c r="DU34" s="11" t="n">
        <v>161749</v>
      </c>
      <c r="DV34" s="11" t="n">
        <v>-4875316</v>
      </c>
      <c r="DW34" s="11" t="n">
        <v>-371517</v>
      </c>
      <c r="DX34" s="11" t="n">
        <v>-650101</v>
      </c>
      <c r="DY34" s="11" t="n">
        <v>-1033254</v>
      </c>
      <c r="DZ34" s="11" t="n">
        <v>308214116</v>
      </c>
      <c r="EA34" s="11" t="n">
        <v>-9928698</v>
      </c>
      <c r="EB34" s="11" t="n">
        <v>418915530</v>
      </c>
      <c r="EC34" s="11" t="n">
        <v>-1745126</v>
      </c>
      <c r="ED34" s="11" t="n">
        <v>30241092</v>
      </c>
      <c r="EE34" s="11" t="n">
        <v>-4062749</v>
      </c>
      <c r="EF34" s="11" t="n">
        <v>24324</v>
      </c>
      <c r="EG34" s="11" t="n">
        <v>-4023639</v>
      </c>
      <c r="EH34" s="11" t="n">
        <v>619268</v>
      </c>
      <c r="EI34" s="11" t="n">
        <v>168009</v>
      </c>
      <c r="EJ34" s="11" t="n">
        <v>31783867</v>
      </c>
      <c r="EK34" s="11" t="n">
        <v>-446943649</v>
      </c>
      <c r="EL34" s="11" t="n">
        <v>-177862491</v>
      </c>
      <c r="EM34" s="11" t="n">
        <v>-169023988</v>
      </c>
      <c r="EN34" s="11" t="n">
        <v>-28802013</v>
      </c>
      <c r="EO34" s="11" t="n">
        <v>5909560</v>
      </c>
      <c r="EP34" s="11" t="n">
        <v>2326335</v>
      </c>
      <c r="EQ34" s="11" t="n">
        <v>-244276069</v>
      </c>
      <c r="ER34" s="11" t="n">
        <v>-185879577</v>
      </c>
      <c r="ES34" s="11" t="n">
        <v>18408385</v>
      </c>
      <c r="ET34" s="11" t="n">
        <v>62573</v>
      </c>
      <c r="EU34" s="11" t="n">
        <v>-12158967</v>
      </c>
      <c r="EV34" s="11" t="n">
        <v>441929</v>
      </c>
      <c r="EW34" s="11" t="n">
        <v>-16887434</v>
      </c>
      <c r="EX34" s="11" t="n">
        <v>-979623</v>
      </c>
      <c r="EY34" s="11" t="n">
        <v>-2827815</v>
      </c>
      <c r="EZ34" s="11" t="n">
        <v>67113</v>
      </c>
      <c r="FA34" s="11" t="n">
        <v>2909</v>
      </c>
      <c r="FB34" s="11" t="n">
        <v>10417</v>
      </c>
      <c r="FC34" s="11" t="n">
        <v>-7656</v>
      </c>
      <c r="FD34" s="11" t="n">
        <v>17228</v>
      </c>
      <c r="FE34" s="11" t="n">
        <v>-1039260</v>
      </c>
      <c r="FF34" s="11" t="n">
        <v>16088511</v>
      </c>
      <c r="FG34" s="11" t="n">
        <v>2538387</v>
      </c>
      <c r="FH34" s="11" t="n">
        <v>-314697</v>
      </c>
      <c r="FI34" s="11" t="n">
        <v>858663</v>
      </c>
      <c r="FJ34" s="11" t="n">
        <v>-8529</v>
      </c>
      <c r="FK34" s="11" t="n">
        <v>253139</v>
      </c>
      <c r="FL34" s="11" t="n">
        <v>2229315</v>
      </c>
      <c r="FM34" s="11" t="n">
        <v>-4178789</v>
      </c>
      <c r="FN34" s="11" t="n">
        <v>-615708</v>
      </c>
      <c r="FO34" s="11" t="n">
        <v>10004525</v>
      </c>
      <c r="FP34" s="11" t="n">
        <v>-245022</v>
      </c>
      <c r="FQ34" s="11" t="n">
        <v>13042251</v>
      </c>
      <c r="FR34" s="11" t="n">
        <v>-1668860</v>
      </c>
      <c r="FS34" s="11" t="n">
        <v>-1532211</v>
      </c>
      <c r="FT34" s="11" t="n">
        <v>-23046287</v>
      </c>
      <c r="FU34" s="11" t="n">
        <v>165733721</v>
      </c>
      <c r="FV34" s="11" t="n">
        <v>480914715</v>
      </c>
      <c r="FW34" s="11" t="n">
        <v>749860944</v>
      </c>
      <c r="FX34" s="11" t="n">
        <v>25984947</v>
      </c>
      <c r="FY34" s="11" t="n">
        <v>-15622502</v>
      </c>
      <c r="FZ34" s="11" t="n">
        <v>-21894513</v>
      </c>
      <c r="GA34" s="11" t="n">
        <v>654583481</v>
      </c>
      <c r="GB34" s="11" t="n">
        <v>1002927543</v>
      </c>
      <c r="GC34" s="11" t="n">
        <v>-51431739</v>
      </c>
      <c r="GD34" s="11" t="n">
        <v>-727907</v>
      </c>
      <c r="GE34" s="11" t="n">
        <v>12323006</v>
      </c>
      <c r="GF34" s="11" t="n">
        <v>-565860</v>
      </c>
      <c r="GG34" s="11" t="n">
        <v>-4397891</v>
      </c>
      <c r="GH34" s="11" t="n">
        <v>647121</v>
      </c>
      <c r="GI34" s="11" t="n">
        <v>-107564</v>
      </c>
      <c r="GJ34" s="11" t="n">
        <v>-3771</v>
      </c>
      <c r="GK34" s="11" t="n">
        <v>1317932</v>
      </c>
      <c r="GL34" s="11" t="n">
        <v>-3845955</v>
      </c>
      <c r="GM34" s="11" t="n">
        <v>646952</v>
      </c>
      <c r="GN34" s="11" t="n">
        <v>-16328691</v>
      </c>
      <c r="GO34" s="11" t="n">
        <v>36293793</v>
      </c>
      <c r="GP34" s="11" t="n">
        <v>64689137</v>
      </c>
      <c r="GQ34" s="11" t="n">
        <v>-601737414</v>
      </c>
      <c r="GR34" s="11" t="n">
        <v>-996491063</v>
      </c>
      <c r="GS34" s="11" t="n">
        <v>-168992949</v>
      </c>
      <c r="GT34" s="11" t="n">
        <v>-29852847</v>
      </c>
      <c r="GU34" s="11" t="n">
        <v>-57425088</v>
      </c>
      <c r="GV34" s="11" t="n">
        <v>9371195</v>
      </c>
      <c r="GW34" s="11" t="n">
        <v>-294373181</v>
      </c>
      <c r="GX34" s="11" t="n">
        <v>702362</v>
      </c>
      <c r="GY34" s="11" t="n">
        <v>-123696096</v>
      </c>
      <c r="GZ34" s="11" t="n">
        <v>5916484</v>
      </c>
      <c r="HA34" s="11" t="n">
        <v>-170273600</v>
      </c>
      <c r="HB34" s="11" t="n">
        <v>481546</v>
      </c>
      <c r="HC34" s="11" t="n">
        <v>-12992944</v>
      </c>
      <c r="HD34" s="11" t="n">
        <v>401745</v>
      </c>
      <c r="HE34" s="11" t="n">
        <v>6363</v>
      </c>
      <c r="HF34" s="11" t="n">
        <v>-413348</v>
      </c>
      <c r="HG34" s="11" t="n">
        <v>-401572</v>
      </c>
      <c r="HH34" s="11" t="n">
        <v>-322209</v>
      </c>
      <c r="HI34" s="11" t="n">
        <v>-4504794</v>
      </c>
      <c r="HJ34" s="11" t="n">
        <v>170191584</v>
      </c>
      <c r="HK34" s="11" t="n">
        <v>70447191</v>
      </c>
      <c r="HL34" s="11" t="n">
        <v>64177512</v>
      </c>
      <c r="HM34" s="11" t="n">
        <v>-1939336</v>
      </c>
      <c r="HN34" s="11" t="n">
        <v>-3387083</v>
      </c>
      <c r="HO34" s="11" t="n">
        <v>-2596482</v>
      </c>
      <c r="HP34" s="11" t="n">
        <v>97636484</v>
      </c>
      <c r="HQ34" s="11" t="n">
        <v>70466624</v>
      </c>
      <c r="HR34" s="11" t="n">
        <v>-7649561</v>
      </c>
      <c r="HS34" s="11" t="n">
        <v>131956052</v>
      </c>
      <c r="HT34" s="11" t="n">
        <v>-1280310</v>
      </c>
      <c r="HU34" s="11" t="n">
        <v>176045490</v>
      </c>
      <c r="HV34" s="11" t="n">
        <v>-1083632</v>
      </c>
      <c r="HW34" s="11" t="n">
        <v>11630532</v>
      </c>
      <c r="HX34" s="11" t="n">
        <v>-886076584</v>
      </c>
      <c r="HY34" s="11" t="n">
        <v>985947680</v>
      </c>
      <c r="HZ34" s="11" t="n">
        <v>100372940</v>
      </c>
      <c r="IA34" s="11" t="n">
        <v>392740768</v>
      </c>
      <c r="IB34" s="11" t="n">
        <v>1172568180</v>
      </c>
      <c r="IC34" s="11" t="n">
        <v>-8250394</v>
      </c>
      <c r="ID34" s="11" t="n">
        <v>74287704</v>
      </c>
      <c r="IE34" s="11" t="n">
        <v>142006430</v>
      </c>
      <c r="IF34" s="11" t="n">
        <v>437063280</v>
      </c>
      <c r="IG34" s="11" t="n">
        <v>-12072028</v>
      </c>
      <c r="IH34" s="11" t="n">
        <v>-1927773</v>
      </c>
      <c r="II34" s="11" t="n">
        <v>178354133</v>
      </c>
      <c r="IJ34" s="11" t="n">
        <v>74825392</v>
      </c>
      <c r="IK34" s="11" t="n">
        <v>67187484</v>
      </c>
      <c r="IL34" s="11" t="n">
        <v>841395</v>
      </c>
      <c r="IM34" s="11" t="n">
        <v>-741828</v>
      </c>
      <c r="IN34" s="11" t="n">
        <v>-481977</v>
      </c>
      <c r="IO34" s="11" t="n">
        <v>101290868</v>
      </c>
      <c r="IP34" s="11" t="n">
        <v>73916277</v>
      </c>
      <c r="IQ34" s="11" t="n">
        <v>-7146816</v>
      </c>
      <c r="IR34" s="11" t="n">
        <v>-1183232866</v>
      </c>
      <c r="IS34" s="11" t="n">
        <v>-500981429</v>
      </c>
      <c r="IT34" s="11" t="n">
        <v>-445422096</v>
      </c>
      <c r="IU34" s="11" t="n">
        <v>423413645</v>
      </c>
      <c r="IV34" s="11" t="n">
        <v>-28824712</v>
      </c>
      <c r="IW34" s="11" t="n">
        <v>-171596348</v>
      </c>
      <c r="IX34" s="11" t="n">
        <v>673979011</v>
      </c>
      <c r="IY34" s="11" t="n">
        <v>490237674</v>
      </c>
      <c r="IZ34" s="11" t="n">
        <v>-46149135</v>
      </c>
      <c r="JA34" s="11" t="n">
        <v>-191847757</v>
      </c>
      <c r="JB34" s="11" t="n">
        <v>-1190499</v>
      </c>
      <c r="JC34" s="11" t="n">
        <v>-89021</v>
      </c>
      <c r="JD34" s="11" t="n">
        <v>-1795602</v>
      </c>
      <c r="JE34" s="11" t="n">
        <v>-1068796</v>
      </c>
      <c r="JF34" s="11" t="n">
        <v>-1745867</v>
      </c>
      <c r="JG34" s="11" t="n">
        <v>25706286</v>
      </c>
      <c r="JH34" s="11" t="n">
        <v>27618816</v>
      </c>
      <c r="JI34" s="11" t="n">
        <v>189046635</v>
      </c>
      <c r="JJ34" s="11" t="n">
        <v>285449448</v>
      </c>
      <c r="JK34" s="11" t="n">
        <v>-36706964</v>
      </c>
      <c r="JL34" s="11" t="n">
        <v>-8942179</v>
      </c>
      <c r="JM34" s="11" t="n">
        <v>-16353446</v>
      </c>
      <c r="JN34" s="11" t="n">
        <v>260339266</v>
      </c>
      <c r="JO34" s="11" t="n">
        <v>390033776</v>
      </c>
      <c r="JP34" s="11" t="n">
        <v>-20968563</v>
      </c>
      <c r="JQ34" s="11" t="n">
        <v>-40134</v>
      </c>
      <c r="JR34" s="11" t="n">
        <v>-1727691</v>
      </c>
      <c r="JS34" s="11" t="n">
        <v>-1292004</v>
      </c>
      <c r="JT34" s="11" t="n">
        <v>-1544763</v>
      </c>
      <c r="JU34" s="11" t="n">
        <v>-68657</v>
      </c>
      <c r="JV34" s="11" t="n">
        <v>-60580</v>
      </c>
      <c r="JW34" s="11" t="n">
        <v>-56655</v>
      </c>
      <c r="JX34" s="11" t="n">
        <v>-397628</v>
      </c>
      <c r="JY34" s="11" t="n">
        <v>203729</v>
      </c>
      <c r="JZ34" s="11" t="n">
        <v>507880</v>
      </c>
      <c r="KA34" s="11" t="n">
        <v>36374718</v>
      </c>
      <c r="KB34" s="11" t="n">
        <v>21524946</v>
      </c>
      <c r="KC34" s="11" t="n">
        <v>23732814</v>
      </c>
      <c r="KD34" s="11" t="n">
        <v>-244376979</v>
      </c>
      <c r="KE34" s="11" t="n">
        <v>-378416040</v>
      </c>
      <c r="KF34" s="11" t="n">
        <v>-64485213</v>
      </c>
      <c r="KG34" s="11" t="n">
        <v>-18082977</v>
      </c>
      <c r="KH34" s="11" t="n">
        <v>-10748638</v>
      </c>
      <c r="KI34" s="11" t="n">
        <v>5437735</v>
      </c>
      <c r="KJ34" s="11" t="n">
        <v>-115909321</v>
      </c>
      <c r="KK34" s="11" t="n">
        <v>-18894911</v>
      </c>
      <c r="KL34" s="11" t="n">
        <v>-38952237</v>
      </c>
      <c r="KM34" s="11" t="n">
        <v>-202636480</v>
      </c>
      <c r="KN34" s="11" t="n">
        <v>-308290568</v>
      </c>
      <c r="KO34" s="11" t="n">
        <v>25586055</v>
      </c>
      <c r="KP34" s="11" t="n">
        <v>1810924</v>
      </c>
      <c r="KQ34" s="11" t="n">
        <v>4656591</v>
      </c>
      <c r="KR34" s="11" t="n">
        <v>-270661692</v>
      </c>
      <c r="KS34" s="11" t="n">
        <v>-407864043</v>
      </c>
      <c r="KT34" s="11" t="n">
        <v>20391968</v>
      </c>
      <c r="KU34" s="11" t="n">
        <v>402740594</v>
      </c>
      <c r="KV34" s="11" t="n">
        <v>1375063705</v>
      </c>
      <c r="KW34" s="11" t="n">
        <v>2126388680</v>
      </c>
      <c r="KX34" s="11" t="n">
        <v>-1484427685</v>
      </c>
      <c r="KY34" s="11" t="n">
        <v>-2187548312</v>
      </c>
      <c r="KZ34" s="11" t="n">
        <v>368604360</v>
      </c>
      <c r="LA34" s="11" t="n">
        <v>-1823407529</v>
      </c>
      <c r="LB34" s="11" t="n">
        <v>-2780140086</v>
      </c>
      <c r="LC34" s="11" t="n">
        <v>135082985</v>
      </c>
      <c r="LD34" s="11" t="n">
        <v>342962323</v>
      </c>
      <c r="LE34" s="11" t="n">
        <v>26107757</v>
      </c>
      <c r="LF34" s="11" t="n">
        <v>13674676</v>
      </c>
      <c r="LG34" s="11" t="n">
        <v>14124519</v>
      </c>
      <c r="LH34" s="11" t="n">
        <v>-251799268</v>
      </c>
      <c r="LI34" s="11" t="n">
        <v>-396857843</v>
      </c>
      <c r="LJ34" s="11" t="n">
        <v>-71639968</v>
      </c>
      <c r="LK34" s="11" t="n">
        <v>-16014992</v>
      </c>
      <c r="LL34" s="11" t="n">
        <v>-12692178</v>
      </c>
      <c r="LM34" s="11" t="n">
        <v>2016360</v>
      </c>
      <c r="LN34" s="11" t="n">
        <v>-121028936</v>
      </c>
      <c r="LO34" s="11" t="n">
        <v>1608500931</v>
      </c>
      <c r="LP34" s="11" t="n">
        <v>2637044534</v>
      </c>
      <c r="LQ34" s="11" t="n">
        <v>511013935</v>
      </c>
      <c r="LR34" s="11" t="n">
        <v>-982837147</v>
      </c>
      <c r="LS34" s="11" t="n">
        <v>-835646930</v>
      </c>
    </row>
    <row r="35" customFormat="false" ht="15" hidden="false" customHeight="true" outlineLevel="0" collapsed="false">
      <c r="A35" s="7" t="s">
        <v>101</v>
      </c>
      <c r="B35" s="11" t="n">
        <v>-3436650</v>
      </c>
      <c r="C35" s="11" t="n">
        <v>95012108</v>
      </c>
      <c r="D35" s="11" t="n">
        <v>-1771818</v>
      </c>
      <c r="E35" s="11" t="n">
        <v>-239596188</v>
      </c>
      <c r="F35" s="11" t="n">
        <v>-894058</v>
      </c>
      <c r="G35" s="11" t="n">
        <v>-279441414</v>
      </c>
      <c r="H35" s="11" t="n">
        <v>151181650</v>
      </c>
      <c r="I35" s="11" t="n">
        <v>24282404</v>
      </c>
      <c r="J35" s="11" t="n">
        <v>-16231736</v>
      </c>
      <c r="K35" s="11" t="n">
        <v>96756</v>
      </c>
      <c r="L35" s="11" t="n">
        <v>-15531654</v>
      </c>
      <c r="M35" s="11" t="n">
        <v>1078636</v>
      </c>
      <c r="N35" s="11" t="n">
        <v>-34134912</v>
      </c>
      <c r="O35" s="11" t="n">
        <v>-3410350</v>
      </c>
      <c r="P35" s="11" t="n">
        <v>1380832</v>
      </c>
      <c r="Q35" s="11" t="n">
        <v>5693536</v>
      </c>
      <c r="R35" s="11" t="n">
        <v>1561042660</v>
      </c>
      <c r="S35" s="11" t="n">
        <v>-25598000</v>
      </c>
      <c r="T35" s="11" t="n">
        <v>2263555848</v>
      </c>
      <c r="U35" s="11" t="n">
        <v>-619765204</v>
      </c>
      <c r="V35" s="11" t="n">
        <v>-152864368</v>
      </c>
      <c r="W35" s="11" t="n">
        <v>-14753214</v>
      </c>
      <c r="X35" s="11" t="n">
        <v>530936</v>
      </c>
      <c r="Y35" s="11" t="n">
        <v>-25466220</v>
      </c>
      <c r="Z35" s="11" t="n">
        <v>2498134</v>
      </c>
      <c r="AA35" s="11" t="n">
        <v>1395560</v>
      </c>
      <c r="AB35" s="11" t="n">
        <v>79240910</v>
      </c>
      <c r="AC35" s="11" t="n">
        <v>-1116903798</v>
      </c>
      <c r="AD35" s="11" t="n">
        <v>-921015506</v>
      </c>
      <c r="AE35" s="11" t="n">
        <v>-13473532</v>
      </c>
      <c r="AF35" s="11" t="n">
        <v>-96586548</v>
      </c>
      <c r="AG35" s="11" t="n">
        <v>46563054</v>
      </c>
      <c r="AH35" s="11" t="n">
        <v>7980568</v>
      </c>
      <c r="AI35" s="11" t="n">
        <v>-1778931618</v>
      </c>
      <c r="AJ35" s="11" t="n">
        <v>-128909280</v>
      </c>
      <c r="AK35" s="11" t="n">
        <v>-84840748</v>
      </c>
      <c r="AL35" s="11" t="n">
        <v>-53366045</v>
      </c>
      <c r="AM35" s="11" t="n">
        <v>-632505</v>
      </c>
      <c r="AN35" s="11" t="n">
        <v>69278595</v>
      </c>
      <c r="AO35" s="11" t="n">
        <v>-8330480</v>
      </c>
      <c r="AP35" s="11" t="n">
        <v>73022985</v>
      </c>
      <c r="AQ35" s="11" t="n">
        <v>-62166100</v>
      </c>
      <c r="AR35" s="11" t="n">
        <v>-11207435</v>
      </c>
      <c r="AS35" s="11" t="n">
        <v>45000379</v>
      </c>
      <c r="AT35" s="11" t="n">
        <v>1805245108</v>
      </c>
      <c r="AU35" s="11" t="n">
        <v>244193853</v>
      </c>
      <c r="AV35" s="11" t="n">
        <v>2320461885</v>
      </c>
      <c r="AW35" s="11" t="n">
        <v>-628936473</v>
      </c>
      <c r="AX35" s="11" t="n">
        <v>-67220648</v>
      </c>
      <c r="AY35" s="11" t="n">
        <v>79814601</v>
      </c>
      <c r="AZ35" s="11" t="n">
        <v>-4130359</v>
      </c>
      <c r="BA35" s="11" t="n">
        <v>89078472</v>
      </c>
      <c r="BB35" s="11" t="n">
        <v>-59875217</v>
      </c>
      <c r="BC35" s="11" t="n">
        <v>-10247269</v>
      </c>
      <c r="BD35" s="11" t="n">
        <v>-598807075</v>
      </c>
      <c r="BE35" s="11" t="n">
        <v>-542179071</v>
      </c>
      <c r="BF35" s="11" t="n">
        <v>-1286458697</v>
      </c>
      <c r="BG35" s="11" t="n">
        <v>-291856276</v>
      </c>
      <c r="BH35" s="11" t="n">
        <v>696366489</v>
      </c>
      <c r="BI35" s="11" t="n">
        <v>-382638852</v>
      </c>
      <c r="BJ35" s="11" t="n">
        <v>-61776491</v>
      </c>
      <c r="BK35" s="11" t="n">
        <v>-1842505791</v>
      </c>
      <c r="BL35" s="11" t="n">
        <v>-395340771</v>
      </c>
      <c r="BM35" s="11" t="n">
        <v>53777999</v>
      </c>
      <c r="BN35" s="11" t="n">
        <v>-4489878</v>
      </c>
      <c r="BO35" s="11" t="n">
        <v>568395039</v>
      </c>
      <c r="BP35" s="11" t="n">
        <v>-56095526</v>
      </c>
      <c r="BQ35" s="11" t="n">
        <v>874961100</v>
      </c>
      <c r="BR35" s="11" t="n">
        <v>-240660769</v>
      </c>
      <c r="BS35" s="11" t="n">
        <v>-74376404</v>
      </c>
      <c r="BT35" s="11" t="n">
        <v>908073</v>
      </c>
      <c r="BU35" s="11" t="n">
        <v>36018</v>
      </c>
      <c r="BV35" s="11" t="n">
        <v>4226526</v>
      </c>
      <c r="BW35" s="11" t="n">
        <v>2377899</v>
      </c>
      <c r="BX35" s="11" t="n">
        <v>61398</v>
      </c>
      <c r="BY35" s="11" t="n">
        <v>-15904950</v>
      </c>
      <c r="BZ35" s="11" t="n">
        <v>-358096113</v>
      </c>
      <c r="CA35" s="11" t="n">
        <v>-349702941</v>
      </c>
      <c r="CB35" s="11" t="n">
        <v>-22815213</v>
      </c>
      <c r="CC35" s="11" t="n">
        <v>59824242</v>
      </c>
      <c r="CD35" s="11" t="n">
        <v>27778344</v>
      </c>
      <c r="CE35" s="11" t="n">
        <v>170442</v>
      </c>
      <c r="CF35" s="11" t="n">
        <v>-689935923</v>
      </c>
      <c r="CG35" s="11" t="n">
        <v>-81978768</v>
      </c>
      <c r="CH35" s="11" t="n">
        <v>-36099753</v>
      </c>
      <c r="CI35" s="11" t="n">
        <v>-631175169</v>
      </c>
      <c r="CJ35" s="11" t="n">
        <v>26757076</v>
      </c>
      <c r="CK35" s="11" t="n">
        <v>-933030954</v>
      </c>
      <c r="CL35" s="11" t="n">
        <v>255849461</v>
      </c>
      <c r="CM35" s="11" t="n">
        <v>68372668</v>
      </c>
      <c r="CN35" s="11" t="n">
        <v>4498454935</v>
      </c>
      <c r="CO35" s="11" t="n">
        <v>-4882884273</v>
      </c>
      <c r="CP35" s="11" t="n">
        <v>1442252369</v>
      </c>
      <c r="CQ35" s="11" t="n">
        <v>1800016408</v>
      </c>
      <c r="CR35" s="11" t="n">
        <v>-6442816818</v>
      </c>
      <c r="CS35" s="11" t="n">
        <v>1762326639</v>
      </c>
      <c r="CT35" s="11" t="n">
        <v>410992388</v>
      </c>
      <c r="CU35" s="11" t="n">
        <v>152703717</v>
      </c>
      <c r="CV35" s="11" t="n">
        <v>2131920372</v>
      </c>
      <c r="CW35" s="11" t="n">
        <v>-573410684</v>
      </c>
      <c r="CX35" s="11" t="n">
        <v>-10474905</v>
      </c>
      <c r="CY35" s="11" t="n">
        <v>-405449334</v>
      </c>
      <c r="CZ35" s="11" t="n">
        <v>-386024028</v>
      </c>
      <c r="DA35" s="11" t="n">
        <v>-22459467</v>
      </c>
      <c r="DB35" s="11" t="n">
        <v>32672466</v>
      </c>
      <c r="DC35" s="11" t="n">
        <v>12118467</v>
      </c>
      <c r="DD35" s="11" t="n">
        <v>-182592</v>
      </c>
      <c r="DE35" s="11" t="n">
        <v>-734988294</v>
      </c>
      <c r="DF35" s="11" t="n">
        <v>-77121270</v>
      </c>
      <c r="DG35" s="11" t="n">
        <v>-32712393</v>
      </c>
      <c r="DH35" s="11" t="n">
        <v>2970717795</v>
      </c>
      <c r="DI35" s="11" t="n">
        <v>2727300315</v>
      </c>
      <c r="DJ35" s="11" t="n">
        <v>130198245</v>
      </c>
      <c r="DK35" s="11" t="n">
        <v>-3912813810</v>
      </c>
      <c r="DL35" s="11" t="n">
        <v>-1330030827</v>
      </c>
      <c r="DM35" s="11" t="n">
        <v>-1049561829</v>
      </c>
      <c r="DN35" s="11" t="n">
        <v>-5069934405</v>
      </c>
      <c r="DO35" s="11" t="n">
        <v>-457887402</v>
      </c>
      <c r="DP35" s="11" t="n">
        <v>-198167559</v>
      </c>
      <c r="DQ35" s="11" t="n">
        <v>-1666782657</v>
      </c>
      <c r="DR35" s="11" t="n">
        <v>-1110862</v>
      </c>
      <c r="DS35" s="11" t="n">
        <v>1902</v>
      </c>
      <c r="DT35" s="11" t="n">
        <v>-1197618</v>
      </c>
      <c r="DU35" s="11" t="n">
        <v>18362</v>
      </c>
      <c r="DV35" s="11" t="n">
        <v>-2268504</v>
      </c>
      <c r="DW35" s="11" t="n">
        <v>-43100</v>
      </c>
      <c r="DX35" s="11" t="n">
        <v>-170056</v>
      </c>
      <c r="DY35" s="11" t="n">
        <v>520138</v>
      </c>
      <c r="DZ35" s="11" t="n">
        <v>110557232</v>
      </c>
      <c r="EA35" s="11" t="n">
        <v>-218654</v>
      </c>
      <c r="EB35" s="11" t="n">
        <v>153043282</v>
      </c>
      <c r="EC35" s="11" t="n">
        <v>-47676350</v>
      </c>
      <c r="ED35" s="11" t="n">
        <v>-3147548</v>
      </c>
      <c r="EE35" s="11" t="n">
        <v>-750054</v>
      </c>
      <c r="EF35" s="11" t="n">
        <v>8972</v>
      </c>
      <c r="EG35" s="11" t="n">
        <v>-1324218</v>
      </c>
      <c r="EH35" s="11" t="n">
        <v>61450</v>
      </c>
      <c r="EI35" s="11" t="n">
        <v>-74236</v>
      </c>
      <c r="EJ35" s="11" t="n">
        <v>1591726</v>
      </c>
      <c r="EK35" s="11" t="n">
        <v>-60774546</v>
      </c>
      <c r="EL35" s="11" t="n">
        <v>-55689250</v>
      </c>
      <c r="EM35" s="11" t="n">
        <v>-20317988</v>
      </c>
      <c r="EN35" s="11" t="n">
        <v>-2083214</v>
      </c>
      <c r="EO35" s="11" t="n">
        <v>796550</v>
      </c>
      <c r="EP35" s="11" t="n">
        <v>85500</v>
      </c>
      <c r="EQ35" s="11" t="n">
        <v>-103298300</v>
      </c>
      <c r="ER35" s="11" t="n">
        <v>-29856232</v>
      </c>
      <c r="ES35" s="11" t="n">
        <v>7176400</v>
      </c>
      <c r="ET35" s="11" t="n">
        <v>-22292</v>
      </c>
      <c r="EU35" s="11" t="n">
        <v>-636054</v>
      </c>
      <c r="EV35" s="11" t="n">
        <v>-261932</v>
      </c>
      <c r="EW35" s="11" t="n">
        <v>319328</v>
      </c>
      <c r="EX35" s="11" t="n">
        <v>898794</v>
      </c>
      <c r="EY35" s="11" t="n">
        <v>-1249536</v>
      </c>
      <c r="EZ35" s="11" t="n">
        <v>25122</v>
      </c>
      <c r="FA35" s="11" t="n">
        <v>80</v>
      </c>
      <c r="FB35" s="11" t="n">
        <v>44976</v>
      </c>
      <c r="FC35" s="11" t="n">
        <v>-674</v>
      </c>
      <c r="FD35" s="11" t="n">
        <v>5552</v>
      </c>
      <c r="FE35" s="11" t="n">
        <v>-292902</v>
      </c>
      <c r="FF35" s="11" t="n">
        <v>1643160</v>
      </c>
      <c r="FG35" s="11" t="n">
        <v>993666</v>
      </c>
      <c r="FH35" s="11" t="n">
        <v>-1249752</v>
      </c>
      <c r="FI35" s="11" t="n">
        <v>529616</v>
      </c>
      <c r="FJ35" s="11" t="n">
        <v>-4694</v>
      </c>
      <c r="FK35" s="11" t="n">
        <v>60752</v>
      </c>
      <c r="FL35" s="11" t="n">
        <v>1823048</v>
      </c>
      <c r="FM35" s="11" t="n">
        <v>-2600576</v>
      </c>
      <c r="FN35" s="11" t="n">
        <v>-186072</v>
      </c>
      <c r="FO35" s="11" t="n">
        <v>-1920766</v>
      </c>
      <c r="FP35" s="11" t="n">
        <v>127032</v>
      </c>
      <c r="FQ35" s="11" t="n">
        <v>-3220684</v>
      </c>
      <c r="FR35" s="11" t="n">
        <v>535894</v>
      </c>
      <c r="FS35" s="11" t="n">
        <v>648232</v>
      </c>
      <c r="FT35" s="11" t="n">
        <v>26193670</v>
      </c>
      <c r="FU35" s="11" t="n">
        <v>-119409802</v>
      </c>
      <c r="FV35" s="11" t="n">
        <v>-62153034</v>
      </c>
      <c r="FW35" s="11" t="n">
        <v>126160812</v>
      </c>
      <c r="FX35" s="11" t="n">
        <v>-36023476</v>
      </c>
      <c r="FY35" s="11" t="n">
        <v>11418598</v>
      </c>
      <c r="FZ35" s="11" t="n">
        <v>496216</v>
      </c>
      <c r="GA35" s="11" t="n">
        <v>-137531734</v>
      </c>
      <c r="GB35" s="11" t="n">
        <v>171243584</v>
      </c>
      <c r="GC35" s="11" t="n">
        <v>-56174676</v>
      </c>
      <c r="GD35" s="11" t="n">
        <v>-150052</v>
      </c>
      <c r="GE35" s="11" t="n">
        <v>-245754</v>
      </c>
      <c r="GF35" s="11" t="n">
        <v>-545852</v>
      </c>
      <c r="GG35" s="11" t="n">
        <v>-1208908</v>
      </c>
      <c r="GH35" s="11" t="n">
        <v>267856</v>
      </c>
      <c r="GI35" s="11" t="n">
        <v>-5764</v>
      </c>
      <c r="GJ35" s="11" t="n">
        <v>29312</v>
      </c>
      <c r="GK35" s="11" t="n">
        <v>-983834</v>
      </c>
      <c r="GL35" s="11" t="n">
        <v>-2110000</v>
      </c>
      <c r="GM35" s="11" t="n">
        <v>153068</v>
      </c>
      <c r="GN35" s="11" t="n">
        <v>12679774</v>
      </c>
      <c r="GO35" s="11" t="n">
        <v>12299288</v>
      </c>
      <c r="GP35" s="11" t="n">
        <v>6630196</v>
      </c>
      <c r="GQ35" s="11" t="n">
        <v>-25982198</v>
      </c>
      <c r="GR35" s="11" t="n">
        <v>-91296904</v>
      </c>
      <c r="GS35" s="11" t="n">
        <v>-74971356</v>
      </c>
      <c r="GT35" s="11" t="n">
        <v>-22442382</v>
      </c>
      <c r="GU35" s="11" t="n">
        <v>-9358544</v>
      </c>
      <c r="GV35" s="11" t="n">
        <v>2657300</v>
      </c>
      <c r="GW35" s="11" t="n">
        <v>-142412984</v>
      </c>
      <c r="GX35" s="11" t="n">
        <v>233986</v>
      </c>
      <c r="GY35" s="11" t="n">
        <v>-40990818</v>
      </c>
      <c r="GZ35" s="11" t="n">
        <v>2977877</v>
      </c>
      <c r="HA35" s="11" t="n">
        <v>-58830415</v>
      </c>
      <c r="HB35" s="11" t="n">
        <v>19425278</v>
      </c>
      <c r="HC35" s="11" t="n">
        <v>981973</v>
      </c>
      <c r="HD35" s="11" t="n">
        <v>-182076</v>
      </c>
      <c r="HE35" s="11" t="n">
        <v>-1231</v>
      </c>
      <c r="HF35" s="11" t="n">
        <v>-377097</v>
      </c>
      <c r="HG35" s="11" t="n">
        <v>-42338</v>
      </c>
      <c r="HH35" s="11" t="n">
        <v>-37501</v>
      </c>
      <c r="HI35" s="11" t="n">
        <v>2532885</v>
      </c>
      <c r="HJ35" s="11" t="n">
        <v>20282871</v>
      </c>
      <c r="HK35" s="11" t="n">
        <v>22532742</v>
      </c>
      <c r="HL35" s="11" t="n">
        <v>7333731</v>
      </c>
      <c r="HM35" s="11" t="n">
        <v>-5108719</v>
      </c>
      <c r="HN35" s="11" t="n">
        <v>-436628</v>
      </c>
      <c r="HO35" s="11" t="n">
        <v>-472099</v>
      </c>
      <c r="HP35" s="11" t="n">
        <v>41951126</v>
      </c>
      <c r="HQ35" s="11" t="n">
        <v>11011336</v>
      </c>
      <c r="HR35" s="11" t="n">
        <v>-2935614</v>
      </c>
      <c r="HS35" s="11" t="n">
        <v>42480278</v>
      </c>
      <c r="HT35" s="11" t="n">
        <v>-1440385</v>
      </c>
      <c r="HU35" s="11" t="n">
        <v>59782331</v>
      </c>
      <c r="HV35" s="11" t="n">
        <v>-19137772</v>
      </c>
      <c r="HW35" s="11" t="n">
        <v>-1122771</v>
      </c>
      <c r="HX35" s="11" t="n">
        <v>-288301366</v>
      </c>
      <c r="HY35" s="11" t="n">
        <v>207729242</v>
      </c>
      <c r="HZ35" s="11" t="n">
        <v>-174020158</v>
      </c>
      <c r="IA35" s="11" t="n">
        <v>18414844</v>
      </c>
      <c r="IB35" s="11" t="n">
        <v>398681892</v>
      </c>
      <c r="IC35" s="11" t="n">
        <v>-123981999</v>
      </c>
      <c r="ID35" s="11" t="n">
        <v>-8244317</v>
      </c>
      <c r="IE35" s="11" t="n">
        <v>-151313883</v>
      </c>
      <c r="IF35" s="11" t="n">
        <v>31405507</v>
      </c>
      <c r="IG35" s="11" t="n">
        <v>-12895487</v>
      </c>
      <c r="IH35" s="11" t="n">
        <v>1344323</v>
      </c>
      <c r="II35" s="11" t="n">
        <v>21942585</v>
      </c>
      <c r="IJ35" s="11" t="n">
        <v>22578526</v>
      </c>
      <c r="IK35" s="11" t="n">
        <v>7682009</v>
      </c>
      <c r="IL35" s="11" t="n">
        <v>-2635871</v>
      </c>
      <c r="IM35" s="11" t="n">
        <v>-159943</v>
      </c>
      <c r="IN35" s="11" t="n">
        <v>-224944</v>
      </c>
      <c r="IO35" s="11" t="n">
        <v>41660017</v>
      </c>
      <c r="IP35" s="11" t="n">
        <v>11390813</v>
      </c>
      <c r="IQ35" s="11" t="n">
        <v>-2864059</v>
      </c>
      <c r="IR35" s="11" t="n">
        <v>-155491742</v>
      </c>
      <c r="IS35" s="11" t="n">
        <v>-147726919</v>
      </c>
      <c r="IT35" s="11" t="n">
        <v>-52718327</v>
      </c>
      <c r="IU35" s="11" t="n">
        <v>200296999</v>
      </c>
      <c r="IV35" s="11" t="n">
        <v>28053221</v>
      </c>
      <c r="IW35" s="11" t="n">
        <v>-41256897</v>
      </c>
      <c r="IX35" s="11" t="n">
        <v>271154541</v>
      </c>
      <c r="IY35" s="11" t="n">
        <v>77348803</v>
      </c>
      <c r="IZ35" s="11" t="n">
        <v>-18446725</v>
      </c>
      <c r="JA35" s="11" t="n">
        <v>-50716358</v>
      </c>
      <c r="JB35" s="11" t="n">
        <v>-956550</v>
      </c>
      <c r="JC35" s="11" t="n">
        <v>4586</v>
      </c>
      <c r="JD35" s="11" t="n">
        <v>-1113306</v>
      </c>
      <c r="JE35" s="11" t="n">
        <v>579130</v>
      </c>
      <c r="JF35" s="11" t="n">
        <v>-243490</v>
      </c>
      <c r="JG35" s="11" t="n">
        <v>11370357</v>
      </c>
      <c r="JH35" s="11" t="n">
        <v>-45468147</v>
      </c>
      <c r="JI35" s="11" t="n">
        <v>-22043040</v>
      </c>
      <c r="JJ35" s="11" t="n">
        <v>46670145</v>
      </c>
      <c r="JK35" s="11" t="n">
        <v>-13015702</v>
      </c>
      <c r="JL35" s="11" t="n">
        <v>6989707</v>
      </c>
      <c r="JM35" s="11" t="n">
        <v>-3118078</v>
      </c>
      <c r="JN35" s="11" t="n">
        <v>-53183437</v>
      </c>
      <c r="JO35" s="11" t="n">
        <v>65892208</v>
      </c>
      <c r="JP35" s="11" t="n">
        <v>-22644735</v>
      </c>
      <c r="JQ35" s="11" t="n">
        <v>-8601</v>
      </c>
      <c r="JR35" s="11" t="n">
        <v>-675279</v>
      </c>
      <c r="JS35" s="11" t="n">
        <v>-623730</v>
      </c>
      <c r="JT35" s="11" t="n">
        <v>36165</v>
      </c>
      <c r="JU35" s="11" t="n">
        <v>13248</v>
      </c>
      <c r="JV35" s="11" t="n">
        <v>-2217</v>
      </c>
      <c r="JW35" s="11" t="n">
        <v>2016</v>
      </c>
      <c r="JX35" s="11" t="n">
        <v>-1134783</v>
      </c>
      <c r="JY35" s="11" t="n">
        <v>213984</v>
      </c>
      <c r="JZ35" s="11" t="n">
        <v>136875</v>
      </c>
      <c r="KA35" s="11" t="n">
        <v>8435769</v>
      </c>
      <c r="KB35" s="11" t="n">
        <v>7612383</v>
      </c>
      <c r="KC35" s="11" t="n">
        <v>-849531</v>
      </c>
      <c r="KD35" s="11" t="n">
        <v>-14086713</v>
      </c>
      <c r="KE35" s="11" t="n">
        <v>-31227864</v>
      </c>
      <c r="KF35" s="11" t="n">
        <v>-29598435</v>
      </c>
      <c r="KG35" s="11" t="n">
        <v>-13899657</v>
      </c>
      <c r="KH35" s="11" t="n">
        <v>3285792</v>
      </c>
      <c r="KI35" s="11" t="n">
        <v>1565301</v>
      </c>
      <c r="KJ35" s="11" t="n">
        <v>-56941176</v>
      </c>
      <c r="KK35" s="11" t="n">
        <v>-5055797</v>
      </c>
      <c r="KL35" s="11" t="n">
        <v>42272787</v>
      </c>
      <c r="KM35" s="11" t="n">
        <v>26904890</v>
      </c>
      <c r="KN35" s="11" t="n">
        <v>-48795695</v>
      </c>
      <c r="KO35" s="11" t="n">
        <v>5681654</v>
      </c>
      <c r="KP35" s="11" t="n">
        <v>-3189953</v>
      </c>
      <c r="KQ35" s="11" t="n">
        <v>1520896</v>
      </c>
      <c r="KR35" s="11" t="n">
        <v>56907443</v>
      </c>
      <c r="KS35" s="11" t="n">
        <v>-67552706</v>
      </c>
      <c r="KT35" s="11" t="n">
        <v>22694035</v>
      </c>
      <c r="KU35" s="11" t="n">
        <v>-262170256</v>
      </c>
      <c r="KV35" s="11" t="n">
        <v>-203306747</v>
      </c>
      <c r="KW35" s="11" t="n">
        <v>333353921</v>
      </c>
      <c r="KX35" s="11" t="n">
        <v>304735517</v>
      </c>
      <c r="KY35" s="11" t="n">
        <v>-256936631</v>
      </c>
      <c r="KZ35" s="11" t="n">
        <v>188228175</v>
      </c>
      <c r="LA35" s="11" t="n">
        <v>393890298</v>
      </c>
      <c r="LB35" s="11" t="n">
        <v>-453486430</v>
      </c>
      <c r="LC35" s="11" t="n">
        <v>149170333</v>
      </c>
      <c r="LD35" s="11" t="n">
        <v>141086087</v>
      </c>
      <c r="LE35" s="11" t="n">
        <v>3949257</v>
      </c>
      <c r="LF35" s="11" t="n">
        <v>3538614</v>
      </c>
      <c r="LG35" s="11" t="n">
        <v>-629904</v>
      </c>
      <c r="LH35" s="11" t="n">
        <v>-8570904</v>
      </c>
      <c r="LI35" s="11" t="n">
        <v>-32849211</v>
      </c>
      <c r="LJ35" s="11" t="n">
        <v>-30800610</v>
      </c>
      <c r="LK35" s="11" t="n">
        <v>-6468441</v>
      </c>
      <c r="LL35" s="11" t="n">
        <v>1895904</v>
      </c>
      <c r="LM35" s="11" t="n">
        <v>667056</v>
      </c>
      <c r="LN35" s="11" t="n">
        <v>-57917931</v>
      </c>
      <c r="LO35" s="11" t="n">
        <v>24686265</v>
      </c>
      <c r="LP35" s="11" t="n">
        <v>227730309</v>
      </c>
      <c r="LQ35" s="11" t="n">
        <v>207988398</v>
      </c>
      <c r="LR35" s="11" t="n">
        <v>-288897453</v>
      </c>
      <c r="LS35" s="11" t="n">
        <v>-384847797</v>
      </c>
    </row>
    <row r="36" customFormat="false" ht="15" hidden="false" customHeight="true" outlineLevel="0" collapsed="false">
      <c r="A36" s="7" t="s">
        <v>102</v>
      </c>
      <c r="B36" s="11" t="n">
        <v>1445240</v>
      </c>
      <c r="C36" s="11" t="n">
        <v>100725016</v>
      </c>
      <c r="D36" s="11" t="n">
        <v>-1002256</v>
      </c>
      <c r="E36" s="11" t="n">
        <v>364582904</v>
      </c>
      <c r="F36" s="11" t="n">
        <v>-16965416</v>
      </c>
      <c r="G36" s="11" t="n">
        <v>655545152</v>
      </c>
      <c r="H36" s="11" t="n">
        <v>-28310600</v>
      </c>
      <c r="I36" s="11" t="n">
        <v>69312488</v>
      </c>
      <c r="J36" s="11" t="n">
        <v>-9398958</v>
      </c>
      <c r="K36" s="11" t="n">
        <v>160838</v>
      </c>
      <c r="L36" s="11" t="n">
        <v>-23895622</v>
      </c>
      <c r="M36" s="11" t="n">
        <v>1546408</v>
      </c>
      <c r="N36" s="11" t="n">
        <v>-47696906</v>
      </c>
      <c r="O36" s="11" t="n">
        <v>-2633220</v>
      </c>
      <c r="P36" s="11" t="n">
        <v>-9752354</v>
      </c>
      <c r="Q36" s="11" t="n">
        <v>4691434</v>
      </c>
      <c r="R36" s="11" t="n">
        <v>705635392</v>
      </c>
      <c r="S36" s="11" t="n">
        <v>-2556850</v>
      </c>
      <c r="T36" s="11" t="n">
        <v>939061838</v>
      </c>
      <c r="U36" s="11" t="n">
        <v>-367635318</v>
      </c>
      <c r="V36" s="11" t="n">
        <v>-228917584</v>
      </c>
      <c r="W36" s="11" t="n">
        <v>-24002418</v>
      </c>
      <c r="X36" s="11" t="n">
        <v>815634</v>
      </c>
      <c r="Y36" s="11" t="n">
        <v>-39877156</v>
      </c>
      <c r="Z36" s="11" t="n">
        <v>4976738</v>
      </c>
      <c r="AA36" s="11" t="n">
        <v>-950518</v>
      </c>
      <c r="AB36" s="11" t="n">
        <v>109597542</v>
      </c>
      <c r="AC36" s="11" t="n">
        <v>-1193447002</v>
      </c>
      <c r="AD36" s="11" t="n">
        <v>-1132356142</v>
      </c>
      <c r="AE36" s="11" t="n">
        <v>-1314159952</v>
      </c>
      <c r="AF36" s="11" t="n">
        <v>-141528338</v>
      </c>
      <c r="AG36" s="11" t="n">
        <v>61203268</v>
      </c>
      <c r="AH36" s="11" t="n">
        <v>40316734</v>
      </c>
      <c r="AI36" s="11" t="n">
        <v>-2128727846</v>
      </c>
      <c r="AJ36" s="11" t="n">
        <v>-2136058482</v>
      </c>
      <c r="AK36" s="11" t="n">
        <v>317324474</v>
      </c>
      <c r="AL36" s="11" t="n">
        <v>-51640440</v>
      </c>
      <c r="AM36" s="11" t="n">
        <v>1186160</v>
      </c>
      <c r="AN36" s="11" t="n">
        <v>-168064120</v>
      </c>
      <c r="AO36" s="11" t="n">
        <v>12635280</v>
      </c>
      <c r="AP36" s="11" t="n">
        <v>-314035880</v>
      </c>
      <c r="AQ36" s="11" t="n">
        <v>7571560</v>
      </c>
      <c r="AR36" s="11" t="n">
        <v>-37164360</v>
      </c>
      <c r="AS36" s="11" t="n">
        <v>46856608</v>
      </c>
      <c r="AT36" s="11" t="n">
        <v>1313941216</v>
      </c>
      <c r="AU36" s="11" t="n">
        <v>274409256</v>
      </c>
      <c r="AV36" s="11" t="n">
        <v>1537025720</v>
      </c>
      <c r="AW36" s="11" t="n">
        <v>-483882496</v>
      </c>
      <c r="AX36" s="11" t="n">
        <v>-113512896</v>
      </c>
      <c r="AY36" s="11" t="n">
        <v>-182675808</v>
      </c>
      <c r="AZ36" s="11" t="n">
        <v>5161712</v>
      </c>
      <c r="BA36" s="11" t="n">
        <v>-320249296</v>
      </c>
      <c r="BB36" s="11" t="n">
        <v>17984736</v>
      </c>
      <c r="BC36" s="11" t="n">
        <v>-31114208</v>
      </c>
      <c r="BD36" s="11" t="n">
        <v>1214559080</v>
      </c>
      <c r="BE36" s="11" t="n">
        <v>-2988080872</v>
      </c>
      <c r="BF36" s="11" t="n">
        <v>-1382147424</v>
      </c>
      <c r="BG36" s="11" t="n">
        <v>-1315039712</v>
      </c>
      <c r="BH36" s="11" t="n">
        <v>-2044814152</v>
      </c>
      <c r="BI36" s="11" t="n">
        <v>158629496</v>
      </c>
      <c r="BJ36" s="11" t="n">
        <v>-169711512</v>
      </c>
      <c r="BK36" s="11" t="n">
        <v>-2717226712</v>
      </c>
      <c r="BL36" s="11" t="n">
        <v>-1796454472</v>
      </c>
      <c r="BM36" s="11" t="n">
        <v>364881728</v>
      </c>
      <c r="BN36" s="11" t="n">
        <v>-1967094</v>
      </c>
      <c r="BO36" s="11" t="n">
        <v>239162472</v>
      </c>
      <c r="BP36" s="11" t="n">
        <v>-26916828</v>
      </c>
      <c r="BQ36" s="11" t="n">
        <v>338020560</v>
      </c>
      <c r="BR36" s="11" t="n">
        <v>-143329422</v>
      </c>
      <c r="BS36" s="11" t="n">
        <v>-106770912</v>
      </c>
      <c r="BT36" s="11" t="n">
        <v>908454</v>
      </c>
      <c r="BU36" s="11" t="n">
        <v>136964</v>
      </c>
      <c r="BV36" s="11" t="n">
        <v>4198098</v>
      </c>
      <c r="BW36" s="11" t="n">
        <v>3003802</v>
      </c>
      <c r="BX36" s="11" t="n">
        <v>3868154</v>
      </c>
      <c r="BY36" s="11" t="n">
        <v>-29083180</v>
      </c>
      <c r="BZ36" s="11" t="n">
        <v>-354305064</v>
      </c>
      <c r="CA36" s="11" t="n">
        <v>-431400278</v>
      </c>
      <c r="CB36" s="11" t="n">
        <v>-519605944</v>
      </c>
      <c r="CC36" s="11" t="n">
        <v>80980436</v>
      </c>
      <c r="CD36" s="11" t="n">
        <v>31122992</v>
      </c>
      <c r="CE36" s="11" t="n">
        <v>45495876</v>
      </c>
      <c r="CF36" s="11" t="n">
        <v>-822054154</v>
      </c>
      <c r="CG36" s="11" t="n">
        <v>-892560464</v>
      </c>
      <c r="CH36" s="11" t="n">
        <v>118805506</v>
      </c>
      <c r="CI36" s="11" t="n">
        <v>-267057912</v>
      </c>
      <c r="CJ36" s="11" t="n">
        <v>13970494</v>
      </c>
      <c r="CK36" s="11" t="n">
        <v>-365255814</v>
      </c>
      <c r="CL36" s="11" t="n">
        <v>148483880</v>
      </c>
      <c r="CM36" s="11" t="n">
        <v>101203888</v>
      </c>
      <c r="CN36" s="11" t="n">
        <v>1955744872</v>
      </c>
      <c r="CO36" s="11" t="n">
        <v>-1482177048</v>
      </c>
      <c r="CP36" s="11" t="n">
        <v>1405873016</v>
      </c>
      <c r="CQ36" s="11" t="n">
        <v>2190970432</v>
      </c>
      <c r="CR36" s="11" t="n">
        <v>-2597340908</v>
      </c>
      <c r="CS36" s="11" t="n">
        <v>1013846938</v>
      </c>
      <c r="CT36" s="11" t="n">
        <v>626530944</v>
      </c>
      <c r="CU36" s="11" t="n">
        <v>1098727582</v>
      </c>
      <c r="CV36" s="11" t="n">
        <v>2434912352</v>
      </c>
      <c r="CW36" s="11" t="n">
        <v>-685409296</v>
      </c>
      <c r="CX36" s="11" t="n">
        <v>-25046526</v>
      </c>
      <c r="CY36" s="11" t="n">
        <v>-401260530</v>
      </c>
      <c r="CZ36" s="11" t="n">
        <v>-476377776</v>
      </c>
      <c r="DA36" s="11" t="n">
        <v>-571889400</v>
      </c>
      <c r="DB36" s="11" t="n">
        <v>55247182</v>
      </c>
      <c r="DC36" s="11" t="n">
        <v>10994722</v>
      </c>
      <c r="DD36" s="11" t="n">
        <v>20425426</v>
      </c>
      <c r="DE36" s="11" t="n">
        <v>-874643522</v>
      </c>
      <c r="DF36" s="11" t="n">
        <v>-934235770</v>
      </c>
      <c r="DG36" s="11" t="n">
        <v>137442376</v>
      </c>
      <c r="DH36" s="11" t="n">
        <v>3077559484</v>
      </c>
      <c r="DI36" s="11" t="n">
        <v>3356804338</v>
      </c>
      <c r="DJ36" s="11" t="n">
        <v>3982632664</v>
      </c>
      <c r="DK36" s="11" t="n">
        <v>-4756262594</v>
      </c>
      <c r="DL36" s="11" t="n">
        <v>-6465980680</v>
      </c>
      <c r="DM36" s="11" t="n">
        <v>-897654536</v>
      </c>
      <c r="DN36" s="11" t="n">
        <v>-6053417118</v>
      </c>
      <c r="DO36" s="11" t="n">
        <v>-6275072564</v>
      </c>
      <c r="DP36" s="11" t="n">
        <v>989207830</v>
      </c>
      <c r="DQ36" s="11" t="n">
        <v>-3020375486</v>
      </c>
      <c r="DR36" s="11" t="n">
        <v>-1513299</v>
      </c>
      <c r="DS36" s="11" t="n">
        <v>23799</v>
      </c>
      <c r="DT36" s="11" t="n">
        <v>-3210371</v>
      </c>
      <c r="DU36" s="11" t="n">
        <v>236404</v>
      </c>
      <c r="DV36" s="11" t="n">
        <v>-6620193</v>
      </c>
      <c r="DW36" s="11" t="n">
        <v>-478350</v>
      </c>
      <c r="DX36" s="11" t="n">
        <v>-1047997</v>
      </c>
      <c r="DY36" s="11" t="n">
        <v>609201</v>
      </c>
      <c r="DZ36" s="11" t="n">
        <v>158007164</v>
      </c>
      <c r="EA36" s="11" t="n">
        <v>-1288333</v>
      </c>
      <c r="EB36" s="11" t="n">
        <v>225026139</v>
      </c>
      <c r="EC36" s="11" t="n">
        <v>-62982075</v>
      </c>
      <c r="ED36" s="11" t="n">
        <v>-462896</v>
      </c>
      <c r="EE36" s="11" t="n">
        <v>-3777293</v>
      </c>
      <c r="EF36" s="11" t="n">
        <v>115429</v>
      </c>
      <c r="EG36" s="11" t="n">
        <v>-6203946</v>
      </c>
      <c r="EH36" s="11" t="n">
        <v>797925</v>
      </c>
      <c r="EI36" s="11" t="n">
        <v>-414607</v>
      </c>
      <c r="EJ36" s="11" t="n">
        <v>21950387</v>
      </c>
      <c r="EK36" s="11" t="n">
        <v>-213851017</v>
      </c>
      <c r="EL36" s="11" t="n">
        <v>-183558275</v>
      </c>
      <c r="EM36" s="11" t="n">
        <v>-110405876</v>
      </c>
      <c r="EN36" s="11" t="n">
        <v>-29517013</v>
      </c>
      <c r="EO36" s="11" t="n">
        <v>10246150</v>
      </c>
      <c r="EP36" s="11" t="n">
        <v>964515</v>
      </c>
      <c r="EQ36" s="11" t="n">
        <v>-346656375</v>
      </c>
      <c r="ER36" s="11" t="n">
        <v>-157861189</v>
      </c>
      <c r="ES36" s="11" t="n">
        <v>43470325</v>
      </c>
      <c r="ET36" s="11" t="n">
        <v>13638</v>
      </c>
      <c r="EU36" s="11" t="n">
        <v>-4142619</v>
      </c>
      <c r="EV36" s="11" t="n">
        <v>81804</v>
      </c>
      <c r="EW36" s="11" t="n">
        <v>-6889350</v>
      </c>
      <c r="EX36" s="11" t="n">
        <v>353673</v>
      </c>
      <c r="EY36" s="11" t="n">
        <v>-3396078</v>
      </c>
      <c r="EZ36" s="11" t="n">
        <v>36217</v>
      </c>
      <c r="FA36" s="11" t="n">
        <v>844</v>
      </c>
      <c r="FB36" s="11" t="n">
        <v>48684</v>
      </c>
      <c r="FC36" s="11" t="n">
        <v>-9873</v>
      </c>
      <c r="FD36" s="11" t="n">
        <v>43964</v>
      </c>
      <c r="FE36" s="11" t="n">
        <v>-473608</v>
      </c>
      <c r="FF36" s="11" t="n">
        <v>3507283</v>
      </c>
      <c r="FG36" s="11" t="n">
        <v>2059767</v>
      </c>
      <c r="FH36" s="11" t="n">
        <v>-4335705</v>
      </c>
      <c r="FI36" s="11" t="n">
        <v>718372</v>
      </c>
      <c r="FJ36" s="11" t="n">
        <v>-81108</v>
      </c>
      <c r="FK36" s="11" t="n">
        <v>473876</v>
      </c>
      <c r="FL36" s="11" t="n">
        <v>3724911</v>
      </c>
      <c r="FM36" s="11" t="n">
        <v>-10085696</v>
      </c>
      <c r="FN36" s="11" t="n">
        <v>-1318419</v>
      </c>
      <c r="FO36" s="11" t="n">
        <v>3091649</v>
      </c>
      <c r="FP36" s="11" t="n">
        <v>-44542</v>
      </c>
      <c r="FQ36" s="11" t="n">
        <v>4801368</v>
      </c>
      <c r="FR36" s="11" t="n">
        <v>-709977</v>
      </c>
      <c r="FS36" s="11" t="n">
        <v>1362970</v>
      </c>
      <c r="FT36" s="11" t="n">
        <v>-5014571</v>
      </c>
      <c r="FU36" s="11" t="n">
        <v>103329941</v>
      </c>
      <c r="FV36" s="11" t="n">
        <v>135484047</v>
      </c>
      <c r="FW36" s="11" t="n">
        <v>355859784</v>
      </c>
      <c r="FX36" s="11" t="n">
        <v>6298994</v>
      </c>
      <c r="FY36" s="11" t="n">
        <v>-3103509</v>
      </c>
      <c r="FZ36" s="11" t="n">
        <v>-2916242</v>
      </c>
      <c r="GA36" s="11" t="n">
        <v>234137397</v>
      </c>
      <c r="GB36" s="11" t="n">
        <v>507100958</v>
      </c>
      <c r="GC36" s="11" t="n">
        <v>-141449742</v>
      </c>
      <c r="GD36" s="11" t="n">
        <v>-309615</v>
      </c>
      <c r="GE36" s="11" t="n">
        <v>1714130</v>
      </c>
      <c r="GF36" s="11" t="n">
        <v>352736</v>
      </c>
      <c r="GG36" s="11" t="n">
        <v>-6346867</v>
      </c>
      <c r="GH36" s="11" t="n">
        <v>456140</v>
      </c>
      <c r="GI36" s="11" t="n">
        <v>-76183</v>
      </c>
      <c r="GJ36" s="11" t="n">
        <v>227936</v>
      </c>
      <c r="GK36" s="11" t="n">
        <v>941442</v>
      </c>
      <c r="GL36" s="11" t="n">
        <v>-10612444</v>
      </c>
      <c r="GM36" s="11" t="n">
        <v>1302011</v>
      </c>
      <c r="GN36" s="11" t="n">
        <v>7567765</v>
      </c>
      <c r="GO36" s="11" t="n">
        <v>12996001</v>
      </c>
      <c r="GP36" s="11" t="n">
        <v>45932233</v>
      </c>
      <c r="GQ36" s="11" t="n">
        <v>-63328366</v>
      </c>
      <c r="GR36" s="11" t="n">
        <v>-409429183</v>
      </c>
      <c r="GS36" s="11" t="n">
        <v>-318737277</v>
      </c>
      <c r="GT36" s="11" t="n">
        <v>-21008449</v>
      </c>
      <c r="GU36" s="11" t="n">
        <v>-62098292</v>
      </c>
      <c r="GV36" s="11" t="n">
        <v>20869505</v>
      </c>
      <c r="GW36" s="11" t="n">
        <v>-616944203</v>
      </c>
      <c r="GX36" s="11" t="n">
        <v>391647</v>
      </c>
      <c r="GY36" s="11" t="n">
        <v>-61267536</v>
      </c>
      <c r="GZ36" s="11" t="n">
        <v>4783254</v>
      </c>
      <c r="HA36" s="11" t="n">
        <v>-92275680</v>
      </c>
      <c r="HB36" s="11" t="n">
        <v>25020231</v>
      </c>
      <c r="HC36" s="11" t="n">
        <v>-1468104</v>
      </c>
      <c r="HD36" s="11" t="n">
        <v>132673</v>
      </c>
      <c r="HE36" s="11" t="n">
        <v>-14042</v>
      </c>
      <c r="HF36" s="11" t="n">
        <v>-262149</v>
      </c>
      <c r="HG36" s="11" t="n">
        <v>-517281</v>
      </c>
      <c r="HH36" s="11" t="n">
        <v>-248137</v>
      </c>
      <c r="HI36" s="11" t="n">
        <v>576310</v>
      </c>
      <c r="HJ36" s="11" t="n">
        <v>72268432</v>
      </c>
      <c r="HK36" s="11" t="n">
        <v>72445399</v>
      </c>
      <c r="HL36" s="11" t="n">
        <v>39314792</v>
      </c>
      <c r="HM36" s="11" t="n">
        <v>-6510098</v>
      </c>
      <c r="HN36" s="11" t="n">
        <v>-5420576</v>
      </c>
      <c r="HO36" s="11" t="n">
        <v>-3083178</v>
      </c>
      <c r="HP36" s="11" t="n">
        <v>138623517</v>
      </c>
      <c r="HQ36" s="11" t="n">
        <v>57480712</v>
      </c>
      <c r="HR36" s="11" t="n">
        <v>-17791193</v>
      </c>
      <c r="HS36" s="11" t="n">
        <v>65556956</v>
      </c>
      <c r="HT36" s="11" t="n">
        <v>-2258995</v>
      </c>
      <c r="HU36" s="11" t="n">
        <v>95384487</v>
      </c>
      <c r="HV36" s="11" t="n">
        <v>-26372244</v>
      </c>
      <c r="HW36" s="11" t="n">
        <v>471208</v>
      </c>
      <c r="HX36" s="11" t="n">
        <v>-447271432</v>
      </c>
      <c r="HY36" s="11" t="n">
        <v>524299184</v>
      </c>
      <c r="HZ36" s="11" t="n">
        <v>-62525116</v>
      </c>
      <c r="IA36" s="11" t="n">
        <v>172029088</v>
      </c>
      <c r="IB36" s="11" t="n">
        <v>632707334</v>
      </c>
      <c r="IC36" s="11" t="n">
        <v>-177773773</v>
      </c>
      <c r="ID36" s="11" t="n">
        <v>-2712984</v>
      </c>
      <c r="IE36" s="11" t="n">
        <v>119941809</v>
      </c>
      <c r="IF36" s="11" t="n">
        <v>246531464</v>
      </c>
      <c r="IG36" s="11" t="n">
        <v>-68754424</v>
      </c>
      <c r="IH36" s="11" t="n">
        <v>1585211</v>
      </c>
      <c r="II36" s="11" t="n">
        <v>76192685</v>
      </c>
      <c r="IJ36" s="11" t="n">
        <v>77652792</v>
      </c>
      <c r="IK36" s="11" t="n">
        <v>41694748</v>
      </c>
      <c r="IL36" s="11" t="n">
        <v>-4931947</v>
      </c>
      <c r="IM36" s="11" t="n">
        <v>-2038101</v>
      </c>
      <c r="IN36" s="11" t="n">
        <v>-1448133</v>
      </c>
      <c r="IO36" s="11" t="n">
        <v>143634549</v>
      </c>
      <c r="IP36" s="11" t="n">
        <v>60117641</v>
      </c>
      <c r="IQ36" s="11" t="n">
        <v>-17331108</v>
      </c>
      <c r="IR36" s="11" t="n">
        <v>-532513074</v>
      </c>
      <c r="IS36" s="11" t="n">
        <v>-528285053</v>
      </c>
      <c r="IT36" s="11" t="n">
        <v>-288627984</v>
      </c>
      <c r="IU36" s="11" t="n">
        <v>693705973</v>
      </c>
      <c r="IV36" s="11" t="n">
        <v>133519992</v>
      </c>
      <c r="IW36" s="11" t="n">
        <v>-243536444</v>
      </c>
      <c r="IX36" s="11" t="n">
        <v>958962847</v>
      </c>
      <c r="IY36" s="11" t="n">
        <v>411521346</v>
      </c>
      <c r="IZ36" s="11" t="n">
        <v>-111514515</v>
      </c>
      <c r="JA36" s="11" t="n">
        <v>-295643641</v>
      </c>
      <c r="JB36" s="11" t="n">
        <v>-519975</v>
      </c>
      <c r="JC36" s="11" t="n">
        <v>-21936</v>
      </c>
      <c r="JD36" s="11" t="n">
        <v>-951390</v>
      </c>
      <c r="JE36" s="11" t="n">
        <v>-133953</v>
      </c>
      <c r="JF36" s="11" t="n">
        <v>-865686</v>
      </c>
      <c r="JG36" s="11" t="n">
        <v>9782118</v>
      </c>
      <c r="JH36" s="11" t="n">
        <v>26320320</v>
      </c>
      <c r="JI36" s="11" t="n">
        <v>54173439</v>
      </c>
      <c r="JJ36" s="11" t="n">
        <v>133474968</v>
      </c>
      <c r="JK36" s="11" t="n">
        <v>-16787820</v>
      </c>
      <c r="JL36" s="11" t="n">
        <v>-234618</v>
      </c>
      <c r="JM36" s="11" t="n">
        <v>-10655004</v>
      </c>
      <c r="JN36" s="11" t="n">
        <v>92339790</v>
      </c>
      <c r="JO36" s="11" t="n">
        <v>200397360</v>
      </c>
      <c r="JP36" s="11" t="n">
        <v>-55806174</v>
      </c>
      <c r="JQ36" s="11" t="n">
        <v>-26074</v>
      </c>
      <c r="JR36" s="11" t="n">
        <v>-670335</v>
      </c>
      <c r="JS36" s="11" t="n">
        <v>-732152</v>
      </c>
      <c r="JT36" s="11" t="n">
        <v>-622699</v>
      </c>
      <c r="JU36" s="11" t="n">
        <v>19428</v>
      </c>
      <c r="JV36" s="11" t="n">
        <v>-24170</v>
      </c>
      <c r="JW36" s="11" t="n">
        <v>17140</v>
      </c>
      <c r="JX36" s="11" t="n">
        <v>-1166919</v>
      </c>
      <c r="JY36" s="11" t="n">
        <v>-23328</v>
      </c>
      <c r="JZ36" s="11" t="n">
        <v>1058515</v>
      </c>
      <c r="KA36" s="11" t="n">
        <v>11290966</v>
      </c>
      <c r="KB36" s="11" t="n">
        <v>11057222</v>
      </c>
      <c r="KC36" s="11" t="n">
        <v>5021566</v>
      </c>
      <c r="KD36" s="11" t="n">
        <v>-32778263</v>
      </c>
      <c r="KE36" s="11" t="n">
        <v>-140551576</v>
      </c>
      <c r="KF36" s="11" t="n">
        <v>-123064029</v>
      </c>
      <c r="KG36" s="11" t="n">
        <v>-18705314</v>
      </c>
      <c r="KH36" s="11" t="n">
        <v>3680608</v>
      </c>
      <c r="KI36" s="11" t="n">
        <v>11923450</v>
      </c>
      <c r="KJ36" s="11" t="n">
        <v>-243531448</v>
      </c>
      <c r="KK36" s="11" t="n">
        <v>-6671003</v>
      </c>
      <c r="KL36" s="11" t="n">
        <v>-32612745</v>
      </c>
      <c r="KM36" s="11" t="n">
        <v>-57435544</v>
      </c>
      <c r="KN36" s="11" t="n">
        <v>-144279728</v>
      </c>
      <c r="KO36" s="11" t="n">
        <v>10830006</v>
      </c>
      <c r="KP36" s="11" t="n">
        <v>-704467</v>
      </c>
      <c r="KQ36" s="11" t="n">
        <v>5019614</v>
      </c>
      <c r="KR36" s="11" t="n">
        <v>-96687393</v>
      </c>
      <c r="KS36" s="11" t="n">
        <v>-209690646</v>
      </c>
      <c r="KT36" s="11" t="n">
        <v>58453664</v>
      </c>
      <c r="KU36" s="11" t="n">
        <v>275857082</v>
      </c>
      <c r="KV36" s="11" t="n">
        <v>385499485</v>
      </c>
      <c r="KW36" s="11" t="n">
        <v>1001873960</v>
      </c>
      <c r="KX36" s="11" t="n">
        <v>-490451761</v>
      </c>
      <c r="KY36" s="11" t="n">
        <v>-1068313832</v>
      </c>
      <c r="KZ36" s="11" t="n">
        <v>288324720</v>
      </c>
      <c r="LA36" s="11" t="n">
        <v>-654968068</v>
      </c>
      <c r="LB36" s="11" t="n">
        <v>-1418917804</v>
      </c>
      <c r="LC36" s="11" t="n">
        <v>395869370</v>
      </c>
      <c r="LD36" s="11" t="n">
        <v>-13777826</v>
      </c>
      <c r="LE36" s="11" t="n">
        <v>6964685</v>
      </c>
      <c r="LF36" s="11" t="n">
        <v>6513032</v>
      </c>
      <c r="LG36" s="11" t="n">
        <v>754031</v>
      </c>
      <c r="LH36" s="11" t="n">
        <v>-28123600</v>
      </c>
      <c r="LI36" s="11" t="n">
        <v>-146945195</v>
      </c>
      <c r="LJ36" s="11" t="n">
        <v>-134371144</v>
      </c>
      <c r="LK36" s="11" t="n">
        <v>-11309029</v>
      </c>
      <c r="LL36" s="11" t="n">
        <v>4016468</v>
      </c>
      <c r="LM36" s="11" t="n">
        <v>4980375</v>
      </c>
      <c r="LN36" s="11" t="n">
        <v>-254823443</v>
      </c>
      <c r="LO36" s="11" t="n">
        <v>133145867</v>
      </c>
      <c r="LP36" s="11" t="n">
        <v>1014799686</v>
      </c>
      <c r="LQ36" s="11" t="n">
        <v>934575895</v>
      </c>
      <c r="LR36" s="11" t="n">
        <v>-1288597411</v>
      </c>
      <c r="LS36" s="11" t="n">
        <v>-1724582690</v>
      </c>
    </row>
    <row r="37" customFormat="false" ht="15" hidden="false" customHeight="true" outlineLevel="0" collapsed="false">
      <c r="A37" s="7" t="s">
        <v>103</v>
      </c>
      <c r="B37" s="11" t="n">
        <v>4323647</v>
      </c>
      <c r="C37" s="11" t="n">
        <v>-352423316</v>
      </c>
      <c r="D37" s="11" t="n">
        <v>5121785</v>
      </c>
      <c r="E37" s="11" t="n">
        <v>-135307480</v>
      </c>
      <c r="F37" s="11" t="n">
        <v>29832391</v>
      </c>
      <c r="G37" s="11" t="n">
        <v>-539108413</v>
      </c>
      <c r="H37" s="11" t="n">
        <v>-248583695</v>
      </c>
      <c r="I37" s="11" t="n">
        <v>-162196804</v>
      </c>
      <c r="J37" s="11" t="n">
        <v>9930047</v>
      </c>
      <c r="K37" s="11" t="n">
        <v>8579</v>
      </c>
      <c r="L37" s="11" t="n">
        <v>-133900</v>
      </c>
      <c r="M37" s="11" t="n">
        <v>-63822</v>
      </c>
      <c r="N37" s="11" t="n">
        <v>2822353</v>
      </c>
      <c r="O37" s="11" t="n">
        <v>1660579</v>
      </c>
      <c r="P37" s="11" t="n">
        <v>-7667619</v>
      </c>
      <c r="Q37" s="11" t="n">
        <v>-12462397</v>
      </c>
      <c r="R37" s="11" t="n">
        <v>321672680</v>
      </c>
      <c r="S37" s="11" t="n">
        <v>-63313375</v>
      </c>
      <c r="T37" s="11" t="n">
        <v>1008109329</v>
      </c>
      <c r="U37" s="11" t="n">
        <v>435563083</v>
      </c>
      <c r="V37" s="11" t="n">
        <v>997507336</v>
      </c>
      <c r="W37" s="11" t="n">
        <v>109860</v>
      </c>
      <c r="X37" s="11" t="n">
        <v>-134797</v>
      </c>
      <c r="Y37" s="11" t="n">
        <v>4413056</v>
      </c>
      <c r="Z37" s="11" t="n">
        <v>2460360</v>
      </c>
      <c r="AA37" s="11" t="n">
        <v>-8761217</v>
      </c>
      <c r="AB37" s="11" t="n">
        <v>2921180</v>
      </c>
      <c r="AC37" s="11" t="n">
        <v>-105020620</v>
      </c>
      <c r="AD37" s="11" t="n">
        <v>-59665860</v>
      </c>
      <c r="AE37" s="11" t="n">
        <v>234933160</v>
      </c>
      <c r="AF37" s="11" t="n">
        <v>11515871</v>
      </c>
      <c r="AG37" s="11" t="n">
        <v>7788317</v>
      </c>
      <c r="AH37" s="11" t="n">
        <v>-55299411</v>
      </c>
      <c r="AI37" s="11" t="n">
        <v>-44786536</v>
      </c>
      <c r="AJ37" s="11" t="n">
        <v>1061940197</v>
      </c>
      <c r="AK37" s="11" t="n">
        <v>503136743</v>
      </c>
      <c r="AL37" s="11" t="n">
        <v>131359760</v>
      </c>
      <c r="AM37" s="11" t="n">
        <v>-1909</v>
      </c>
      <c r="AN37" s="11" t="n">
        <v>33274352</v>
      </c>
      <c r="AO37" s="11" t="n">
        <v>2564342</v>
      </c>
      <c r="AP37" s="11" t="n">
        <v>153736600</v>
      </c>
      <c r="AQ37" s="11" t="n">
        <v>94310243</v>
      </c>
      <c r="AR37" s="11" t="n">
        <v>50402288</v>
      </c>
      <c r="AS37" s="11" t="n">
        <v>-155452948</v>
      </c>
      <c r="AT37" s="11" t="n">
        <v>1398657344</v>
      </c>
      <c r="AU37" s="11" t="n">
        <v>-1115380056</v>
      </c>
      <c r="AV37" s="11" t="n">
        <v>3847860240</v>
      </c>
      <c r="AW37" s="11" t="n">
        <v>-134894004</v>
      </c>
      <c r="AX37" s="11" t="n">
        <v>819491456</v>
      </c>
      <c r="AY37" s="11" t="n">
        <v>39357000</v>
      </c>
      <c r="AZ37" s="11" t="n">
        <v>3050887</v>
      </c>
      <c r="BA37" s="11" t="n">
        <v>181878089</v>
      </c>
      <c r="BB37" s="11" t="n">
        <v>111610000</v>
      </c>
      <c r="BC37" s="11" t="n">
        <v>59634852</v>
      </c>
      <c r="BD37" s="11" t="n">
        <v>-309837536</v>
      </c>
      <c r="BE37" s="11" t="n">
        <v>-662225392</v>
      </c>
      <c r="BF37" s="11" t="n">
        <v>-1038341000</v>
      </c>
      <c r="BG37" s="11" t="n">
        <v>-329077056</v>
      </c>
      <c r="BH37" s="11" t="n">
        <v>1380498618</v>
      </c>
      <c r="BI37" s="11" t="n">
        <v>798158049</v>
      </c>
      <c r="BJ37" s="11" t="n">
        <v>443965208</v>
      </c>
      <c r="BK37" s="11" t="n">
        <v>-2920458897</v>
      </c>
      <c r="BL37" s="11" t="n">
        <v>-517320752</v>
      </c>
      <c r="BM37" s="11" t="n">
        <v>640115396</v>
      </c>
      <c r="BN37" s="11" t="n">
        <v>-265029</v>
      </c>
      <c r="BO37" s="11" t="n">
        <v>80488752</v>
      </c>
      <c r="BP37" s="11" t="n">
        <v>7828502</v>
      </c>
      <c r="BQ37" s="11" t="n">
        <v>267336360</v>
      </c>
      <c r="BR37" s="11" t="n">
        <v>166149523</v>
      </c>
      <c r="BS37" s="11" t="n">
        <v>348713408</v>
      </c>
      <c r="BT37" s="11" t="n">
        <v>65964</v>
      </c>
      <c r="BU37" s="11" t="n">
        <v>5060</v>
      </c>
      <c r="BV37" s="11" t="n">
        <v>306291</v>
      </c>
      <c r="BW37" s="11" t="n">
        <v>187864</v>
      </c>
      <c r="BX37" s="11" t="n">
        <v>96623</v>
      </c>
      <c r="BY37" s="11" t="n">
        <v>411752</v>
      </c>
      <c r="BZ37" s="11" t="n">
        <v>-26481648</v>
      </c>
      <c r="CA37" s="11" t="n">
        <v>-15700364</v>
      </c>
      <c r="CB37" s="11" t="n">
        <v>57448304</v>
      </c>
      <c r="CC37" s="11" t="n">
        <v>-3943258</v>
      </c>
      <c r="CD37" s="11" t="n">
        <v>-2377012</v>
      </c>
      <c r="CE37" s="11" t="n">
        <v>3803646</v>
      </c>
      <c r="CF37" s="11" t="n">
        <v>2517557</v>
      </c>
      <c r="CG37" s="11" t="n">
        <v>305539912</v>
      </c>
      <c r="CH37" s="11" t="n">
        <v>186609127</v>
      </c>
      <c r="CI37" s="11" t="n">
        <v>-92429592</v>
      </c>
      <c r="CJ37" s="11" t="n">
        <v>-11514727</v>
      </c>
      <c r="CK37" s="11" t="n">
        <v>-308606157</v>
      </c>
      <c r="CL37" s="11" t="n">
        <v>-196895792</v>
      </c>
      <c r="CM37" s="11" t="n">
        <v>-411018856</v>
      </c>
      <c r="CN37" s="11" t="n">
        <v>766786880</v>
      </c>
      <c r="CO37" s="11" t="n">
        <v>488753136</v>
      </c>
      <c r="CP37" s="11" t="n">
        <v>1851736792</v>
      </c>
      <c r="CQ37" s="11" t="n">
        <v>3210806144</v>
      </c>
      <c r="CR37" s="11" t="n">
        <v>-2499278514</v>
      </c>
      <c r="CS37" s="11" t="n">
        <v>-1402741953</v>
      </c>
      <c r="CT37" s="11" t="n">
        <v>-3009775376</v>
      </c>
      <c r="CU37" s="11" t="n">
        <v>5141469621</v>
      </c>
      <c r="CV37" s="11" t="n">
        <v>8546914176</v>
      </c>
      <c r="CW37" s="11" t="n">
        <v>-1394623912</v>
      </c>
      <c r="CX37" s="11" t="n">
        <v>1101252</v>
      </c>
      <c r="CY37" s="11" t="n">
        <v>-30009756</v>
      </c>
      <c r="CZ37" s="11" t="n">
        <v>-16512000</v>
      </c>
      <c r="DA37" s="11" t="n">
        <v>68602392</v>
      </c>
      <c r="DB37" s="11" t="n">
        <v>-7415453</v>
      </c>
      <c r="DC37" s="11" t="n">
        <v>-4402952</v>
      </c>
      <c r="DD37" s="11" t="n">
        <v>3649291</v>
      </c>
      <c r="DE37" s="11" t="n">
        <v>8796856</v>
      </c>
      <c r="DF37" s="11" t="n">
        <v>362499665</v>
      </c>
      <c r="DG37" s="11" t="n">
        <v>219564592</v>
      </c>
      <c r="DH37" s="11" t="n">
        <v>254781256</v>
      </c>
      <c r="DI37" s="11" t="n">
        <v>159044452</v>
      </c>
      <c r="DJ37" s="11" t="n">
        <v>-530863616</v>
      </c>
      <c r="DK37" s="11" t="n">
        <v>-513903356</v>
      </c>
      <c r="DL37" s="11" t="n">
        <v>-1405233328</v>
      </c>
      <c r="DM37" s="11" t="n">
        <v>-1947973592</v>
      </c>
      <c r="DN37" s="11" t="n">
        <v>-52301397</v>
      </c>
      <c r="DO37" s="11" t="n">
        <v>2730368026</v>
      </c>
      <c r="DP37" s="11" t="n">
        <v>1595427325</v>
      </c>
      <c r="DQ37" s="11" t="n">
        <v>-5795720537</v>
      </c>
      <c r="DR37" s="11" t="n">
        <v>-1607942</v>
      </c>
      <c r="DS37" s="11" t="n">
        <v>34938</v>
      </c>
      <c r="DT37" s="11" t="n">
        <v>-4129616</v>
      </c>
      <c r="DU37" s="11" t="n">
        <v>347381</v>
      </c>
      <c r="DV37" s="11" t="n">
        <v>-8640477</v>
      </c>
      <c r="DW37" s="11" t="n">
        <v>-699220</v>
      </c>
      <c r="DX37" s="11" t="n">
        <v>-1485009</v>
      </c>
      <c r="DY37" s="11" t="n">
        <v>-943054</v>
      </c>
      <c r="DZ37" s="11" t="n">
        <v>286287568</v>
      </c>
      <c r="EA37" s="11" t="n">
        <v>-17220742</v>
      </c>
      <c r="EB37" s="11" t="n">
        <v>503799338</v>
      </c>
      <c r="EC37" s="11" t="n">
        <v>-35453110</v>
      </c>
      <c r="ED37" s="11" t="n">
        <v>60723908</v>
      </c>
      <c r="EE37" s="11" t="n">
        <v>-3798560</v>
      </c>
      <c r="EF37" s="11" t="n">
        <v>170441</v>
      </c>
      <c r="EG37" s="11" t="n">
        <v>-5879133</v>
      </c>
      <c r="EH37" s="11" t="n">
        <v>1180430</v>
      </c>
      <c r="EI37" s="11" t="n">
        <v>-448479</v>
      </c>
      <c r="EJ37" s="11" t="n">
        <v>17622408</v>
      </c>
      <c r="EK37" s="11" t="n">
        <v>-244513384</v>
      </c>
      <c r="EL37" s="11" t="n">
        <v>-215546160</v>
      </c>
      <c r="EM37" s="11" t="n">
        <v>-108444952</v>
      </c>
      <c r="EN37" s="11" t="n">
        <v>-16303382</v>
      </c>
      <c r="EO37" s="11" t="n">
        <v>15147825</v>
      </c>
      <c r="EP37" s="11" t="n">
        <v>2785315</v>
      </c>
      <c r="EQ37" s="11" t="n">
        <v>-409590865</v>
      </c>
      <c r="ER37" s="11" t="n">
        <v>-138974553</v>
      </c>
      <c r="ES37" s="11" t="n">
        <v>59148625</v>
      </c>
      <c r="ET37" s="11" t="n">
        <v>83432</v>
      </c>
      <c r="EU37" s="11" t="n">
        <v>-9534216</v>
      </c>
      <c r="EV37" s="11" t="n">
        <v>774089</v>
      </c>
      <c r="EW37" s="11" t="n">
        <v>-18794819</v>
      </c>
      <c r="EX37" s="11" t="n">
        <v>-988326</v>
      </c>
      <c r="EY37" s="11" t="n">
        <v>-6262143</v>
      </c>
      <c r="EZ37" s="11" t="n">
        <v>-7112</v>
      </c>
      <c r="FA37" s="11" t="n">
        <v>1205</v>
      </c>
      <c r="FB37" s="11" t="n">
        <v>-39951</v>
      </c>
      <c r="FC37" s="11" t="n">
        <v>-14806</v>
      </c>
      <c r="FD37" s="11" t="n">
        <v>59013</v>
      </c>
      <c r="FE37" s="11" t="n">
        <v>-71716</v>
      </c>
      <c r="FF37" s="11" t="n">
        <v>2963284</v>
      </c>
      <c r="FG37" s="11" t="n">
        <v>1607712</v>
      </c>
      <c r="FH37" s="11" t="n">
        <v>-7277532</v>
      </c>
      <c r="FI37" s="11" t="n">
        <v>-99217</v>
      </c>
      <c r="FJ37" s="11" t="n">
        <v>-123097</v>
      </c>
      <c r="FK37" s="11" t="n">
        <v>637971</v>
      </c>
      <c r="FL37" s="11" t="n">
        <v>2862109</v>
      </c>
      <c r="FM37" s="11" t="n">
        <v>-16292520</v>
      </c>
      <c r="FN37" s="11" t="n">
        <v>-1810353</v>
      </c>
      <c r="FO37" s="11" t="n">
        <v>9262936</v>
      </c>
      <c r="FP37" s="11" t="n">
        <v>-439539</v>
      </c>
      <c r="FQ37" s="11" t="n">
        <v>15117745</v>
      </c>
      <c r="FR37" s="11" t="n">
        <v>-2419222</v>
      </c>
      <c r="FS37" s="11" t="n">
        <v>-521923</v>
      </c>
      <c r="FT37" s="11" t="n">
        <v>-35713840</v>
      </c>
      <c r="FU37" s="11" t="n">
        <v>359087152</v>
      </c>
      <c r="FV37" s="11" t="n">
        <v>386184984</v>
      </c>
      <c r="FW37" s="11" t="n">
        <v>754889688</v>
      </c>
      <c r="FX37" s="11" t="n">
        <v>41248252</v>
      </c>
      <c r="FY37" s="11" t="n">
        <v>-27652471</v>
      </c>
      <c r="FZ37" s="11" t="n">
        <v>-37832857</v>
      </c>
      <c r="GA37" s="11" t="n">
        <v>724063909</v>
      </c>
      <c r="GB37" s="11" t="n">
        <v>1252264471</v>
      </c>
      <c r="GC37" s="11" t="n">
        <v>-175396539</v>
      </c>
      <c r="GD37" s="11" t="n">
        <v>-96316</v>
      </c>
      <c r="GE37" s="11" t="n">
        <v>3146828</v>
      </c>
      <c r="GF37" s="11" t="n">
        <v>1850040</v>
      </c>
      <c r="GG37" s="11" t="n">
        <v>-6507356</v>
      </c>
      <c r="GH37" s="11" t="n">
        <v>7873</v>
      </c>
      <c r="GI37" s="11" t="n">
        <v>-112942</v>
      </c>
      <c r="GJ37" s="11" t="n">
        <v>303356</v>
      </c>
      <c r="GK37" s="11" t="n">
        <v>3841256</v>
      </c>
      <c r="GL37" s="11" t="n">
        <v>-10443141</v>
      </c>
      <c r="GM37" s="11" t="n">
        <v>1803782</v>
      </c>
      <c r="GN37" s="11" t="n">
        <v>-8399008</v>
      </c>
      <c r="GO37" s="11" t="n">
        <v>-3117396</v>
      </c>
      <c r="GP37" s="11" t="n">
        <v>32938868</v>
      </c>
      <c r="GQ37" s="11" t="n">
        <v>-59477052</v>
      </c>
      <c r="GR37" s="11" t="n">
        <v>-508717316</v>
      </c>
      <c r="GS37" s="11" t="n">
        <v>-422071284</v>
      </c>
      <c r="GT37" s="11" t="n">
        <v>10103659</v>
      </c>
      <c r="GU37" s="11" t="n">
        <v>-29145907</v>
      </c>
      <c r="GV37" s="11" t="n">
        <v>28806230</v>
      </c>
      <c r="GW37" s="11" t="n">
        <v>-818360801</v>
      </c>
      <c r="GX37" s="11" t="n">
        <v>1060766</v>
      </c>
      <c r="GY37" s="11" t="n">
        <v>-113090208</v>
      </c>
      <c r="GZ37" s="11" t="n">
        <v>11507692</v>
      </c>
      <c r="HA37" s="11" t="n">
        <v>-205338560</v>
      </c>
      <c r="HB37" s="11" t="n">
        <v>13829998</v>
      </c>
      <c r="HC37" s="11" t="n">
        <v>-26372752</v>
      </c>
      <c r="HD37" s="11" t="n">
        <v>-267056</v>
      </c>
      <c r="HE37" s="11" t="n">
        <v>-20875</v>
      </c>
      <c r="HF37" s="11" t="n">
        <v>-1238481</v>
      </c>
      <c r="HG37" s="11" t="n">
        <v>-761782</v>
      </c>
      <c r="HH37" s="11" t="n">
        <v>-406629</v>
      </c>
      <c r="HI37" s="11" t="n">
        <v>5122672</v>
      </c>
      <c r="HJ37" s="11" t="n">
        <v>80341168</v>
      </c>
      <c r="HK37" s="11" t="n">
        <v>84696784</v>
      </c>
      <c r="HL37" s="11" t="n">
        <v>36711920</v>
      </c>
      <c r="HM37" s="11" t="n">
        <v>-17476522</v>
      </c>
      <c r="HN37" s="11" t="n">
        <v>-7992009</v>
      </c>
      <c r="HO37" s="11" t="n">
        <v>-4930298</v>
      </c>
      <c r="HP37" s="11" t="n">
        <v>163609513</v>
      </c>
      <c r="HQ37" s="11" t="n">
        <v>47922408</v>
      </c>
      <c r="HR37" s="11" t="n">
        <v>-24240941</v>
      </c>
      <c r="HS37" s="11" t="n">
        <v>122537968</v>
      </c>
      <c r="HT37" s="11" t="n">
        <v>-4611362</v>
      </c>
      <c r="HU37" s="11" t="n">
        <v>211927954</v>
      </c>
      <c r="HV37" s="11" t="n">
        <v>-15277304</v>
      </c>
      <c r="HW37" s="11" t="n">
        <v>24592260</v>
      </c>
      <c r="HX37" s="11" t="n">
        <v>-837724160</v>
      </c>
      <c r="HY37" s="11" t="n">
        <v>1126349728</v>
      </c>
      <c r="HZ37" s="11" t="n">
        <v>31122448</v>
      </c>
      <c r="IA37" s="11" t="n">
        <v>424711616</v>
      </c>
      <c r="IB37" s="11" t="n">
        <v>1406447028</v>
      </c>
      <c r="IC37" s="11" t="n">
        <v>-105613662</v>
      </c>
      <c r="ID37" s="11" t="n">
        <v>152140856</v>
      </c>
      <c r="IE37" s="11" t="n">
        <v>194252478</v>
      </c>
      <c r="IF37" s="11" t="n">
        <v>508485488</v>
      </c>
      <c r="IG37" s="11" t="n">
        <v>-59196508</v>
      </c>
      <c r="IH37" s="11" t="n">
        <v>3572392</v>
      </c>
      <c r="II37" s="11" t="n">
        <v>89712824</v>
      </c>
      <c r="IJ37" s="11" t="n">
        <v>91846000</v>
      </c>
      <c r="IK37" s="11" t="n">
        <v>40781832</v>
      </c>
      <c r="IL37" s="11" t="n">
        <v>-9554492</v>
      </c>
      <c r="IM37" s="11" t="n">
        <v>-3010974</v>
      </c>
      <c r="IN37" s="11" t="n">
        <v>-2251653</v>
      </c>
      <c r="IO37" s="11" t="n">
        <v>170031422</v>
      </c>
      <c r="IP37" s="11" t="n">
        <v>52527141</v>
      </c>
      <c r="IQ37" s="11" t="n">
        <v>-23517096</v>
      </c>
      <c r="IR37" s="11" t="n">
        <v>-646153712</v>
      </c>
      <c r="IS37" s="11" t="n">
        <v>-628807512</v>
      </c>
      <c r="IT37" s="11" t="n">
        <v>-291184544</v>
      </c>
      <c r="IU37" s="11" t="n">
        <v>821448536</v>
      </c>
      <c r="IV37" s="11" t="n">
        <v>63919184</v>
      </c>
      <c r="IW37" s="11" t="n">
        <v>-307976648</v>
      </c>
      <c r="IX37" s="11" t="n">
        <v>1137160848</v>
      </c>
      <c r="IY37" s="11" t="n">
        <v>371517586</v>
      </c>
      <c r="IZ37" s="11" t="n">
        <v>-150909315</v>
      </c>
      <c r="JA37" s="11" t="n">
        <v>-359815597</v>
      </c>
      <c r="JB37" s="11" t="n">
        <v>-421800</v>
      </c>
      <c r="JC37" s="11" t="n">
        <v>-86435</v>
      </c>
      <c r="JD37" s="11" t="n">
        <v>-1744527</v>
      </c>
      <c r="JE37" s="11" t="n">
        <v>-1369606</v>
      </c>
      <c r="JF37" s="11" t="n">
        <v>-2762747</v>
      </c>
      <c r="JG37" s="11" t="n">
        <v>13790880</v>
      </c>
      <c r="JH37" s="11" t="n">
        <v>104336976</v>
      </c>
      <c r="JI37" s="11" t="n">
        <v>151515528</v>
      </c>
      <c r="JJ37" s="11" t="n">
        <v>284054736</v>
      </c>
      <c r="JK37" s="11" t="n">
        <v>-35657174</v>
      </c>
      <c r="JL37" s="11" t="n">
        <v>-13731217</v>
      </c>
      <c r="JM37" s="11" t="n">
        <v>-32120534</v>
      </c>
      <c r="JN37" s="11" t="n">
        <v>287867191</v>
      </c>
      <c r="JO37" s="11" t="n">
        <v>491428376</v>
      </c>
      <c r="JP37" s="11" t="n">
        <v>-70071123</v>
      </c>
      <c r="JQ37" s="11" t="n">
        <v>13460</v>
      </c>
      <c r="JR37" s="11" t="n">
        <v>-53268</v>
      </c>
      <c r="JS37" s="11" t="n">
        <v>41896</v>
      </c>
      <c r="JT37" s="11" t="n">
        <v>533852</v>
      </c>
      <c r="JU37" s="11" t="n">
        <v>-66585</v>
      </c>
      <c r="JV37" s="11" t="n">
        <v>-35120</v>
      </c>
      <c r="JW37" s="11" t="n">
        <v>21235</v>
      </c>
      <c r="JX37" s="11" t="n">
        <v>346242</v>
      </c>
      <c r="JY37" s="11" t="n">
        <v>2556864</v>
      </c>
      <c r="JZ37" s="11" t="n">
        <v>1459030</v>
      </c>
      <c r="KA37" s="11" t="n">
        <v>5071096</v>
      </c>
      <c r="KB37" s="11" t="n">
        <v>3465188</v>
      </c>
      <c r="KC37" s="11" t="n">
        <v>-8390024</v>
      </c>
      <c r="KD37" s="11" t="n">
        <v>-29497940</v>
      </c>
      <c r="KE37" s="11" t="n">
        <v>-167926816</v>
      </c>
      <c r="KF37" s="11" t="n">
        <v>-163551708</v>
      </c>
      <c r="KG37" s="11" t="n">
        <v>-3910301</v>
      </c>
      <c r="KH37" s="11" t="n">
        <v>33504088</v>
      </c>
      <c r="KI37" s="11" t="n">
        <v>16424545</v>
      </c>
      <c r="KJ37" s="11" t="n">
        <v>-324376816</v>
      </c>
      <c r="KK37" s="11" t="n">
        <v>-11818480</v>
      </c>
      <c r="KL37" s="11" t="n">
        <v>-117254496</v>
      </c>
      <c r="KM37" s="11" t="n">
        <v>-164289488</v>
      </c>
      <c r="KN37" s="11" t="n">
        <v>-309369256</v>
      </c>
      <c r="KO37" s="11" t="n">
        <v>24852454</v>
      </c>
      <c r="KP37" s="11" t="n">
        <v>4709102</v>
      </c>
      <c r="KQ37" s="11" t="n">
        <v>14014079</v>
      </c>
      <c r="KR37" s="11" t="n">
        <v>-298755302</v>
      </c>
      <c r="KS37" s="11" t="n">
        <v>-511518523</v>
      </c>
      <c r="KT37" s="11" t="n">
        <v>71541728</v>
      </c>
      <c r="KU37" s="11" t="n">
        <v>910237600</v>
      </c>
      <c r="KV37" s="11" t="n">
        <v>1126157840</v>
      </c>
      <c r="KW37" s="11" t="n">
        <v>2155948480</v>
      </c>
      <c r="KX37" s="11" t="n">
        <v>-1480342592</v>
      </c>
      <c r="KY37" s="11" t="n">
        <v>-2437274224</v>
      </c>
      <c r="KZ37" s="11" t="n">
        <v>490846440</v>
      </c>
      <c r="LA37" s="11" t="n">
        <v>-2005451142</v>
      </c>
      <c r="LB37" s="11" t="n">
        <v>-3454290974</v>
      </c>
      <c r="LC37" s="11" t="n">
        <v>476328905</v>
      </c>
      <c r="LD37" s="11" t="n">
        <v>247956883</v>
      </c>
      <c r="LE37" s="11" t="n">
        <v>5234216</v>
      </c>
      <c r="LF37" s="11" t="n">
        <v>4068728</v>
      </c>
      <c r="LG37" s="11" t="n">
        <v>-5085844</v>
      </c>
      <c r="LH37" s="11" t="n">
        <v>-32394184</v>
      </c>
      <c r="LI37" s="11" t="n">
        <v>-187472804</v>
      </c>
      <c r="LJ37" s="11" t="n">
        <v>-177204688</v>
      </c>
      <c r="LK37" s="11" t="n">
        <v>-6470326</v>
      </c>
      <c r="LL37" s="11" t="n">
        <v>16901363</v>
      </c>
      <c r="LM37" s="11" t="n">
        <v>6851070</v>
      </c>
      <c r="LN37" s="11" t="n">
        <v>-336347606</v>
      </c>
      <c r="LO37" s="11" t="n">
        <v>185391368</v>
      </c>
      <c r="LP37" s="11" t="n">
        <v>1346537496</v>
      </c>
      <c r="LQ37" s="11" t="n">
        <v>1226843980</v>
      </c>
      <c r="LR37" s="11" t="n">
        <v>-1693499812</v>
      </c>
      <c r="LS37" s="11" t="n">
        <v>-2263166705</v>
      </c>
    </row>
    <row r="38" customFormat="false" ht="15" hidden="false" customHeight="true" outlineLevel="0" collapsed="false">
      <c r="A38" s="7" t="s">
        <v>104</v>
      </c>
      <c r="B38" s="11" t="n">
        <v>-478942</v>
      </c>
      <c r="C38" s="11" t="n">
        <v>-20147816</v>
      </c>
      <c r="D38" s="11" t="n">
        <v>-713130</v>
      </c>
      <c r="E38" s="11" t="n">
        <v>-27312408</v>
      </c>
      <c r="F38" s="11" t="n">
        <v>197730</v>
      </c>
      <c r="G38" s="11" t="n">
        <v>-21904722</v>
      </c>
      <c r="H38" s="11" t="n">
        <v>14357522</v>
      </c>
      <c r="I38" s="11" t="n">
        <v>16258420</v>
      </c>
      <c r="J38" s="11" t="n">
        <v>-3558120</v>
      </c>
      <c r="K38" s="11" t="n">
        <v>6832</v>
      </c>
      <c r="L38" s="11" t="n">
        <v>-838340</v>
      </c>
      <c r="M38" s="11" t="n">
        <v>115368</v>
      </c>
      <c r="N38" s="11" t="n">
        <v>-1503272</v>
      </c>
      <c r="O38" s="11" t="n">
        <v>-184050</v>
      </c>
      <c r="P38" s="11" t="n">
        <v>595410</v>
      </c>
      <c r="Q38" s="11" t="n">
        <v>5585336</v>
      </c>
      <c r="R38" s="11" t="n">
        <v>167640560</v>
      </c>
      <c r="S38" s="11" t="n">
        <v>3384264</v>
      </c>
      <c r="T38" s="11" t="n">
        <v>99494264</v>
      </c>
      <c r="U38" s="11" t="n">
        <v>-114406320</v>
      </c>
      <c r="V38" s="11" t="n">
        <v>-95738520</v>
      </c>
      <c r="W38" s="11" t="n">
        <v>-1637868</v>
      </c>
      <c r="X38" s="11" t="n">
        <v>174600</v>
      </c>
      <c r="Y38" s="11" t="n">
        <v>-2550792</v>
      </c>
      <c r="Z38" s="11" t="n">
        <v>-69238</v>
      </c>
      <c r="AA38" s="11" t="n">
        <v>1118470</v>
      </c>
      <c r="AB38" s="11" t="n">
        <v>6232932</v>
      </c>
      <c r="AC38" s="11" t="n">
        <v>-47384388</v>
      </c>
      <c r="AD38" s="11" t="n">
        <v>-35627140</v>
      </c>
      <c r="AE38" s="11" t="n">
        <v>5495440</v>
      </c>
      <c r="AF38" s="11" t="n">
        <v>-4655808</v>
      </c>
      <c r="AG38" s="11" t="n">
        <v>3534438</v>
      </c>
      <c r="AH38" s="11" t="n">
        <v>3670530</v>
      </c>
      <c r="AI38" s="11" t="n">
        <v>-53482102</v>
      </c>
      <c r="AJ38" s="11" t="n">
        <v>-23799410</v>
      </c>
      <c r="AK38" s="11" t="n">
        <v>-24096810</v>
      </c>
      <c r="AL38" s="11" t="n">
        <v>8545318</v>
      </c>
      <c r="AM38" s="11" t="n">
        <v>111662</v>
      </c>
      <c r="AN38" s="11" t="n">
        <v>6643978</v>
      </c>
      <c r="AO38" s="11" t="n">
        <v>-1372244</v>
      </c>
      <c r="AP38" s="11" t="n">
        <v>5481655</v>
      </c>
      <c r="AQ38" s="11" t="n">
        <v>-5678041</v>
      </c>
      <c r="AR38" s="11" t="n">
        <v>-6443445</v>
      </c>
      <c r="AS38" s="11" t="n">
        <v>-8026394</v>
      </c>
      <c r="AT38" s="11" t="n">
        <v>-207815488</v>
      </c>
      <c r="AU38" s="11" t="n">
        <v>-54198742</v>
      </c>
      <c r="AV38" s="11" t="n">
        <v>-160226998</v>
      </c>
      <c r="AW38" s="11" t="n">
        <v>17307870</v>
      </c>
      <c r="AX38" s="11" t="n">
        <v>19025320</v>
      </c>
      <c r="AY38" s="11" t="n">
        <v>3524982</v>
      </c>
      <c r="AZ38" s="11" t="n">
        <v>-1997130</v>
      </c>
      <c r="BA38" s="11" t="n">
        <v>3055083</v>
      </c>
      <c r="BB38" s="11" t="n">
        <v>-5107073</v>
      </c>
      <c r="BC38" s="11" t="n">
        <v>-5803555</v>
      </c>
      <c r="BD38" s="11" t="n">
        <v>-75511386</v>
      </c>
      <c r="BE38" s="11" t="n">
        <v>8733222</v>
      </c>
      <c r="BF38" s="11" t="n">
        <v>-124628686</v>
      </c>
      <c r="BG38" s="11" t="n">
        <v>-141907400</v>
      </c>
      <c r="BH38" s="11" t="n">
        <v>60497379</v>
      </c>
      <c r="BI38" s="11" t="n">
        <v>-38792389</v>
      </c>
      <c r="BJ38" s="11" t="n">
        <v>-43922765</v>
      </c>
      <c r="BK38" s="11" t="n">
        <v>-95362126</v>
      </c>
      <c r="BL38" s="11" t="n">
        <v>-108611945</v>
      </c>
      <c r="BM38" s="11" t="n">
        <v>409085</v>
      </c>
      <c r="BN38" s="11" t="n">
        <v>951448</v>
      </c>
      <c r="BO38" s="11" t="n">
        <v>34401220</v>
      </c>
      <c r="BP38" s="11" t="n">
        <v>-8136168</v>
      </c>
      <c r="BQ38" s="11" t="n">
        <v>13902412</v>
      </c>
      <c r="BR38" s="11" t="n">
        <v>-45466710</v>
      </c>
      <c r="BS38" s="11" t="n">
        <v>-37245810</v>
      </c>
      <c r="BT38" s="11" t="n">
        <v>-290228</v>
      </c>
      <c r="BU38" s="11" t="n">
        <v>46472</v>
      </c>
      <c r="BV38" s="11" t="n">
        <v>-428672</v>
      </c>
      <c r="BW38" s="11" t="n">
        <v>38086</v>
      </c>
      <c r="BX38" s="11" t="n">
        <v>230730</v>
      </c>
      <c r="BY38" s="11" t="n">
        <v>-801568</v>
      </c>
      <c r="BZ38" s="11" t="n">
        <v>-11258598</v>
      </c>
      <c r="CA38" s="11" t="n">
        <v>-12492020</v>
      </c>
      <c r="CB38" s="11" t="n">
        <v>-3018960</v>
      </c>
      <c r="CC38" s="11" t="n">
        <v>2986684</v>
      </c>
      <c r="CD38" s="11" t="n">
        <v>1895064</v>
      </c>
      <c r="CE38" s="11" t="n">
        <v>-153840</v>
      </c>
      <c r="CF38" s="11" t="n">
        <v>-19928381</v>
      </c>
      <c r="CG38" s="11" t="n">
        <v>-13409595</v>
      </c>
      <c r="CH38" s="11" t="n">
        <v>-9534930</v>
      </c>
      <c r="CI38" s="11" t="n">
        <v>-9173692</v>
      </c>
      <c r="CJ38" s="11" t="n">
        <v>13676656</v>
      </c>
      <c r="CK38" s="11" t="n">
        <v>4781732</v>
      </c>
      <c r="CL38" s="11" t="n">
        <v>40778610</v>
      </c>
      <c r="CM38" s="11" t="n">
        <v>32865710</v>
      </c>
      <c r="CN38" s="11" t="n">
        <v>416055268</v>
      </c>
      <c r="CO38" s="11" t="n">
        <v>306936228</v>
      </c>
      <c r="CP38" s="11" t="n">
        <v>1036038060</v>
      </c>
      <c r="CQ38" s="11" t="n">
        <v>829198160</v>
      </c>
      <c r="CR38" s="11" t="n">
        <v>-240731476</v>
      </c>
      <c r="CS38" s="11" t="n">
        <v>304852110</v>
      </c>
      <c r="CT38" s="11" t="n">
        <v>254346210</v>
      </c>
      <c r="CU38" s="11" t="n">
        <v>824354730</v>
      </c>
      <c r="CV38" s="11" t="n">
        <v>667416530</v>
      </c>
      <c r="CW38" s="11" t="n">
        <v>25788750</v>
      </c>
      <c r="CX38" s="11" t="n">
        <v>-3723828</v>
      </c>
      <c r="CY38" s="11" t="n">
        <v>-5591790</v>
      </c>
      <c r="CZ38" s="11" t="n">
        <v>-12071816</v>
      </c>
      <c r="DA38" s="11" t="n">
        <v>-7800640</v>
      </c>
      <c r="DB38" s="11" t="n">
        <v>6395532</v>
      </c>
      <c r="DC38" s="11" t="n">
        <v>1444298</v>
      </c>
      <c r="DD38" s="11" t="n">
        <v>-1711370</v>
      </c>
      <c r="DE38" s="11" t="n">
        <v>-18564089</v>
      </c>
      <c r="DF38" s="11" t="n">
        <v>-15967135</v>
      </c>
      <c r="DG38" s="11" t="n">
        <v>-8573380</v>
      </c>
      <c r="DH38" s="11" t="n">
        <v>129011958</v>
      </c>
      <c r="DI38" s="11" t="n">
        <v>126940724</v>
      </c>
      <c r="DJ38" s="11" t="n">
        <v>17191120</v>
      </c>
      <c r="DK38" s="11" t="n">
        <v>-227610606</v>
      </c>
      <c r="DL38" s="11" t="n">
        <v>-244438440</v>
      </c>
      <c r="DM38" s="11" t="n">
        <v>-210184480</v>
      </c>
      <c r="DN38" s="11" t="n">
        <v>-167978153</v>
      </c>
      <c r="DO38" s="11" t="n">
        <v>-88815475</v>
      </c>
      <c r="DP38" s="11" t="n">
        <v>-65006130</v>
      </c>
      <c r="DQ38" s="11" t="n">
        <v>-161573965</v>
      </c>
      <c r="DR38" s="11" t="n">
        <v>354944</v>
      </c>
      <c r="DS38" s="11" t="n">
        <v>3516</v>
      </c>
      <c r="DT38" s="11" t="n">
        <v>-329932</v>
      </c>
      <c r="DU38" s="11" t="n">
        <v>-7926</v>
      </c>
      <c r="DV38" s="11" t="n">
        <v>-223473</v>
      </c>
      <c r="DW38" s="11" t="n">
        <v>36233</v>
      </c>
      <c r="DX38" s="11" t="n">
        <v>-35401</v>
      </c>
      <c r="DY38" s="11" t="n">
        <v>-380592</v>
      </c>
      <c r="DZ38" s="11" t="n">
        <v>-34120592</v>
      </c>
      <c r="EA38" s="11" t="n">
        <v>-186888</v>
      </c>
      <c r="EB38" s="11" t="n">
        <v>-25634508</v>
      </c>
      <c r="EC38" s="11" t="n">
        <v>12164588</v>
      </c>
      <c r="ED38" s="11" t="n">
        <v>10559892</v>
      </c>
      <c r="EE38" s="11" t="n">
        <v>-691764</v>
      </c>
      <c r="EF38" s="11" t="n">
        <v>-10350</v>
      </c>
      <c r="EG38" s="11" t="n">
        <v>-493551</v>
      </c>
      <c r="EH38" s="11" t="n">
        <v>159351</v>
      </c>
      <c r="EI38" s="11" t="n">
        <v>66645</v>
      </c>
      <c r="EJ38" s="11" t="n">
        <v>-588204</v>
      </c>
      <c r="EK38" s="11" t="n">
        <v>2345760</v>
      </c>
      <c r="EL38" s="11" t="n">
        <v>-7824320</v>
      </c>
      <c r="EM38" s="11" t="n">
        <v>-13218844</v>
      </c>
      <c r="EN38" s="11" t="n">
        <v>454761</v>
      </c>
      <c r="EO38" s="11" t="n">
        <v>-252561</v>
      </c>
      <c r="EP38" s="11" t="n">
        <v>-254445</v>
      </c>
      <c r="EQ38" s="11" t="n">
        <v>-5042040</v>
      </c>
      <c r="ER38" s="11" t="n">
        <v>-9205221</v>
      </c>
      <c r="ES38" s="11" t="n">
        <v>2291221</v>
      </c>
      <c r="ET38" s="11" t="n">
        <v>31184</v>
      </c>
      <c r="EU38" s="11" t="n">
        <v>-3072400</v>
      </c>
      <c r="EV38" s="11" t="n">
        <v>26616</v>
      </c>
      <c r="EW38" s="11" t="n">
        <v>-2774284</v>
      </c>
      <c r="EX38" s="11" t="n">
        <v>132780</v>
      </c>
      <c r="EY38" s="11" t="n">
        <v>178260</v>
      </c>
      <c r="EZ38" s="11" t="n">
        <v>-1448</v>
      </c>
      <c r="FA38" s="11" t="n">
        <v>960</v>
      </c>
      <c r="FB38" s="11" t="n">
        <v>-7848</v>
      </c>
      <c r="FC38" s="11" t="n">
        <v>-1868</v>
      </c>
      <c r="FD38" s="11" t="n">
        <v>4876</v>
      </c>
      <c r="FE38" s="11" t="n">
        <v>-93348</v>
      </c>
      <c r="FF38" s="11" t="n">
        <v>644402</v>
      </c>
      <c r="FG38" s="11" t="n">
        <v>190210</v>
      </c>
      <c r="FH38" s="11" t="n">
        <v>-472130</v>
      </c>
      <c r="FI38" s="11" t="n">
        <v>78708</v>
      </c>
      <c r="FJ38" s="11" t="n">
        <v>-5682</v>
      </c>
      <c r="FK38" s="11" t="n">
        <v>-1326</v>
      </c>
      <c r="FL38" s="11" t="n">
        <v>199603</v>
      </c>
      <c r="FM38" s="11" t="n">
        <v>-388931</v>
      </c>
      <c r="FN38" s="11" t="n">
        <v>31440</v>
      </c>
      <c r="FO38" s="11" t="n">
        <v>6292112</v>
      </c>
      <c r="FP38" s="11" t="n">
        <v>-12120</v>
      </c>
      <c r="FQ38" s="11" t="n">
        <v>5226900</v>
      </c>
      <c r="FR38" s="11" t="n">
        <v>-1211108</v>
      </c>
      <c r="FS38" s="11" t="n">
        <v>-1118892</v>
      </c>
      <c r="FT38" s="11" t="n">
        <v>-4176288</v>
      </c>
      <c r="FU38" s="11" t="n">
        <v>44797912</v>
      </c>
      <c r="FV38" s="11" t="n">
        <v>92532760</v>
      </c>
      <c r="FW38" s="11" t="n">
        <v>74270520</v>
      </c>
      <c r="FX38" s="11" t="n">
        <v>3382980</v>
      </c>
      <c r="FY38" s="11" t="n">
        <v>-982092</v>
      </c>
      <c r="FZ38" s="11" t="n">
        <v>-885708</v>
      </c>
      <c r="GA38" s="11" t="n">
        <v>85490308</v>
      </c>
      <c r="GB38" s="11" t="n">
        <v>69663192</v>
      </c>
      <c r="GC38" s="11" t="n">
        <v>2158980</v>
      </c>
      <c r="GD38" s="11" t="n">
        <v>-193140</v>
      </c>
      <c r="GE38" s="11" t="n">
        <v>1340814</v>
      </c>
      <c r="GF38" s="11" t="n">
        <v>433150</v>
      </c>
      <c r="GG38" s="11" t="n">
        <v>-931894</v>
      </c>
      <c r="GH38" s="11" t="n">
        <v>157860</v>
      </c>
      <c r="GI38" s="11" t="n">
        <v>-38010</v>
      </c>
      <c r="GJ38" s="11" t="n">
        <v>-32550</v>
      </c>
      <c r="GK38" s="11" t="n">
        <v>617901</v>
      </c>
      <c r="GL38" s="11" t="n">
        <v>-535701</v>
      </c>
      <c r="GM38" s="11" t="n">
        <v>256396</v>
      </c>
      <c r="GN38" s="11" t="n">
        <v>485154</v>
      </c>
      <c r="GO38" s="11" t="n">
        <v>2552850</v>
      </c>
      <c r="GP38" s="11" t="n">
        <v>2898306</v>
      </c>
      <c r="GQ38" s="11" t="n">
        <v>-16634320</v>
      </c>
      <c r="GR38" s="11" t="n">
        <v>-22461434</v>
      </c>
      <c r="GS38" s="11" t="n">
        <v>-18817370</v>
      </c>
      <c r="GT38" s="11" t="n">
        <v>-2182011</v>
      </c>
      <c r="GU38" s="11" t="n">
        <v>-2450649</v>
      </c>
      <c r="GV38" s="11" t="n">
        <v>140154</v>
      </c>
      <c r="GW38" s="11" t="n">
        <v>-16997111</v>
      </c>
      <c r="GX38" s="11" t="n">
        <v>20020</v>
      </c>
      <c r="GY38" s="11" t="n">
        <v>10810524</v>
      </c>
      <c r="GZ38" s="11" t="n">
        <v>-875554</v>
      </c>
      <c r="HA38" s="11" t="n">
        <v>8049677</v>
      </c>
      <c r="HB38" s="11" t="n">
        <v>-4854469</v>
      </c>
      <c r="HC38" s="11" t="n">
        <v>-4143611</v>
      </c>
      <c r="HD38" s="11" t="n">
        <v>125696</v>
      </c>
      <c r="HE38" s="11" t="n">
        <v>-8226</v>
      </c>
      <c r="HF38" s="11" t="n">
        <v>92343</v>
      </c>
      <c r="HG38" s="11" t="n">
        <v>-50131</v>
      </c>
      <c r="HH38" s="11" t="n">
        <v>-39049</v>
      </c>
      <c r="HI38" s="11" t="n">
        <v>1055258</v>
      </c>
      <c r="HJ38" s="11" t="n">
        <v>-676123</v>
      </c>
      <c r="HK38" s="11" t="n">
        <v>3408839</v>
      </c>
      <c r="HL38" s="11" t="n">
        <v>4929829</v>
      </c>
      <c r="HM38" s="11" t="n">
        <v>-731001</v>
      </c>
      <c r="HN38" s="11" t="n">
        <v>197779</v>
      </c>
      <c r="HO38" s="11" t="n">
        <v>5203</v>
      </c>
      <c r="HP38" s="11" t="n">
        <v>2234659</v>
      </c>
      <c r="HQ38" s="11" t="n">
        <v>3411670</v>
      </c>
      <c r="HR38" s="11" t="n">
        <v>-907153</v>
      </c>
      <c r="HS38" s="11" t="n">
        <v>-9667172</v>
      </c>
      <c r="HT38" s="11" t="n">
        <v>949362</v>
      </c>
      <c r="HU38" s="11" t="n">
        <v>-7185471</v>
      </c>
      <c r="HV38" s="11" t="n">
        <v>4519127</v>
      </c>
      <c r="HW38" s="11" t="n">
        <v>3847413</v>
      </c>
      <c r="HX38" s="11" t="n">
        <v>89858620</v>
      </c>
      <c r="HY38" s="11" t="n">
        <v>6938332</v>
      </c>
      <c r="HZ38" s="11" t="n">
        <v>96161044</v>
      </c>
      <c r="IA38" s="11" t="n">
        <v>76700816</v>
      </c>
      <c r="IB38" s="11" t="n">
        <v>-67472007</v>
      </c>
      <c r="IC38" s="11" t="n">
        <v>32562871</v>
      </c>
      <c r="ID38" s="11" t="n">
        <v>28230219</v>
      </c>
      <c r="IE38" s="11" t="n">
        <v>74718604</v>
      </c>
      <c r="IF38" s="11" t="n">
        <v>59771991</v>
      </c>
      <c r="IG38" s="11" t="n">
        <v>2415445</v>
      </c>
      <c r="IH38" s="11" t="n">
        <v>1988454</v>
      </c>
      <c r="II38" s="11" t="n">
        <v>-523941</v>
      </c>
      <c r="IJ38" s="11" t="n">
        <v>4166393</v>
      </c>
      <c r="IK38" s="11" t="n">
        <v>5300251</v>
      </c>
      <c r="IL38" s="11" t="n">
        <v>-1426536</v>
      </c>
      <c r="IM38" s="11" t="n">
        <v>520386</v>
      </c>
      <c r="IN38" s="11" t="n">
        <v>270870</v>
      </c>
      <c r="IO38" s="11" t="n">
        <v>2851893</v>
      </c>
      <c r="IP38" s="11" t="n">
        <v>3731079</v>
      </c>
      <c r="IQ38" s="11" t="n">
        <v>-819544</v>
      </c>
      <c r="IR38" s="11" t="n">
        <v>6297309</v>
      </c>
      <c r="IS38" s="11" t="n">
        <v>-18948097</v>
      </c>
      <c r="IT38" s="11" t="n">
        <v>-33490373</v>
      </c>
      <c r="IU38" s="11" t="n">
        <v>-8202040</v>
      </c>
      <c r="IV38" s="11" t="n">
        <v>-7961129</v>
      </c>
      <c r="IW38" s="11" t="n">
        <v>-19665723</v>
      </c>
      <c r="IX38" s="11" t="n">
        <v>11945517</v>
      </c>
      <c r="IY38" s="11" t="n">
        <v>23168487</v>
      </c>
      <c r="IZ38" s="11" t="n">
        <v>-6183422</v>
      </c>
      <c r="JA38" s="11" t="n">
        <v>-15074543</v>
      </c>
      <c r="JB38" s="11" t="n">
        <v>1123064</v>
      </c>
      <c r="JC38" s="11" t="n">
        <v>-78424</v>
      </c>
      <c r="JD38" s="11" t="n">
        <v>863692</v>
      </c>
      <c r="JE38" s="11" t="n">
        <v>-433984</v>
      </c>
      <c r="JF38" s="11" t="n">
        <v>-374096</v>
      </c>
      <c r="JG38" s="11" t="n">
        <v>6768164</v>
      </c>
      <c r="JH38" s="11" t="n">
        <v>14818214</v>
      </c>
      <c r="JI38" s="11" t="n">
        <v>37976270</v>
      </c>
      <c r="JJ38" s="11" t="n">
        <v>30437890</v>
      </c>
      <c r="JK38" s="11" t="n">
        <v>-6239816</v>
      </c>
      <c r="JL38" s="11" t="n">
        <v>-36486</v>
      </c>
      <c r="JM38" s="11" t="n">
        <v>129006</v>
      </c>
      <c r="JN38" s="11" t="n">
        <v>34931819</v>
      </c>
      <c r="JO38" s="11" t="n">
        <v>28344241</v>
      </c>
      <c r="JP38" s="11" t="n">
        <v>887940</v>
      </c>
      <c r="JQ38" s="11" t="n">
        <v>-30932</v>
      </c>
      <c r="JR38" s="11" t="n">
        <v>242534</v>
      </c>
      <c r="JS38" s="11" t="n">
        <v>87426</v>
      </c>
      <c r="JT38" s="11" t="n">
        <v>-158234</v>
      </c>
      <c r="JU38" s="11" t="n">
        <v>6852</v>
      </c>
      <c r="JV38" s="11" t="n">
        <v>-18058</v>
      </c>
      <c r="JW38" s="11" t="n">
        <v>746</v>
      </c>
      <c r="JX38" s="11" t="n">
        <v>160957</v>
      </c>
      <c r="JY38" s="11" t="n">
        <v>-40901</v>
      </c>
      <c r="JZ38" s="11" t="n">
        <v>90268</v>
      </c>
      <c r="KA38" s="11" t="n">
        <v>1869766</v>
      </c>
      <c r="KB38" s="11" t="n">
        <v>1572836</v>
      </c>
      <c r="KC38" s="11" t="n">
        <v>-115264</v>
      </c>
      <c r="KD38" s="11" t="n">
        <v>-7047719</v>
      </c>
      <c r="KE38" s="11" t="n">
        <v>-8661099</v>
      </c>
      <c r="KF38" s="11" t="n">
        <v>-7720130</v>
      </c>
      <c r="KG38" s="11" t="n">
        <v>-1439975</v>
      </c>
      <c r="KH38" s="11" t="n">
        <v>70627</v>
      </c>
      <c r="KI38" s="11" t="n">
        <v>-29358</v>
      </c>
      <c r="KJ38" s="11" t="n">
        <v>-6936443</v>
      </c>
      <c r="KK38" s="11" t="n">
        <v>-15387412</v>
      </c>
      <c r="KL38" s="11" t="n">
        <v>-13971794</v>
      </c>
      <c r="KM38" s="11" t="n">
        <v>-43949594</v>
      </c>
      <c r="KN38" s="11" t="n">
        <v>-35186846</v>
      </c>
      <c r="KO38" s="11" t="n">
        <v>12809340</v>
      </c>
      <c r="KP38" s="11" t="n">
        <v>-2877118</v>
      </c>
      <c r="KQ38" s="11" t="n">
        <v>-2668482</v>
      </c>
      <c r="KR38" s="11" t="n">
        <v>-39198521</v>
      </c>
      <c r="KS38" s="11" t="n">
        <v>-31714479</v>
      </c>
      <c r="KT38" s="11" t="n">
        <v>-1042540</v>
      </c>
      <c r="KU38" s="11" t="n">
        <v>118827218</v>
      </c>
      <c r="KV38" s="11" t="n">
        <v>255460466</v>
      </c>
      <c r="KW38" s="11" t="n">
        <v>204983874</v>
      </c>
      <c r="KX38" s="11" t="n">
        <v>-107436324</v>
      </c>
      <c r="KY38" s="11" t="n">
        <v>-85600006</v>
      </c>
      <c r="KZ38" s="11" t="n">
        <v>1306910</v>
      </c>
      <c r="LA38" s="11" t="n">
        <v>-234877697</v>
      </c>
      <c r="LB38" s="11" t="n">
        <v>-191247003</v>
      </c>
      <c r="LC38" s="11" t="n">
        <v>-5974290</v>
      </c>
      <c r="LD38" s="11" t="n">
        <v>3714155</v>
      </c>
      <c r="LE38" s="11" t="n">
        <v>3707844</v>
      </c>
      <c r="LF38" s="11" t="n">
        <v>2408330</v>
      </c>
      <c r="LG38" s="11" t="n">
        <v>-1198874</v>
      </c>
      <c r="LH38" s="11" t="n">
        <v>-8403593</v>
      </c>
      <c r="LI38" s="11" t="n">
        <v>-9567415</v>
      </c>
      <c r="LJ38" s="11" t="n">
        <v>-8931428</v>
      </c>
      <c r="LK38" s="11" t="n">
        <v>-2698116</v>
      </c>
      <c r="LL38" s="11" t="n">
        <v>354996</v>
      </c>
      <c r="LM38" s="11" t="n">
        <v>-641816</v>
      </c>
      <c r="LN38" s="11" t="n">
        <v>-7766572</v>
      </c>
      <c r="LO38" s="11" t="n">
        <v>42959297</v>
      </c>
      <c r="LP38" s="11" t="n">
        <v>58652299</v>
      </c>
      <c r="LQ38" s="11" t="n">
        <v>51986242</v>
      </c>
      <c r="LR38" s="11" t="n">
        <v>-22083083</v>
      </c>
      <c r="LS38" s="11" t="n">
        <v>-46792984</v>
      </c>
    </row>
    <row r="39" customFormat="false" ht="15" hidden="false" customHeight="true" outlineLevel="0" collapsed="false">
      <c r="A39" s="7" t="s">
        <v>105</v>
      </c>
      <c r="B39" s="11" t="n">
        <v>-231550</v>
      </c>
      <c r="C39" s="11" t="n">
        <v>3627780</v>
      </c>
      <c r="D39" s="11" t="n">
        <v>-509902</v>
      </c>
      <c r="E39" s="11" t="n">
        <v>-23739036</v>
      </c>
      <c r="F39" s="11" t="n">
        <v>-415662</v>
      </c>
      <c r="G39" s="11" t="n">
        <v>7632782</v>
      </c>
      <c r="H39" s="11" t="n">
        <v>3424566</v>
      </c>
      <c r="I39" s="11" t="n">
        <v>18650132</v>
      </c>
      <c r="J39" s="11" t="n">
        <v>-564880</v>
      </c>
      <c r="K39" s="11" t="n">
        <v>-10968</v>
      </c>
      <c r="L39" s="11" t="n">
        <v>-1315724</v>
      </c>
      <c r="M39" s="11" t="n">
        <v>11592</v>
      </c>
      <c r="N39" s="11" t="n">
        <v>848088</v>
      </c>
      <c r="O39" s="11" t="n">
        <v>-392906</v>
      </c>
      <c r="P39" s="11" t="n">
        <v>1220338</v>
      </c>
      <c r="Q39" s="11" t="n">
        <v>1415776</v>
      </c>
      <c r="R39" s="11" t="n">
        <v>78526728</v>
      </c>
      <c r="S39" s="11" t="n">
        <v>832416</v>
      </c>
      <c r="T39" s="11" t="n">
        <v>-31907936</v>
      </c>
      <c r="U39" s="11" t="n">
        <v>-2198628</v>
      </c>
      <c r="V39" s="11" t="n">
        <v>-64617596</v>
      </c>
      <c r="W39" s="11" t="n">
        <v>-1772924</v>
      </c>
      <c r="X39" s="11" t="n">
        <v>45216</v>
      </c>
      <c r="Y39" s="11" t="n">
        <v>1506048</v>
      </c>
      <c r="Z39" s="11" t="n">
        <v>-1027442</v>
      </c>
      <c r="AA39" s="11" t="n">
        <v>1803922</v>
      </c>
      <c r="AB39" s="11" t="n">
        <v>3550332</v>
      </c>
      <c r="AC39" s="11" t="n">
        <v>43576580</v>
      </c>
      <c r="AD39" s="11" t="n">
        <v>-59740848</v>
      </c>
      <c r="AE39" s="11" t="n">
        <v>19137212</v>
      </c>
      <c r="AF39" s="11" t="n">
        <v>1904544</v>
      </c>
      <c r="AG39" s="11" t="n">
        <v>-533874</v>
      </c>
      <c r="AH39" s="11" t="n">
        <v>3124338</v>
      </c>
      <c r="AI39" s="11" t="n">
        <v>25494706</v>
      </c>
      <c r="AJ39" s="11" t="n">
        <v>28081966</v>
      </c>
      <c r="AK39" s="11" t="n">
        <v>-49694998</v>
      </c>
      <c r="AL39" s="11" t="n">
        <v>-2024675</v>
      </c>
      <c r="AM39" s="11" t="n">
        <v>130025</v>
      </c>
      <c r="AN39" s="11" t="n">
        <v>8063125</v>
      </c>
      <c r="AO39" s="11" t="n">
        <v>-428000</v>
      </c>
      <c r="AP39" s="11" t="n">
        <v>-5741225</v>
      </c>
      <c r="AQ39" s="11" t="n">
        <v>-1125700</v>
      </c>
      <c r="AR39" s="11" t="n">
        <v>-8083725</v>
      </c>
      <c r="AS39" s="11" t="n">
        <v>2421437</v>
      </c>
      <c r="AT39" s="11" t="n">
        <v>81246336</v>
      </c>
      <c r="AU39" s="11" t="n">
        <v>10340187</v>
      </c>
      <c r="AV39" s="11" t="n">
        <v>23208803</v>
      </c>
      <c r="AW39" s="11" t="n">
        <v>-12307671</v>
      </c>
      <c r="AX39" s="11" t="n">
        <v>-36426172</v>
      </c>
      <c r="AY39" s="11" t="n">
        <v>4425547</v>
      </c>
      <c r="AZ39" s="11" t="n">
        <v>-1175921</v>
      </c>
      <c r="BA39" s="11" t="n">
        <v>-8356768</v>
      </c>
      <c r="BB39" s="11" t="n">
        <v>-555895</v>
      </c>
      <c r="BC39" s="11" t="n">
        <v>-7328543</v>
      </c>
      <c r="BD39" s="11" t="n">
        <v>-58353885</v>
      </c>
      <c r="BE39" s="11" t="n">
        <v>-322811797</v>
      </c>
      <c r="BF39" s="11" t="n">
        <v>3842241</v>
      </c>
      <c r="BG39" s="11" t="n">
        <v>-179319772</v>
      </c>
      <c r="BH39" s="11" t="n">
        <v>-24414769</v>
      </c>
      <c r="BI39" s="11" t="n">
        <v>-8350788</v>
      </c>
      <c r="BJ39" s="11" t="n">
        <v>-48984469</v>
      </c>
      <c r="BK39" s="11" t="n">
        <v>-47803849</v>
      </c>
      <c r="BL39" s="11" t="n">
        <v>-195954625</v>
      </c>
      <c r="BM39" s="11" t="n">
        <v>28887049</v>
      </c>
      <c r="BN39" s="11" t="n">
        <v>413108</v>
      </c>
      <c r="BO39" s="11" t="n">
        <v>31175174</v>
      </c>
      <c r="BP39" s="11" t="n">
        <v>-1145492</v>
      </c>
      <c r="BQ39" s="11" t="n">
        <v>-21421748</v>
      </c>
      <c r="BR39" s="11" t="n">
        <v>689361</v>
      </c>
      <c r="BS39" s="11" t="n">
        <v>-30391373</v>
      </c>
      <c r="BT39" s="11" t="n">
        <v>-356902</v>
      </c>
      <c r="BU39" s="11" t="n">
        <v>-13764</v>
      </c>
      <c r="BV39" s="11" t="n">
        <v>204288</v>
      </c>
      <c r="BW39" s="11" t="n">
        <v>-273955</v>
      </c>
      <c r="BX39" s="11" t="n">
        <v>302363</v>
      </c>
      <c r="BY39" s="11" t="n">
        <v>-2028340</v>
      </c>
      <c r="BZ39" s="11" t="n">
        <v>-3090598</v>
      </c>
      <c r="CA39" s="11" t="n">
        <v>-20078431</v>
      </c>
      <c r="CB39" s="11" t="n">
        <v>-3438623</v>
      </c>
      <c r="CC39" s="11" t="n">
        <v>-1280196</v>
      </c>
      <c r="CD39" s="11" t="n">
        <v>782608</v>
      </c>
      <c r="CE39" s="11" t="n">
        <v>-1850996</v>
      </c>
      <c r="CF39" s="11" t="n">
        <v>13865059</v>
      </c>
      <c r="CG39" s="11" t="n">
        <v>-650075</v>
      </c>
      <c r="CH39" s="11" t="n">
        <v>-19649659</v>
      </c>
      <c r="CI39" s="11" t="n">
        <v>-20707130</v>
      </c>
      <c r="CJ39" s="11" t="n">
        <v>3479744</v>
      </c>
      <c r="CK39" s="11" t="n">
        <v>30355072</v>
      </c>
      <c r="CL39" s="11" t="n">
        <v>-3335667</v>
      </c>
      <c r="CM39" s="11" t="n">
        <v>28914691</v>
      </c>
      <c r="CN39" s="11" t="n">
        <v>205180662</v>
      </c>
      <c r="CO39" s="11" t="n">
        <v>1216974086</v>
      </c>
      <c r="CP39" s="11" t="n">
        <v>-217171566</v>
      </c>
      <c r="CQ39" s="11" t="n">
        <v>658671368</v>
      </c>
      <c r="CR39" s="11" t="n">
        <v>96271936</v>
      </c>
      <c r="CS39" s="11" t="n">
        <v>3442635</v>
      </c>
      <c r="CT39" s="11" t="n">
        <v>175820005</v>
      </c>
      <c r="CU39" s="11" t="n">
        <v>122317203</v>
      </c>
      <c r="CV39" s="11" t="n">
        <v>733776861</v>
      </c>
      <c r="CW39" s="11" t="n">
        <v>-197146605</v>
      </c>
      <c r="CX39" s="11" t="n">
        <v>-3696226</v>
      </c>
      <c r="CY39" s="11" t="n">
        <v>-15985088</v>
      </c>
      <c r="CZ39" s="11" t="n">
        <v>-10850227</v>
      </c>
      <c r="DA39" s="11" t="n">
        <v>-9824649</v>
      </c>
      <c r="DB39" s="11" t="n">
        <v>-2732160</v>
      </c>
      <c r="DC39" s="11" t="n">
        <v>2418751</v>
      </c>
      <c r="DD39" s="11" t="n">
        <v>-3510287</v>
      </c>
      <c r="DE39" s="11" t="n">
        <v>18480608</v>
      </c>
      <c r="DF39" s="11" t="n">
        <v>-7918816</v>
      </c>
      <c r="DG39" s="11" t="n">
        <v>-16733498</v>
      </c>
      <c r="DH39" s="11" t="n">
        <v>-58838686</v>
      </c>
      <c r="DI39" s="11" t="n">
        <v>146276763</v>
      </c>
      <c r="DJ39" s="11" t="n">
        <v>-20223481</v>
      </c>
      <c r="DK39" s="11" t="n">
        <v>805324141</v>
      </c>
      <c r="DL39" s="11" t="n">
        <v>68933911</v>
      </c>
      <c r="DM39" s="11" t="n">
        <v>-448172599</v>
      </c>
      <c r="DN39" s="11" t="n">
        <v>69621119</v>
      </c>
      <c r="DO39" s="11" t="n">
        <v>40930097</v>
      </c>
      <c r="DP39" s="11" t="n">
        <v>-125684375</v>
      </c>
      <c r="DQ39" s="11" t="n">
        <v>-478643238</v>
      </c>
      <c r="DR39" s="11" t="n">
        <v>-31045</v>
      </c>
      <c r="DS39" s="11" t="n">
        <v>4203</v>
      </c>
      <c r="DT39" s="11" t="n">
        <v>179</v>
      </c>
      <c r="DU39" s="11" t="n">
        <v>3918</v>
      </c>
      <c r="DV39" s="11" t="n">
        <v>-384273</v>
      </c>
      <c r="DW39" s="11" t="n">
        <v>70826</v>
      </c>
      <c r="DX39" s="11" t="n">
        <v>-180673</v>
      </c>
      <c r="DY39" s="11" t="n">
        <v>2515</v>
      </c>
      <c r="DZ39" s="11" t="n">
        <v>3180000</v>
      </c>
      <c r="EA39" s="11" t="n">
        <v>-5655</v>
      </c>
      <c r="EB39" s="11" t="n">
        <v>4997185</v>
      </c>
      <c r="EC39" s="11" t="n">
        <v>-1568805</v>
      </c>
      <c r="ED39" s="11" t="n">
        <v>330160</v>
      </c>
      <c r="EE39" s="11" t="n">
        <v>-430507</v>
      </c>
      <c r="EF39" s="11" t="n">
        <v>1083</v>
      </c>
      <c r="EG39" s="11" t="n">
        <v>-707670</v>
      </c>
      <c r="EH39" s="11" t="n">
        <v>218129</v>
      </c>
      <c r="EI39" s="11" t="n">
        <v>-59335</v>
      </c>
      <c r="EJ39" s="11" t="n">
        <v>401361</v>
      </c>
      <c r="EK39" s="11" t="n">
        <v>-39390647</v>
      </c>
      <c r="EL39" s="11" t="n">
        <v>7263891</v>
      </c>
      <c r="EM39" s="11" t="n">
        <v>-18508592</v>
      </c>
      <c r="EN39" s="11" t="n">
        <v>-560667</v>
      </c>
      <c r="EO39" s="11" t="n">
        <v>185088</v>
      </c>
      <c r="EP39" s="11" t="n">
        <v>-8757</v>
      </c>
      <c r="EQ39" s="11" t="n">
        <v>-8017999</v>
      </c>
      <c r="ER39" s="11" t="n">
        <v>-24995485</v>
      </c>
      <c r="ES39" s="11" t="n">
        <v>8376769</v>
      </c>
      <c r="ET39" s="11" t="n">
        <v>11724</v>
      </c>
      <c r="EU39" s="11" t="n">
        <v>176842</v>
      </c>
      <c r="EV39" s="11" t="n">
        <v>8004</v>
      </c>
      <c r="EW39" s="11" t="n">
        <v>-1051164</v>
      </c>
      <c r="EX39" s="11" t="n">
        <v>225463</v>
      </c>
      <c r="EY39" s="11" t="n">
        <v>-604379</v>
      </c>
      <c r="EZ39" s="11" t="n">
        <v>-23874</v>
      </c>
      <c r="FA39" s="11" t="n">
        <v>396</v>
      </c>
      <c r="FB39" s="11" t="n">
        <v>-2808</v>
      </c>
      <c r="FC39" s="11" t="n">
        <v>-3777</v>
      </c>
      <c r="FD39" s="11" t="n">
        <v>13593</v>
      </c>
      <c r="FE39" s="11" t="n">
        <v>22272</v>
      </c>
      <c r="FF39" s="11" t="n">
        <v>-2182878</v>
      </c>
      <c r="FG39" s="11" t="n">
        <v>402147</v>
      </c>
      <c r="FH39" s="11" t="n">
        <v>-1025685</v>
      </c>
      <c r="FI39" s="11" t="n">
        <v>33588</v>
      </c>
      <c r="FJ39" s="11" t="n">
        <v>-10194</v>
      </c>
      <c r="FK39" s="11" t="n">
        <v>29694</v>
      </c>
      <c r="FL39" s="11" t="n">
        <v>392643</v>
      </c>
      <c r="FM39" s="11" t="n">
        <v>-1363491</v>
      </c>
      <c r="FN39" s="11" t="n">
        <v>66699</v>
      </c>
      <c r="FO39" s="11" t="n">
        <v>1186586</v>
      </c>
      <c r="FP39" s="11" t="n">
        <v>-2784</v>
      </c>
      <c r="FQ39" s="11" t="n">
        <v>1972320</v>
      </c>
      <c r="FR39" s="11" t="n">
        <v>-610717</v>
      </c>
      <c r="FS39" s="11" t="n">
        <v>173645</v>
      </c>
      <c r="FT39" s="11" t="n">
        <v>-852078</v>
      </c>
      <c r="FU39" s="11" t="n">
        <v>136138306</v>
      </c>
      <c r="FV39" s="11" t="n">
        <v>-32031018</v>
      </c>
      <c r="FW39" s="11" t="n">
        <v>63788416</v>
      </c>
      <c r="FX39" s="11" t="n">
        <v>1096896</v>
      </c>
      <c r="FY39" s="11" t="n">
        <v>-363399</v>
      </c>
      <c r="FZ39" s="11" t="n">
        <v>-24969</v>
      </c>
      <c r="GA39" s="11" t="n">
        <v>16826897</v>
      </c>
      <c r="GB39" s="11" t="n">
        <v>86105375</v>
      </c>
      <c r="GC39" s="11" t="n">
        <v>-28143467</v>
      </c>
      <c r="GD39" s="11" t="n">
        <v>-34410</v>
      </c>
      <c r="GE39" s="11" t="n">
        <v>-3732108</v>
      </c>
      <c r="GF39" s="11" t="n">
        <v>1625895</v>
      </c>
      <c r="GG39" s="11" t="n">
        <v>-1729347</v>
      </c>
      <c r="GH39" s="11" t="n">
        <v>65952</v>
      </c>
      <c r="GI39" s="11" t="n">
        <v>-21525</v>
      </c>
      <c r="GJ39" s="11" t="n">
        <v>9093</v>
      </c>
      <c r="GK39" s="11" t="n">
        <v>781674</v>
      </c>
      <c r="GL39" s="11" t="n">
        <v>-2328330</v>
      </c>
      <c r="GM39" s="11" t="n">
        <v>652134</v>
      </c>
      <c r="GN39" s="11" t="n">
        <v>6627894</v>
      </c>
      <c r="GO39" s="11" t="n">
        <v>-2096415</v>
      </c>
      <c r="GP39" s="11" t="n">
        <v>3091641</v>
      </c>
      <c r="GQ39" s="11" t="n">
        <v>85795191</v>
      </c>
      <c r="GR39" s="11" t="n">
        <v>2220561</v>
      </c>
      <c r="GS39" s="11" t="n">
        <v>-40722309</v>
      </c>
      <c r="GT39" s="11" t="n">
        <v>-127947</v>
      </c>
      <c r="GU39" s="11" t="n">
        <v>-4174149</v>
      </c>
      <c r="GV39" s="11" t="n">
        <v>1379973</v>
      </c>
      <c r="GW39" s="11" t="n">
        <v>-53989668</v>
      </c>
      <c r="GX39" s="11" t="n">
        <v>19318</v>
      </c>
      <c r="GY39" s="11" t="n">
        <v>-1079496</v>
      </c>
      <c r="GZ39" s="11" t="n">
        <v>91643</v>
      </c>
      <c r="HA39" s="11" t="n">
        <v>-2590333</v>
      </c>
      <c r="HB39" s="11" t="n">
        <v>770231</v>
      </c>
      <c r="HC39" s="11" t="n">
        <v>-495983</v>
      </c>
      <c r="HD39" s="11" t="n">
        <v>146258</v>
      </c>
      <c r="HE39" s="11" t="n">
        <v>-9969</v>
      </c>
      <c r="HF39" s="11" t="n">
        <v>111573</v>
      </c>
      <c r="HG39" s="11" t="n">
        <v>-60205</v>
      </c>
      <c r="HH39" s="11" t="n">
        <v>-45277</v>
      </c>
      <c r="HI39" s="11" t="n">
        <v>-136765</v>
      </c>
      <c r="HJ39" s="11" t="n">
        <v>13376867</v>
      </c>
      <c r="HK39" s="11" t="n">
        <v>-2467201</v>
      </c>
      <c r="HL39" s="11" t="n">
        <v>6285217</v>
      </c>
      <c r="HM39" s="11" t="n">
        <v>-807441</v>
      </c>
      <c r="HN39" s="11" t="n">
        <v>111868</v>
      </c>
      <c r="HO39" s="11" t="n">
        <v>-470741</v>
      </c>
      <c r="HP39" s="11" t="n">
        <v>3624289</v>
      </c>
      <c r="HQ39" s="11" t="n">
        <v>8935750</v>
      </c>
      <c r="HR39" s="11" t="n">
        <v>-3350989</v>
      </c>
      <c r="HS39" s="11" t="n">
        <v>2066232</v>
      </c>
      <c r="HT39" s="11" t="n">
        <v>-10943</v>
      </c>
      <c r="HU39" s="11" t="n">
        <v>3319385</v>
      </c>
      <c r="HV39" s="11" t="n">
        <v>-1038599</v>
      </c>
      <c r="HW39" s="11" t="n">
        <v>245625</v>
      </c>
      <c r="HX39" s="11" t="n">
        <v>-9190536</v>
      </c>
      <c r="HY39" s="11" t="n">
        <v>91570872</v>
      </c>
      <c r="HZ39" s="11" t="n">
        <v>-24345816</v>
      </c>
      <c r="IA39" s="11" t="n">
        <v>39324192</v>
      </c>
      <c r="IB39" s="11" t="n">
        <v>14279552</v>
      </c>
      <c r="IC39" s="11" t="n">
        <v>-4490718</v>
      </c>
      <c r="ID39" s="11" t="n">
        <v>884267</v>
      </c>
      <c r="IE39" s="11" t="n">
        <v>6917074</v>
      </c>
      <c r="IF39" s="11" t="n">
        <v>52288435</v>
      </c>
      <c r="IG39" s="11" t="n">
        <v>-16872319</v>
      </c>
      <c r="IH39" s="11" t="n">
        <v>983423</v>
      </c>
      <c r="II39" s="11" t="n">
        <v>13197583</v>
      </c>
      <c r="IJ39" s="11" t="n">
        <v>-1423849</v>
      </c>
      <c r="IK39" s="11" t="n">
        <v>6702423</v>
      </c>
      <c r="IL39" s="11" t="n">
        <v>-1649757</v>
      </c>
      <c r="IM39" s="11" t="n">
        <v>501862</v>
      </c>
      <c r="IN39" s="11" t="n">
        <v>-152402</v>
      </c>
      <c r="IO39" s="11" t="n">
        <v>4346411</v>
      </c>
      <c r="IP39" s="11" t="n">
        <v>9198515</v>
      </c>
      <c r="IQ39" s="11" t="n">
        <v>-3199736</v>
      </c>
      <c r="IR39" s="11" t="n">
        <v>-102285592</v>
      </c>
      <c r="IS39" s="11" t="n">
        <v>17920626</v>
      </c>
      <c r="IT39" s="11" t="n">
        <v>-48528517</v>
      </c>
      <c r="IU39" s="11" t="n">
        <v>92401450</v>
      </c>
      <c r="IV39" s="11" t="n">
        <v>45862435</v>
      </c>
      <c r="IW39" s="11" t="n">
        <v>-51874255</v>
      </c>
      <c r="IX39" s="11" t="n">
        <v>22135514</v>
      </c>
      <c r="IY39" s="11" t="n">
        <v>65558495</v>
      </c>
      <c r="IZ39" s="11" t="n">
        <v>-21987974</v>
      </c>
      <c r="JA39" s="11" t="n">
        <v>-49298355</v>
      </c>
      <c r="JB39" s="11" t="n">
        <v>517708</v>
      </c>
      <c r="JC39" s="11" t="n">
        <v>-29628</v>
      </c>
      <c r="JD39" s="11" t="n">
        <v>324132</v>
      </c>
      <c r="JE39" s="11" t="n">
        <v>-150578</v>
      </c>
      <c r="JF39" s="11" t="n">
        <v>-188774</v>
      </c>
      <c r="JG39" s="11" t="n">
        <v>-800342</v>
      </c>
      <c r="JH39" s="11" t="n">
        <v>51306394</v>
      </c>
      <c r="JI39" s="11" t="n">
        <v>-12227270</v>
      </c>
      <c r="JJ39" s="11" t="n">
        <v>23840726</v>
      </c>
      <c r="JK39" s="11" t="n">
        <v>-2435136</v>
      </c>
      <c r="JL39" s="11" t="n">
        <v>466973</v>
      </c>
      <c r="JM39" s="11" t="n">
        <v>-1656217</v>
      </c>
      <c r="JN39" s="11" t="n">
        <v>7267349</v>
      </c>
      <c r="JO39" s="11" t="n">
        <v>33634511</v>
      </c>
      <c r="JP39" s="11" t="n">
        <v>-11392676</v>
      </c>
      <c r="JQ39" s="11" t="n">
        <v>42846</v>
      </c>
      <c r="JR39" s="11" t="n">
        <v>-536046</v>
      </c>
      <c r="JS39" s="11" t="n">
        <v>473412</v>
      </c>
      <c r="JT39" s="11" t="n">
        <v>-215832</v>
      </c>
      <c r="JU39" s="11" t="n">
        <v>3852</v>
      </c>
      <c r="JV39" s="11" t="n">
        <v>-14631</v>
      </c>
      <c r="JW39" s="11" t="n">
        <v>27975</v>
      </c>
      <c r="JX39" s="11" t="n">
        <v>140487</v>
      </c>
      <c r="JY39" s="11" t="n">
        <v>-330591</v>
      </c>
      <c r="JZ39" s="11" t="n">
        <v>235398</v>
      </c>
      <c r="KA39" s="11" t="n">
        <v>-3417474</v>
      </c>
      <c r="KB39" s="11" t="n">
        <v>280077</v>
      </c>
      <c r="KC39" s="11" t="n">
        <v>-1639419</v>
      </c>
      <c r="KD39" s="11" t="n">
        <v>34256151</v>
      </c>
      <c r="KE39" s="11" t="n">
        <v>3295611</v>
      </c>
      <c r="KF39" s="11" t="n">
        <v>-16703334</v>
      </c>
      <c r="KG39" s="11" t="n">
        <v>-1141815</v>
      </c>
      <c r="KH39" s="11" t="n">
        <v>2083947</v>
      </c>
      <c r="KI39" s="11" t="n">
        <v>376959</v>
      </c>
      <c r="KJ39" s="11" t="n">
        <v>-21990213</v>
      </c>
      <c r="KK39" s="11" t="n">
        <v>-2875714</v>
      </c>
      <c r="KL39" s="11" t="n">
        <v>-54288242</v>
      </c>
      <c r="KM39" s="11" t="n">
        <v>11728022</v>
      </c>
      <c r="KN39" s="11" t="n">
        <v>-26773626</v>
      </c>
      <c r="KO39" s="11" t="n">
        <v>4907328</v>
      </c>
      <c r="KP39" s="11" t="n">
        <v>-1507601</v>
      </c>
      <c r="KQ39" s="11" t="n">
        <v>483649</v>
      </c>
      <c r="KR39" s="11" t="n">
        <v>-8447209</v>
      </c>
      <c r="KS39" s="11" t="n">
        <v>-36558055</v>
      </c>
      <c r="KT39" s="11" t="n">
        <v>12063682</v>
      </c>
      <c r="KU39" s="11" t="n">
        <v>368917760</v>
      </c>
      <c r="KV39" s="11" t="n">
        <v>-86049588</v>
      </c>
      <c r="KW39" s="11" t="n">
        <v>173818382</v>
      </c>
      <c r="KX39" s="11" t="n">
        <v>-119902484</v>
      </c>
      <c r="KY39" s="11" t="n">
        <v>-153343394</v>
      </c>
      <c r="KZ39" s="11" t="n">
        <v>92260106</v>
      </c>
      <c r="LA39" s="11" t="n">
        <v>-46564864</v>
      </c>
      <c r="LB39" s="11" t="n">
        <v>-234570304</v>
      </c>
      <c r="LC39" s="11" t="n">
        <v>76652605</v>
      </c>
      <c r="LD39" s="11" t="n">
        <v>56882997</v>
      </c>
      <c r="LE39" s="11" t="n">
        <v>-7470522</v>
      </c>
      <c r="LF39" s="11" t="n">
        <v>3600285</v>
      </c>
      <c r="LG39" s="11" t="n">
        <v>-3414693</v>
      </c>
      <c r="LH39" s="11" t="n">
        <v>37499799</v>
      </c>
      <c r="LI39" s="11" t="n">
        <v>5089269</v>
      </c>
      <c r="LJ39" s="11" t="n">
        <v>-19593426</v>
      </c>
      <c r="LK39" s="11" t="n">
        <v>-2227347</v>
      </c>
      <c r="LL39" s="11" t="n">
        <v>4570659</v>
      </c>
      <c r="LM39" s="11" t="n">
        <v>-1184652</v>
      </c>
      <c r="LN39" s="11" t="n">
        <v>-24460722</v>
      </c>
      <c r="LO39" s="11" t="n">
        <v>-238331676</v>
      </c>
      <c r="LP39" s="11" t="n">
        <v>-13482966</v>
      </c>
      <c r="LQ39" s="11" t="n">
        <v>115436649</v>
      </c>
      <c r="LR39" s="11" t="n">
        <v>-94682205</v>
      </c>
      <c r="LS39" s="11" t="n">
        <v>-149837463</v>
      </c>
    </row>
    <row r="40" customFormat="false" ht="15" hidden="false" customHeight="true" outlineLevel="0" collapsed="false">
      <c r="A40" s="7" t="s">
        <v>106</v>
      </c>
      <c r="B40" s="11" t="n">
        <v>2320853</v>
      </c>
      <c r="C40" s="11" t="n">
        <v>-53901484</v>
      </c>
      <c r="D40" s="11" t="n">
        <v>2046719</v>
      </c>
      <c r="E40" s="11" t="n">
        <v>178799748</v>
      </c>
      <c r="F40" s="11" t="n">
        <v>1085357</v>
      </c>
      <c r="G40" s="11" t="n">
        <v>143807777</v>
      </c>
      <c r="H40" s="11" t="n">
        <v>-86473421</v>
      </c>
      <c r="I40" s="11" t="n">
        <v>-51074168</v>
      </c>
      <c r="J40" s="11" t="n">
        <v>4146028</v>
      </c>
      <c r="K40" s="11" t="n">
        <v>-154872</v>
      </c>
      <c r="L40" s="11" t="n">
        <v>8076694</v>
      </c>
      <c r="M40" s="11" t="n">
        <v>-382444</v>
      </c>
      <c r="N40" s="11" t="n">
        <v>10539384</v>
      </c>
      <c r="O40" s="11" t="n">
        <v>-568657</v>
      </c>
      <c r="P40" s="11" t="n">
        <v>-490407</v>
      </c>
      <c r="Q40" s="11" t="n">
        <v>-59428</v>
      </c>
      <c r="R40" s="11" t="n">
        <v>-506992280</v>
      </c>
      <c r="S40" s="11" t="n">
        <v>6943300</v>
      </c>
      <c r="T40" s="11" t="n">
        <v>-501677404</v>
      </c>
      <c r="U40" s="11" t="n">
        <v>167685192</v>
      </c>
      <c r="V40" s="11" t="n">
        <v>102629764</v>
      </c>
      <c r="W40" s="11" t="n">
        <v>19054114</v>
      </c>
      <c r="X40" s="11" t="n">
        <v>-264844</v>
      </c>
      <c r="Y40" s="11" t="n">
        <v>18890880</v>
      </c>
      <c r="Z40" s="11" t="n">
        <v>-6271915</v>
      </c>
      <c r="AA40" s="11" t="n">
        <v>-3840693</v>
      </c>
      <c r="AB40" s="11" t="n">
        <v>-33240790</v>
      </c>
      <c r="AC40" s="11" t="n">
        <v>311500898</v>
      </c>
      <c r="AD40" s="11" t="n">
        <v>257122546</v>
      </c>
      <c r="AE40" s="11" t="n">
        <v>139959652</v>
      </c>
      <c r="AF40" s="11" t="n">
        <v>28626292</v>
      </c>
      <c r="AG40" s="11" t="n">
        <v>-14515541</v>
      </c>
      <c r="AH40" s="11" t="n">
        <v>-8645647</v>
      </c>
      <c r="AI40" s="11" t="n">
        <v>357454475</v>
      </c>
      <c r="AJ40" s="11" t="n">
        <v>201549141</v>
      </c>
      <c r="AK40" s="11" t="n">
        <v>5758007</v>
      </c>
      <c r="AL40" s="11" t="n">
        <v>28370413</v>
      </c>
      <c r="AM40" s="11" t="n">
        <v>107717</v>
      </c>
      <c r="AN40" s="11" t="n">
        <v>-53584727</v>
      </c>
      <c r="AO40" s="11" t="n">
        <v>5708596</v>
      </c>
      <c r="AP40" s="11" t="n">
        <v>-43905845</v>
      </c>
      <c r="AQ40" s="11" t="n">
        <v>35296769</v>
      </c>
      <c r="AR40" s="11" t="n">
        <v>18463155</v>
      </c>
      <c r="AS40" s="11" t="n">
        <v>-27521075</v>
      </c>
      <c r="AT40" s="11" t="n">
        <v>-941173952</v>
      </c>
      <c r="AU40" s="11" t="n">
        <v>-145848885</v>
      </c>
      <c r="AV40" s="11" t="n">
        <v>-738218157</v>
      </c>
      <c r="AW40" s="11" t="n">
        <v>237300009</v>
      </c>
      <c r="AX40" s="11" t="n">
        <v>195533188</v>
      </c>
      <c r="AY40" s="11" t="n">
        <v>-55553993</v>
      </c>
      <c r="AZ40" s="11" t="n">
        <v>4983935</v>
      </c>
      <c r="BA40" s="11" t="n">
        <v>-45394288</v>
      </c>
      <c r="BB40" s="11" t="n">
        <v>35141056</v>
      </c>
      <c r="BC40" s="11" t="n">
        <v>18652817</v>
      </c>
      <c r="BD40" s="11" t="n">
        <v>464852399</v>
      </c>
      <c r="BE40" s="11" t="n">
        <v>-62241577</v>
      </c>
      <c r="BF40" s="11" t="n">
        <v>722750965</v>
      </c>
      <c r="BG40" s="11" t="n">
        <v>243191668</v>
      </c>
      <c r="BH40" s="11" t="n">
        <v>-374256369</v>
      </c>
      <c r="BI40" s="11" t="n">
        <v>229205133</v>
      </c>
      <c r="BJ40" s="11" t="n">
        <v>134261371</v>
      </c>
      <c r="BK40" s="11" t="n">
        <v>551203056</v>
      </c>
      <c r="BL40" s="11" t="n">
        <v>177818575</v>
      </c>
      <c r="BM40" s="11" t="n">
        <v>88838429</v>
      </c>
      <c r="BN40" s="11" t="n">
        <v>2085604</v>
      </c>
      <c r="BO40" s="11" t="n">
        <v>-194455626</v>
      </c>
      <c r="BP40" s="11" t="n">
        <v>14873020</v>
      </c>
      <c r="BQ40" s="11" t="n">
        <v>-207269284</v>
      </c>
      <c r="BR40" s="11" t="n">
        <v>70006341</v>
      </c>
      <c r="BS40" s="11" t="n">
        <v>38977827</v>
      </c>
      <c r="BT40" s="11" t="n">
        <v>3200882</v>
      </c>
      <c r="BU40" s="11" t="n">
        <v>-363188</v>
      </c>
      <c r="BV40" s="11" t="n">
        <v>2440704</v>
      </c>
      <c r="BW40" s="11" t="n">
        <v>-2328983</v>
      </c>
      <c r="BX40" s="11" t="n">
        <v>-1209297</v>
      </c>
      <c r="BY40" s="11" t="n">
        <v>11036212</v>
      </c>
      <c r="BZ40" s="11" t="n">
        <v>90542546</v>
      </c>
      <c r="CA40" s="11" t="n">
        <v>109705299</v>
      </c>
      <c r="CB40" s="11" t="n">
        <v>52930077</v>
      </c>
      <c r="CC40" s="11" t="n">
        <v>-18688628</v>
      </c>
      <c r="CD40" s="11" t="n">
        <v>-4417688</v>
      </c>
      <c r="CE40" s="11" t="n">
        <v>-1836216</v>
      </c>
      <c r="CF40" s="11" t="n">
        <v>149530727</v>
      </c>
      <c r="CG40" s="11" t="n">
        <v>74566785</v>
      </c>
      <c r="CH40" s="11" t="n">
        <v>2934516</v>
      </c>
      <c r="CI40" s="11" t="n">
        <v>257822966</v>
      </c>
      <c r="CJ40" s="11" t="n">
        <v>-3705920</v>
      </c>
      <c r="CK40" s="11" t="n">
        <v>255333056</v>
      </c>
      <c r="CL40" s="11" t="n">
        <v>-85355247</v>
      </c>
      <c r="CM40" s="11" t="n">
        <v>-52185229</v>
      </c>
      <c r="CN40" s="11" t="n">
        <v>-1493077850</v>
      </c>
      <c r="CO40" s="11" t="n">
        <v>1816180022</v>
      </c>
      <c r="CP40" s="11" t="n">
        <v>-695930046</v>
      </c>
      <c r="CQ40" s="11" t="n">
        <v>47148168</v>
      </c>
      <c r="CR40" s="11" t="n">
        <v>1452552960</v>
      </c>
      <c r="CS40" s="11" t="n">
        <v>-484297305</v>
      </c>
      <c r="CT40" s="11" t="n">
        <v>-302887435</v>
      </c>
      <c r="CU40" s="11" t="n">
        <v>-87941937</v>
      </c>
      <c r="CV40" s="11" t="n">
        <v>414300781</v>
      </c>
      <c r="CW40" s="11" t="n">
        <v>-156470205</v>
      </c>
      <c r="CX40" s="11" t="n">
        <v>39209742</v>
      </c>
      <c r="CY40" s="11" t="n">
        <v>90152032</v>
      </c>
      <c r="CZ40" s="11" t="n">
        <v>156910531</v>
      </c>
      <c r="DA40" s="11" t="n">
        <v>69402331</v>
      </c>
      <c r="DB40" s="11" t="n">
        <v>-40126912</v>
      </c>
      <c r="DC40" s="11" t="n">
        <v>10725419</v>
      </c>
      <c r="DD40" s="11" t="n">
        <v>6938753</v>
      </c>
      <c r="DE40" s="11" t="n">
        <v>185241040</v>
      </c>
      <c r="DF40" s="11" t="n">
        <v>86979504</v>
      </c>
      <c r="DG40" s="11" t="n">
        <v>8783387</v>
      </c>
      <c r="DH40" s="11" t="n">
        <v>-798284014</v>
      </c>
      <c r="DI40" s="11" t="n">
        <v>-802847023</v>
      </c>
      <c r="DJ40" s="11" t="n">
        <v>-409085941</v>
      </c>
      <c r="DK40" s="11" t="n">
        <v>1348666819</v>
      </c>
      <c r="DL40" s="11" t="n">
        <v>472404091</v>
      </c>
      <c r="DM40" s="11" t="n">
        <v>-216028899</v>
      </c>
      <c r="DN40" s="11" t="n">
        <v>1039989051</v>
      </c>
      <c r="DO40" s="11" t="n">
        <v>559923377</v>
      </c>
      <c r="DP40" s="11" t="n">
        <v>30174620</v>
      </c>
      <c r="DQ40" s="11" t="n">
        <v>-330527723</v>
      </c>
      <c r="DR40" s="11" t="n">
        <v>577046</v>
      </c>
      <c r="DS40" s="11" t="n">
        <v>4320</v>
      </c>
      <c r="DT40" s="11" t="n">
        <v>894674</v>
      </c>
      <c r="DU40" s="11" t="n">
        <v>7431</v>
      </c>
      <c r="DV40" s="11" t="n">
        <v>512001</v>
      </c>
      <c r="DW40" s="11" t="n">
        <v>80600</v>
      </c>
      <c r="DX40" s="11" t="n">
        <v>-248509</v>
      </c>
      <c r="DY40" s="11" t="n">
        <v>-609218</v>
      </c>
      <c r="DZ40" s="11" t="n">
        <v>-65234608</v>
      </c>
      <c r="EA40" s="11" t="n">
        <v>-442442</v>
      </c>
      <c r="EB40" s="11" t="n">
        <v>-47646842</v>
      </c>
      <c r="EC40" s="11" t="n">
        <v>19628422</v>
      </c>
      <c r="ED40" s="11" t="n">
        <v>18470428</v>
      </c>
      <c r="EE40" s="11" t="n">
        <v>456182</v>
      </c>
      <c r="EF40" s="11" t="n">
        <v>4533</v>
      </c>
      <c r="EG40" s="11" t="n">
        <v>183843</v>
      </c>
      <c r="EH40" s="11" t="n">
        <v>232040</v>
      </c>
      <c r="EI40" s="11" t="n">
        <v>-124087</v>
      </c>
      <c r="EJ40" s="11" t="n">
        <v>154090</v>
      </c>
      <c r="EK40" s="11" t="n">
        <v>-15992150</v>
      </c>
      <c r="EL40" s="11" t="n">
        <v>39544418</v>
      </c>
      <c r="EM40" s="11" t="n">
        <v>543500</v>
      </c>
      <c r="EN40" s="11" t="n">
        <v>-221010</v>
      </c>
      <c r="EO40" s="11" t="n">
        <v>314567</v>
      </c>
      <c r="EP40" s="11" t="n">
        <v>47315</v>
      </c>
      <c r="EQ40" s="11" t="n">
        <v>24071057</v>
      </c>
      <c r="ER40" s="11" t="n">
        <v>-4131025</v>
      </c>
      <c r="ES40" s="11" t="n">
        <v>11033013</v>
      </c>
      <c r="ET40" s="11" t="n">
        <v>46224</v>
      </c>
      <c r="EU40" s="11" t="n">
        <v>-409884</v>
      </c>
      <c r="EV40" s="11" t="n">
        <v>108364</v>
      </c>
      <c r="EW40" s="11" t="n">
        <v>-1705812</v>
      </c>
      <c r="EX40" s="11" t="n">
        <v>285374</v>
      </c>
      <c r="EY40" s="11" t="n">
        <v>-322010</v>
      </c>
      <c r="EZ40" s="11" t="n">
        <v>-74736</v>
      </c>
      <c r="FA40" s="11" t="n">
        <v>216</v>
      </c>
      <c r="FB40" s="11" t="n">
        <v>-53784</v>
      </c>
      <c r="FC40" s="11" t="n">
        <v>-4320</v>
      </c>
      <c r="FD40" s="11" t="n">
        <v>17496</v>
      </c>
      <c r="FE40" s="11" t="n">
        <v>173290</v>
      </c>
      <c r="FF40" s="11" t="n">
        <v>-2281074</v>
      </c>
      <c r="FG40" s="11" t="n">
        <v>499706</v>
      </c>
      <c r="FH40" s="11" t="n">
        <v>-675776</v>
      </c>
      <c r="FI40" s="11" t="n">
        <v>-118116</v>
      </c>
      <c r="FJ40" s="11" t="n">
        <v>-11461</v>
      </c>
      <c r="FK40" s="11" t="n">
        <v>42521</v>
      </c>
      <c r="FL40" s="11" t="n">
        <v>491469</v>
      </c>
      <c r="FM40" s="11" t="n">
        <v>-1020333</v>
      </c>
      <c r="FN40" s="11" t="n">
        <v>77921</v>
      </c>
      <c r="FO40" s="11" t="n">
        <v>5658324</v>
      </c>
      <c r="FP40" s="11" t="n">
        <v>-78964</v>
      </c>
      <c r="FQ40" s="11" t="n">
        <v>5617644</v>
      </c>
      <c r="FR40" s="11" t="n">
        <v>-1873610</v>
      </c>
      <c r="FS40" s="11" t="n">
        <v>-1139602</v>
      </c>
      <c r="FT40" s="11" t="n">
        <v>-12564740</v>
      </c>
      <c r="FU40" s="11" t="n">
        <v>158996508</v>
      </c>
      <c r="FV40" s="11" t="n">
        <v>-18318964</v>
      </c>
      <c r="FW40" s="11" t="n">
        <v>49522792</v>
      </c>
      <c r="FX40" s="11" t="n">
        <v>10255552</v>
      </c>
      <c r="FY40" s="11" t="n">
        <v>-3904846</v>
      </c>
      <c r="FZ40" s="11" t="n">
        <v>-3221682</v>
      </c>
      <c r="GA40" s="11" t="n">
        <v>34460386</v>
      </c>
      <c r="GB40" s="11" t="n">
        <v>81189086</v>
      </c>
      <c r="GC40" s="11" t="n">
        <v>-20087702</v>
      </c>
      <c r="GD40" s="11" t="n">
        <v>101230</v>
      </c>
      <c r="GE40" s="11" t="n">
        <v>-2498982</v>
      </c>
      <c r="GF40" s="11" t="n">
        <v>3558110</v>
      </c>
      <c r="GG40" s="11" t="n">
        <v>-299168</v>
      </c>
      <c r="GH40" s="11" t="n">
        <v>-65628</v>
      </c>
      <c r="GI40" s="11" t="n">
        <v>-16135</v>
      </c>
      <c r="GJ40" s="11" t="n">
        <v>24563</v>
      </c>
      <c r="GK40" s="11" t="n">
        <v>2705055</v>
      </c>
      <c r="GL40" s="11" t="n">
        <v>-800319</v>
      </c>
      <c r="GM40" s="11" t="n">
        <v>815675</v>
      </c>
      <c r="GN40" s="11" t="n">
        <v>2704660</v>
      </c>
      <c r="GO40" s="11" t="n">
        <v>-7573320</v>
      </c>
      <c r="GP40" s="11" t="n">
        <v>-221660</v>
      </c>
      <c r="GQ40" s="11" t="n">
        <v>91890868</v>
      </c>
      <c r="GR40" s="11" t="n">
        <v>13465100</v>
      </c>
      <c r="GS40" s="11" t="n">
        <v>-30172732</v>
      </c>
      <c r="GT40" s="11" t="n">
        <v>5340922</v>
      </c>
      <c r="GU40" s="11" t="n">
        <v>-512570</v>
      </c>
      <c r="GV40" s="11" t="n">
        <v>1872962</v>
      </c>
      <c r="GW40" s="11" t="n">
        <v>-44004256</v>
      </c>
      <c r="GX40" s="11" t="n">
        <v>26026</v>
      </c>
      <c r="GY40" s="11" t="n">
        <v>24259668</v>
      </c>
      <c r="GZ40" s="11" t="n">
        <v>-1328521</v>
      </c>
      <c r="HA40" s="11" t="n">
        <v>17175311</v>
      </c>
      <c r="HB40" s="11" t="n">
        <v>-7790758</v>
      </c>
      <c r="HC40" s="11" t="n">
        <v>-7628399</v>
      </c>
      <c r="HD40" s="11" t="n">
        <v>141266</v>
      </c>
      <c r="HE40" s="11" t="n">
        <v>-10281</v>
      </c>
      <c r="HF40" s="11" t="n">
        <v>105489</v>
      </c>
      <c r="HG40" s="11" t="n">
        <v>-61960</v>
      </c>
      <c r="HH40" s="11" t="n">
        <v>-45901</v>
      </c>
      <c r="HI40" s="11" t="n">
        <v>-2372197</v>
      </c>
      <c r="HJ40" s="11" t="n">
        <v>5104151</v>
      </c>
      <c r="HK40" s="11" t="n">
        <v>-15467602</v>
      </c>
      <c r="HL40" s="11" t="n">
        <v>-1379759</v>
      </c>
      <c r="HM40" s="11" t="n">
        <v>1399947</v>
      </c>
      <c r="HN40" s="11" t="n">
        <v>85237</v>
      </c>
      <c r="HO40" s="11" t="n">
        <v>-670373</v>
      </c>
      <c r="HP40" s="11" t="n">
        <v>-9311573</v>
      </c>
      <c r="HQ40" s="11" t="n">
        <v>628150</v>
      </c>
      <c r="HR40" s="11" t="n">
        <v>-4420657</v>
      </c>
      <c r="HS40" s="11" t="n">
        <v>-22669996</v>
      </c>
      <c r="HT40" s="11" t="n">
        <v>1422545</v>
      </c>
      <c r="HU40" s="11" t="n">
        <v>-15983911</v>
      </c>
      <c r="HV40" s="11" t="n">
        <v>7339832</v>
      </c>
      <c r="HW40" s="11" t="n">
        <v>7220649</v>
      </c>
      <c r="HX40" s="11" t="n">
        <v>168789044</v>
      </c>
      <c r="HY40" s="11" t="n">
        <v>61471508</v>
      </c>
      <c r="HZ40" s="11" t="n">
        <v>55538108</v>
      </c>
      <c r="IA40" s="11" t="n">
        <v>85866928</v>
      </c>
      <c r="IB40" s="11" t="n">
        <v>-122865264</v>
      </c>
      <c r="IC40" s="11" t="n">
        <v>51163563</v>
      </c>
      <c r="ID40" s="11" t="n">
        <v>48373051</v>
      </c>
      <c r="IE40" s="11" t="n">
        <v>59060739</v>
      </c>
      <c r="IF40" s="11" t="n">
        <v>80121475</v>
      </c>
      <c r="IG40" s="11" t="n">
        <v>-10111499</v>
      </c>
      <c r="IH40" s="11" t="n">
        <v>-1233881</v>
      </c>
      <c r="II40" s="11" t="n">
        <v>5127643</v>
      </c>
      <c r="IJ40" s="11" t="n">
        <v>-14130648</v>
      </c>
      <c r="IK40" s="11" t="n">
        <v>-789337</v>
      </c>
      <c r="IL40" s="11" t="n">
        <v>548211</v>
      </c>
      <c r="IM40" s="11" t="n">
        <v>487208</v>
      </c>
      <c r="IN40" s="11" t="n">
        <v>-343474</v>
      </c>
      <c r="IO40" s="11" t="n">
        <v>-8302912</v>
      </c>
      <c r="IP40" s="11" t="n">
        <v>1076675</v>
      </c>
      <c r="IQ40" s="11" t="n">
        <v>-4245208</v>
      </c>
      <c r="IR40" s="11" t="n">
        <v>-41523540</v>
      </c>
      <c r="IS40" s="11" t="n">
        <v>102186659</v>
      </c>
      <c r="IT40" s="11" t="n">
        <v>1203435</v>
      </c>
      <c r="IU40" s="11" t="n">
        <v>50878343</v>
      </c>
      <c r="IV40" s="11" t="n">
        <v>21562275</v>
      </c>
      <c r="IW40" s="11" t="n">
        <v>-51588763</v>
      </c>
      <c r="IX40" s="11" t="n">
        <v>-61797249</v>
      </c>
      <c r="IY40" s="11" t="n">
        <v>11024175</v>
      </c>
      <c r="IZ40" s="11" t="n">
        <v>-28920766</v>
      </c>
      <c r="JA40" s="11" t="n">
        <v>-45597775</v>
      </c>
      <c r="JB40" s="11" t="n">
        <v>1961796</v>
      </c>
      <c r="JC40" s="11" t="n">
        <v>-111308</v>
      </c>
      <c r="JD40" s="11" t="n">
        <v>1452756</v>
      </c>
      <c r="JE40" s="11" t="n">
        <v>-636946</v>
      </c>
      <c r="JF40" s="11" t="n">
        <v>-596546</v>
      </c>
      <c r="JG40" s="11" t="n">
        <v>-3612078</v>
      </c>
      <c r="JH40" s="11" t="n">
        <v>59514402</v>
      </c>
      <c r="JI40" s="11" t="n">
        <v>-6463560</v>
      </c>
      <c r="JJ40" s="11" t="n">
        <v>18956226</v>
      </c>
      <c r="JK40" s="11" t="n">
        <v>-701888</v>
      </c>
      <c r="JL40" s="11" t="n">
        <v>-806023</v>
      </c>
      <c r="JM40" s="11" t="n">
        <v>-2173901</v>
      </c>
      <c r="JN40" s="11" t="n">
        <v>14536417</v>
      </c>
      <c r="JO40" s="11" t="n">
        <v>32134763</v>
      </c>
      <c r="JP40" s="11" t="n">
        <v>-8120061</v>
      </c>
      <c r="JQ40" s="11" t="n">
        <v>170798</v>
      </c>
      <c r="JR40" s="11" t="n">
        <v>-66198</v>
      </c>
      <c r="JS40" s="11" t="n">
        <v>1213174</v>
      </c>
      <c r="JT40" s="11" t="n">
        <v>221960</v>
      </c>
      <c r="JU40" s="11" t="n">
        <v>-122724</v>
      </c>
      <c r="JV40" s="11" t="n">
        <v>-13379</v>
      </c>
      <c r="JW40" s="11" t="n">
        <v>39343</v>
      </c>
      <c r="JX40" s="11" t="n">
        <v>876891</v>
      </c>
      <c r="JY40" s="11" t="n">
        <v>144237</v>
      </c>
      <c r="JZ40" s="11" t="n">
        <v>296839</v>
      </c>
      <c r="KA40" s="11" t="n">
        <v>-5059562</v>
      </c>
      <c r="KB40" s="11" t="n">
        <v>-1670977</v>
      </c>
      <c r="KC40" s="11" t="n">
        <v>-2059043</v>
      </c>
      <c r="KD40" s="11" t="n">
        <v>36585583</v>
      </c>
      <c r="KE40" s="11" t="n">
        <v>7373183</v>
      </c>
      <c r="KF40" s="11" t="n">
        <v>-12453819</v>
      </c>
      <c r="KG40" s="11" t="n">
        <v>804325</v>
      </c>
      <c r="KH40" s="11" t="n">
        <v>2644951</v>
      </c>
      <c r="KI40" s="11" t="n">
        <v>546196</v>
      </c>
      <c r="KJ40" s="11" t="n">
        <v>-17953459</v>
      </c>
      <c r="KK40" s="11" t="n">
        <v>-10274002</v>
      </c>
      <c r="KL40" s="11" t="n">
        <v>-60585570</v>
      </c>
      <c r="KM40" s="11" t="n">
        <v>1548844</v>
      </c>
      <c r="KN40" s="11" t="n">
        <v>-24657838</v>
      </c>
      <c r="KO40" s="11" t="n">
        <v>11045632</v>
      </c>
      <c r="KP40" s="11" t="n">
        <v>-3423589</v>
      </c>
      <c r="KQ40" s="11" t="n">
        <v>-1725103</v>
      </c>
      <c r="KR40" s="11" t="n">
        <v>-18523661</v>
      </c>
      <c r="KS40" s="11" t="n">
        <v>-36682663</v>
      </c>
      <c r="KT40" s="11" t="n">
        <v>8476757</v>
      </c>
      <c r="KU40" s="11" t="n">
        <v>423229984</v>
      </c>
      <c r="KV40" s="11" t="n">
        <v>-36701662</v>
      </c>
      <c r="KW40" s="11" t="n">
        <v>144674746</v>
      </c>
      <c r="KX40" s="11" t="n">
        <v>-152625422</v>
      </c>
      <c r="KY40" s="11" t="n">
        <v>-162617686</v>
      </c>
      <c r="KZ40" s="11" t="n">
        <v>66274566</v>
      </c>
      <c r="LA40" s="11" t="n">
        <v>-101574096</v>
      </c>
      <c r="LB40" s="11" t="n">
        <v>-226604912</v>
      </c>
      <c r="LC40" s="11" t="n">
        <v>54372290</v>
      </c>
      <c r="LD40" s="11" t="n">
        <v>42690562</v>
      </c>
      <c r="LE40" s="11" t="n">
        <v>-5621386</v>
      </c>
      <c r="LF40" s="11" t="n">
        <v>6488285</v>
      </c>
      <c r="LG40" s="11" t="n">
        <v>-984349</v>
      </c>
      <c r="LH40" s="11" t="n">
        <v>37413833</v>
      </c>
      <c r="LI40" s="11" t="n">
        <v>7686769</v>
      </c>
      <c r="LJ40" s="11" t="n">
        <v>-15423637</v>
      </c>
      <c r="LK40" s="11" t="n">
        <v>-5102383</v>
      </c>
      <c r="LL40" s="11" t="n">
        <v>2002163</v>
      </c>
      <c r="LM40" s="11" t="n">
        <v>-1417458</v>
      </c>
      <c r="LN40" s="11" t="n">
        <v>-20302721</v>
      </c>
      <c r="LO40" s="11" t="n">
        <v>-247198954</v>
      </c>
      <c r="LP40" s="11" t="n">
        <v>-38608770</v>
      </c>
      <c r="LQ40" s="11" t="n">
        <v>87849286</v>
      </c>
      <c r="LR40" s="11" t="n">
        <v>-81058156</v>
      </c>
      <c r="LS40" s="11" t="n">
        <v>-123088742</v>
      </c>
    </row>
    <row r="41" customFormat="false" ht="15" hidden="false" customHeight="true" outlineLevel="0" collapsed="false">
      <c r="A41" s="7" t="s">
        <v>107</v>
      </c>
      <c r="B41" s="11" t="n">
        <v>4800947</v>
      </c>
      <c r="C41" s="11" t="n">
        <v>-109659524</v>
      </c>
      <c r="D41" s="11" t="n">
        <v>5855885</v>
      </c>
      <c r="E41" s="11" t="n">
        <v>271336976</v>
      </c>
      <c r="F41" s="11" t="n">
        <v>6759259</v>
      </c>
      <c r="G41" s="11" t="n">
        <v>177124295</v>
      </c>
      <c r="H41" s="11" t="n">
        <v>-167908019</v>
      </c>
      <c r="I41" s="11" t="n">
        <v>-143980156</v>
      </c>
      <c r="J41" s="11" t="n">
        <v>8735700</v>
      </c>
      <c r="K41" s="11" t="n">
        <v>-180192</v>
      </c>
      <c r="L41" s="11" t="n">
        <v>8192322</v>
      </c>
      <c r="M41" s="11" t="n">
        <v>-401012</v>
      </c>
      <c r="N41" s="11" t="n">
        <v>11400264</v>
      </c>
      <c r="O41" s="11" t="n">
        <v>-228103</v>
      </c>
      <c r="P41" s="11" t="n">
        <v>-4326809</v>
      </c>
      <c r="Q41" s="11" t="n">
        <v>-6539436</v>
      </c>
      <c r="R41" s="11" t="n">
        <v>-680841624</v>
      </c>
      <c r="S41" s="11" t="n">
        <v>-3139396</v>
      </c>
      <c r="T41" s="11" t="n">
        <v>-582687588</v>
      </c>
      <c r="U41" s="11" t="n">
        <v>310731976</v>
      </c>
      <c r="V41" s="11" t="n">
        <v>360812828</v>
      </c>
      <c r="W41" s="11" t="n">
        <v>20176446</v>
      </c>
      <c r="X41" s="11" t="n">
        <v>-235436</v>
      </c>
      <c r="Y41" s="11" t="n">
        <v>20553240</v>
      </c>
      <c r="Z41" s="11" t="n">
        <v>-6580249</v>
      </c>
      <c r="AA41" s="11" t="n">
        <v>-10681511</v>
      </c>
      <c r="AB41" s="11" t="n">
        <v>-34198130</v>
      </c>
      <c r="AC41" s="11" t="n">
        <v>342068742</v>
      </c>
      <c r="AD41" s="11" t="n">
        <v>273625970</v>
      </c>
      <c r="AE41" s="11" t="n">
        <v>1147384</v>
      </c>
      <c r="AF41" s="11" t="n">
        <v>30845228</v>
      </c>
      <c r="AG41" s="11" t="n">
        <v>-14346115</v>
      </c>
      <c r="AH41" s="11" t="n">
        <v>-18118049</v>
      </c>
      <c r="AI41" s="11" t="n">
        <v>390296573</v>
      </c>
      <c r="AJ41" s="11" t="n">
        <v>182261707</v>
      </c>
      <c r="AK41" s="11" t="n">
        <v>144484749</v>
      </c>
      <c r="AL41" s="11" t="n">
        <v>57839287</v>
      </c>
      <c r="AM41" s="11" t="n">
        <v>-524092</v>
      </c>
      <c r="AN41" s="11" t="n">
        <v>-65474048</v>
      </c>
      <c r="AO41" s="11" t="n">
        <v>9730204</v>
      </c>
      <c r="AP41" s="11" t="n">
        <v>-35400755</v>
      </c>
      <c r="AQ41" s="11" t="n">
        <v>67962881</v>
      </c>
      <c r="AR41" s="11" t="n">
        <v>55842420</v>
      </c>
      <c r="AS41" s="11" t="n">
        <v>-58577721</v>
      </c>
      <c r="AT41" s="11" t="n">
        <v>-1773417680</v>
      </c>
      <c r="AU41" s="11" t="n">
        <v>-303681807</v>
      </c>
      <c r="AV41" s="11" t="n">
        <v>-1325303735</v>
      </c>
      <c r="AW41" s="11" t="n">
        <v>470511947</v>
      </c>
      <c r="AX41" s="11" t="n">
        <v>459087836</v>
      </c>
      <c r="AY41" s="11" t="n">
        <v>-50240704</v>
      </c>
      <c r="AZ41" s="11" t="n">
        <v>12606144</v>
      </c>
      <c r="BA41" s="11" t="n">
        <v>-23843905</v>
      </c>
      <c r="BB41" s="11" t="n">
        <v>64567171</v>
      </c>
      <c r="BC41" s="11" t="n">
        <v>52395484</v>
      </c>
      <c r="BD41" s="11" t="n">
        <v>642106688</v>
      </c>
      <c r="BE41" s="11" t="n">
        <v>414816240</v>
      </c>
      <c r="BF41" s="11" t="n">
        <v>1551199152</v>
      </c>
      <c r="BG41" s="11" t="n">
        <v>1192504256</v>
      </c>
      <c r="BH41" s="11" t="n">
        <v>-408823175</v>
      </c>
      <c r="BI41" s="11" t="n">
        <v>435988565</v>
      </c>
      <c r="BJ41" s="11" t="n">
        <v>370428932</v>
      </c>
      <c r="BK41" s="11" t="n">
        <v>1269292650</v>
      </c>
      <c r="BL41" s="11" t="n">
        <v>998561960</v>
      </c>
      <c r="BM41" s="11" t="n">
        <v>85174048</v>
      </c>
      <c r="BN41" s="11" t="n">
        <v>1217232</v>
      </c>
      <c r="BO41" s="11" t="n">
        <v>-217831962</v>
      </c>
      <c r="BP41" s="11" t="n">
        <v>22536052</v>
      </c>
      <c r="BQ41" s="11" t="n">
        <v>-201758844</v>
      </c>
      <c r="BR41" s="11" t="n">
        <v>126411863</v>
      </c>
      <c r="BS41" s="11" t="n">
        <v>153736789</v>
      </c>
      <c r="BT41" s="11" t="n">
        <v>3351720</v>
      </c>
      <c r="BU41" s="11" t="n">
        <v>-408976</v>
      </c>
      <c r="BV41" s="11" t="n">
        <v>2573184</v>
      </c>
      <c r="BW41" s="11" t="n">
        <v>-2575724</v>
      </c>
      <c r="BX41" s="11" t="n">
        <v>-2568244</v>
      </c>
      <c r="BY41" s="11" t="n">
        <v>11134696</v>
      </c>
      <c r="BZ41" s="11" t="n">
        <v>95066046</v>
      </c>
      <c r="CA41" s="11" t="n">
        <v>112860854</v>
      </c>
      <c r="CB41" s="11" t="n">
        <v>36281464</v>
      </c>
      <c r="CC41" s="11" t="n">
        <v>-20148268</v>
      </c>
      <c r="CD41" s="11" t="n">
        <v>-5214480</v>
      </c>
      <c r="CE41" s="11" t="n">
        <v>4104868</v>
      </c>
      <c r="CF41" s="11" t="n">
        <v>159701777</v>
      </c>
      <c r="CG41" s="11" t="n">
        <v>100698055</v>
      </c>
      <c r="CH41" s="11" t="n">
        <v>58597727</v>
      </c>
      <c r="CI41" s="11" t="n">
        <v>257934726</v>
      </c>
      <c r="CJ41" s="11" t="n">
        <v>-16432764</v>
      </c>
      <c r="CK41" s="11" t="n">
        <v>232225812</v>
      </c>
      <c r="CL41" s="11" t="n">
        <v>-137927721</v>
      </c>
      <c r="CM41" s="11" t="n">
        <v>-165361083</v>
      </c>
      <c r="CN41" s="11" t="n">
        <v>-1834694762</v>
      </c>
      <c r="CO41" s="11" t="n">
        <v>1194848550</v>
      </c>
      <c r="CP41" s="11" t="n">
        <v>-2103907198</v>
      </c>
      <c r="CQ41" s="11" t="n">
        <v>-2984745224</v>
      </c>
      <c r="CR41" s="11" t="n">
        <v>1575704144</v>
      </c>
      <c r="CS41" s="11" t="n">
        <v>-847044755</v>
      </c>
      <c r="CT41" s="11" t="n">
        <v>-986061485</v>
      </c>
      <c r="CU41" s="11" t="n">
        <v>-1255274251</v>
      </c>
      <c r="CV41" s="11" t="n">
        <v>-1921235813</v>
      </c>
      <c r="CW41" s="11" t="n">
        <v>247251445</v>
      </c>
      <c r="CX41" s="11" t="n">
        <v>41414528</v>
      </c>
      <c r="CY41" s="11" t="n">
        <v>94182858</v>
      </c>
      <c r="CZ41" s="11" t="n">
        <v>166010722</v>
      </c>
      <c r="DA41" s="11" t="n">
        <v>88886312</v>
      </c>
      <c r="DB41" s="11" t="n">
        <v>-43286948</v>
      </c>
      <c r="DC41" s="11" t="n">
        <v>11569580</v>
      </c>
      <c r="DD41" s="11" t="n">
        <v>20887856</v>
      </c>
      <c r="DE41" s="11" t="n">
        <v>199827307</v>
      </c>
      <c r="DF41" s="11" t="n">
        <v>140407133</v>
      </c>
      <c r="DG41" s="11" t="n">
        <v>58897949</v>
      </c>
      <c r="DH41" s="11" t="n">
        <v>-861771846</v>
      </c>
      <c r="DI41" s="11" t="n">
        <v>-843029870</v>
      </c>
      <c r="DJ41" s="11" t="n">
        <v>-153013272</v>
      </c>
      <c r="DK41" s="11" t="n">
        <v>1537248084</v>
      </c>
      <c r="DL41" s="11" t="n">
        <v>1501610592</v>
      </c>
      <c r="DM41" s="11" t="n">
        <v>1196004752</v>
      </c>
      <c r="DN41" s="11" t="n">
        <v>1121889605</v>
      </c>
      <c r="DO41" s="11" t="n">
        <v>594575019</v>
      </c>
      <c r="DP41" s="11" t="n">
        <v>382445195</v>
      </c>
      <c r="DQ41" s="11" t="n">
        <v>894241334</v>
      </c>
      <c r="DR41" s="11" t="n">
        <v>1165766</v>
      </c>
      <c r="DS41" s="11" t="n">
        <v>-15651</v>
      </c>
      <c r="DT41" s="11" t="n">
        <v>3344315</v>
      </c>
      <c r="DU41" s="11" t="n">
        <v>-53055</v>
      </c>
      <c r="DV41" s="11" t="n">
        <v>2883591</v>
      </c>
      <c r="DW41" s="11" t="n">
        <v>410</v>
      </c>
      <c r="DX41" s="11" t="n">
        <v>66920</v>
      </c>
      <c r="DY41" s="11" t="n">
        <v>-1064438</v>
      </c>
      <c r="DZ41" s="11" t="n">
        <v>-142274308</v>
      </c>
      <c r="EA41" s="11" t="n">
        <v>-429442</v>
      </c>
      <c r="EB41" s="11" t="n">
        <v>-108874082</v>
      </c>
      <c r="EC41" s="11" t="n">
        <v>40762062</v>
      </c>
      <c r="ED41" s="11" t="n">
        <v>33432728</v>
      </c>
      <c r="EE41" s="11" t="n">
        <v>4963733</v>
      </c>
      <c r="EF41" s="11" t="n">
        <v>-42678</v>
      </c>
      <c r="EG41" s="11" t="n">
        <v>4094640</v>
      </c>
      <c r="EH41" s="11" t="n">
        <v>-546877</v>
      </c>
      <c r="EI41" s="11" t="n">
        <v>-387748</v>
      </c>
      <c r="EJ41" s="11" t="n">
        <v>-7706995</v>
      </c>
      <c r="EK41" s="11" t="n">
        <v>39589153</v>
      </c>
      <c r="EL41" s="11" t="n">
        <v>116987035</v>
      </c>
      <c r="EM41" s="11" t="n">
        <v>104077980</v>
      </c>
      <c r="EN41" s="11" t="n">
        <v>6017202</v>
      </c>
      <c r="EO41" s="11" t="n">
        <v>-1854965</v>
      </c>
      <c r="EP41" s="11" t="n">
        <v>-1496900</v>
      </c>
      <c r="EQ41" s="11" t="n">
        <v>100865657</v>
      </c>
      <c r="ER41" s="11" t="n">
        <v>88947668</v>
      </c>
      <c r="ES41" s="11" t="n">
        <v>-2328160</v>
      </c>
      <c r="ET41" s="11" t="n">
        <v>15276</v>
      </c>
      <c r="EU41" s="11" t="n">
        <v>4095984</v>
      </c>
      <c r="EV41" s="11" t="n">
        <v>836</v>
      </c>
      <c r="EW41" s="11" t="n">
        <v>2478708</v>
      </c>
      <c r="EX41" s="11" t="n">
        <v>56134</v>
      </c>
      <c r="EY41" s="11" t="n">
        <v>1172402</v>
      </c>
      <c r="EZ41" s="11" t="n">
        <v>-98814</v>
      </c>
      <c r="FA41" s="11" t="n">
        <v>684</v>
      </c>
      <c r="FB41" s="11" t="n">
        <v>-71064</v>
      </c>
      <c r="FC41" s="11" t="n">
        <v>-759</v>
      </c>
      <c r="FD41" s="11" t="n">
        <v>-16617</v>
      </c>
      <c r="FE41" s="11" t="n">
        <v>188810</v>
      </c>
      <c r="FF41" s="11" t="n">
        <v>-3020814</v>
      </c>
      <c r="FG41" s="11" t="n">
        <v>159595</v>
      </c>
      <c r="FH41" s="11" t="n">
        <v>3128225</v>
      </c>
      <c r="FI41" s="11" t="n">
        <v>-114876</v>
      </c>
      <c r="FJ41" s="11" t="n">
        <v>-2555</v>
      </c>
      <c r="FK41" s="11" t="n">
        <v>-53405</v>
      </c>
      <c r="FL41" s="11" t="n">
        <v>137979</v>
      </c>
      <c r="FM41" s="11" t="n">
        <v>2757717</v>
      </c>
      <c r="FN41" s="11" t="n">
        <v>-2810</v>
      </c>
      <c r="FO41" s="11" t="n">
        <v>-1875624</v>
      </c>
      <c r="FP41" s="11" t="n">
        <v>4864</v>
      </c>
      <c r="FQ41" s="11" t="n">
        <v>-836592</v>
      </c>
      <c r="FR41" s="11" t="n">
        <v>-585394</v>
      </c>
      <c r="FS41" s="11" t="n">
        <v>-1508594</v>
      </c>
      <c r="FT41" s="11" t="n">
        <v>1406840</v>
      </c>
      <c r="FU41" s="11" t="n">
        <v>80024664</v>
      </c>
      <c r="FV41" s="11" t="n">
        <v>-150070580</v>
      </c>
      <c r="FW41" s="11" t="n">
        <v>-260551948</v>
      </c>
      <c r="FX41" s="11" t="n">
        <v>-835024</v>
      </c>
      <c r="FY41" s="11" t="n">
        <v>-49910</v>
      </c>
      <c r="FZ41" s="11" t="n">
        <v>-455862</v>
      </c>
      <c r="GA41" s="11" t="n">
        <v>-91912774</v>
      </c>
      <c r="GB41" s="11" t="n">
        <v>-180580118</v>
      </c>
      <c r="GC41" s="11" t="n">
        <v>39384242</v>
      </c>
      <c r="GD41" s="11" t="n">
        <v>52520</v>
      </c>
      <c r="GE41" s="11" t="n">
        <v>-3313848</v>
      </c>
      <c r="GF41" s="11" t="n">
        <v>3693475</v>
      </c>
      <c r="GG41" s="11" t="n">
        <v>7718183</v>
      </c>
      <c r="GH41" s="11" t="n">
        <v>-14832</v>
      </c>
      <c r="GI41" s="11" t="n">
        <v>-25970</v>
      </c>
      <c r="GJ41" s="11" t="n">
        <v>-62258</v>
      </c>
      <c r="GK41" s="11" t="n">
        <v>2681688</v>
      </c>
      <c r="GL41" s="11" t="n">
        <v>6107952</v>
      </c>
      <c r="GM41" s="11" t="n">
        <v>-561827</v>
      </c>
      <c r="GN41" s="11" t="n">
        <v>4726400</v>
      </c>
      <c r="GO41" s="11" t="n">
        <v>-6972525</v>
      </c>
      <c r="GP41" s="11" t="n">
        <v>-13084945</v>
      </c>
      <c r="GQ41" s="11" t="n">
        <v>107559935</v>
      </c>
      <c r="GR41" s="11" t="n">
        <v>131041483</v>
      </c>
      <c r="GS41" s="11" t="n">
        <v>104461285</v>
      </c>
      <c r="GT41" s="11" t="n">
        <v>4306190</v>
      </c>
      <c r="GU41" s="11" t="n">
        <v>9298022</v>
      </c>
      <c r="GV41" s="11" t="n">
        <v>-1795115</v>
      </c>
      <c r="GW41" s="11" t="n">
        <v>92206567</v>
      </c>
      <c r="GX41" s="11" t="n">
        <v>-61295</v>
      </c>
      <c r="GY41" s="11" t="n">
        <v>56188959</v>
      </c>
      <c r="GZ41" s="11" t="n">
        <v>-3001867</v>
      </c>
      <c r="HA41" s="11" t="n">
        <v>43336001</v>
      </c>
      <c r="HB41" s="11" t="n">
        <v>-16497808</v>
      </c>
      <c r="HC41" s="11" t="n">
        <v>-12753440</v>
      </c>
      <c r="HD41" s="11" t="n">
        <v>-578524</v>
      </c>
      <c r="HE41" s="11" t="n">
        <v>37512</v>
      </c>
      <c r="HF41" s="11" t="n">
        <v>-430191</v>
      </c>
      <c r="HG41" s="11" t="n">
        <v>221513</v>
      </c>
      <c r="HH41" s="11" t="n">
        <v>174740</v>
      </c>
      <c r="HI41" s="11" t="n">
        <v>-6054460</v>
      </c>
      <c r="HJ41" s="11" t="n">
        <v>-14665669</v>
      </c>
      <c r="HK41" s="11" t="n">
        <v>-47348185</v>
      </c>
      <c r="HL41" s="11" t="n">
        <v>-39812180</v>
      </c>
      <c r="HM41" s="11" t="n">
        <v>5453037</v>
      </c>
      <c r="HN41" s="11" t="n">
        <v>751885</v>
      </c>
      <c r="HO41" s="11" t="n">
        <v>752740</v>
      </c>
      <c r="HP41" s="11" t="n">
        <v>-40823543</v>
      </c>
      <c r="HQ41" s="11" t="n">
        <v>-34034060</v>
      </c>
      <c r="HR41" s="11" t="n">
        <v>942560</v>
      </c>
      <c r="HS41" s="11" t="n">
        <v>-58785697</v>
      </c>
      <c r="HT41" s="11" t="n">
        <v>2718366</v>
      </c>
      <c r="HU41" s="11" t="n">
        <v>-45293758</v>
      </c>
      <c r="HV41" s="11" t="n">
        <v>17207059</v>
      </c>
      <c r="HW41" s="11" t="n">
        <v>13402780</v>
      </c>
      <c r="HX41" s="11" t="n">
        <v>387057479</v>
      </c>
      <c r="HY41" s="11" t="n">
        <v>-41241745</v>
      </c>
      <c r="HZ41" s="11" t="n">
        <v>48754541</v>
      </c>
      <c r="IA41" s="11" t="n">
        <v>-54953852</v>
      </c>
      <c r="IB41" s="11" t="n">
        <v>-296316596</v>
      </c>
      <c r="IC41" s="11" t="n">
        <v>111040415</v>
      </c>
      <c r="ID41" s="11" t="n">
        <v>90787916</v>
      </c>
      <c r="IE41" s="11" t="n">
        <v>25493059</v>
      </c>
      <c r="IF41" s="11" t="n">
        <v>-51744228</v>
      </c>
      <c r="IG41" s="11" t="n">
        <v>27201184</v>
      </c>
      <c r="IH41" s="11" t="n">
        <v>-10319424</v>
      </c>
      <c r="II41" s="11" t="n">
        <v>-14918807</v>
      </c>
      <c r="IJ41" s="11" t="n">
        <v>-50038331</v>
      </c>
      <c r="IK41" s="11" t="n">
        <v>-41086268</v>
      </c>
      <c r="IL41" s="11" t="n">
        <v>8640882</v>
      </c>
      <c r="IM41" s="11" t="n">
        <v>-706710</v>
      </c>
      <c r="IN41" s="11" t="n">
        <v>-452856</v>
      </c>
      <c r="IO41" s="11" t="n">
        <v>-42920863</v>
      </c>
      <c r="IP41" s="11" t="n">
        <v>-35057932</v>
      </c>
      <c r="IQ41" s="11" t="n">
        <v>617856</v>
      </c>
      <c r="IR41" s="11" t="n">
        <v>105468289</v>
      </c>
      <c r="IS41" s="11" t="n">
        <v>320904445</v>
      </c>
      <c r="IT41" s="11" t="n">
        <v>280167460</v>
      </c>
      <c r="IU41" s="11" t="n">
        <v>-47478006</v>
      </c>
      <c r="IV41" s="11" t="n">
        <v>-14878168</v>
      </c>
      <c r="IW41" s="11" t="n">
        <v>80852000</v>
      </c>
      <c r="IX41" s="11" t="n">
        <v>-275929445</v>
      </c>
      <c r="IY41" s="11" t="n">
        <v>-239224196</v>
      </c>
      <c r="IZ41" s="11" t="n">
        <v>5104320</v>
      </c>
      <c r="JA41" s="11" t="n">
        <v>68765344</v>
      </c>
      <c r="JB41" s="11" t="n">
        <v>951654</v>
      </c>
      <c r="JC41" s="11" t="n">
        <v>-39292</v>
      </c>
      <c r="JD41" s="11" t="n">
        <v>698196</v>
      </c>
      <c r="JE41" s="11" t="n">
        <v>-213233</v>
      </c>
      <c r="JF41" s="11" t="n">
        <v>-105475</v>
      </c>
      <c r="JG41" s="11" t="n">
        <v>-10587522</v>
      </c>
      <c r="JH41" s="11" t="n">
        <v>32791782</v>
      </c>
      <c r="JI41" s="11" t="n">
        <v>-60671583</v>
      </c>
      <c r="JJ41" s="11" t="n">
        <v>-101318733</v>
      </c>
      <c r="JK41" s="11" t="n">
        <v>6413792</v>
      </c>
      <c r="JL41" s="11" t="n">
        <v>132715</v>
      </c>
      <c r="JM41" s="11" t="n">
        <v>3009809</v>
      </c>
      <c r="JN41" s="11" t="n">
        <v>-37165153</v>
      </c>
      <c r="JO41" s="11" t="n">
        <v>-70699667</v>
      </c>
      <c r="JP41" s="11" t="n">
        <v>15977616</v>
      </c>
      <c r="JQ41" s="11" t="n">
        <v>211552</v>
      </c>
      <c r="JR41" s="11" t="n">
        <v>-89238</v>
      </c>
      <c r="JS41" s="11" t="n">
        <v>1426598</v>
      </c>
      <c r="JT41" s="11" t="n">
        <v>1717468</v>
      </c>
      <c r="JU41" s="11" t="n">
        <v>-151524</v>
      </c>
      <c r="JV41" s="11" t="n">
        <v>-11500</v>
      </c>
      <c r="JW41" s="11" t="n">
        <v>-47464</v>
      </c>
      <c r="JX41" s="11" t="n">
        <v>1026651</v>
      </c>
      <c r="JY41" s="11" t="n">
        <v>1250157</v>
      </c>
      <c r="JZ41" s="11" t="n">
        <v>-226711</v>
      </c>
      <c r="KA41" s="11" t="n">
        <v>-6296782</v>
      </c>
      <c r="KB41" s="11" t="n">
        <v>-2384210</v>
      </c>
      <c r="KC41" s="11" t="n">
        <v>3415580</v>
      </c>
      <c r="KD41" s="11" t="n">
        <v>43467983</v>
      </c>
      <c r="KE41" s="11" t="n">
        <v>49679143</v>
      </c>
      <c r="KF41" s="11" t="n">
        <v>42388935</v>
      </c>
      <c r="KG41" s="11" t="n">
        <v>1365395</v>
      </c>
      <c r="KH41" s="11" t="n">
        <v>-3859159</v>
      </c>
      <c r="KI41" s="11" t="n">
        <v>-720595</v>
      </c>
      <c r="KJ41" s="11" t="n">
        <v>37413001</v>
      </c>
      <c r="KK41" s="11" t="n">
        <v>4521352</v>
      </c>
      <c r="KL41" s="11" t="n">
        <v>-33608736</v>
      </c>
      <c r="KM41" s="11" t="n">
        <v>62649743</v>
      </c>
      <c r="KN41" s="11" t="n">
        <v>106931851</v>
      </c>
      <c r="KO41" s="11" t="n">
        <v>-1929520</v>
      </c>
      <c r="KP41" s="11" t="n">
        <v>-1573610</v>
      </c>
      <c r="KQ41" s="11" t="n">
        <v>-3913898</v>
      </c>
      <c r="KR41" s="11" t="n">
        <v>38433410</v>
      </c>
      <c r="KS41" s="11" t="n">
        <v>74727274</v>
      </c>
      <c r="KT41" s="11" t="n">
        <v>-17016077</v>
      </c>
      <c r="KU41" s="11" t="n">
        <v>218115032</v>
      </c>
      <c r="KV41" s="11" t="n">
        <v>-408749345</v>
      </c>
      <c r="KW41" s="11" t="n">
        <v>-708288589</v>
      </c>
      <c r="KX41" s="11" t="n">
        <v>16078847</v>
      </c>
      <c r="KY41" s="11" t="n">
        <v>106437211</v>
      </c>
      <c r="KZ41" s="11" t="n">
        <v>-147251091</v>
      </c>
      <c r="LA41" s="11" t="n">
        <v>250349460</v>
      </c>
      <c r="LB41" s="11" t="n">
        <v>491078108</v>
      </c>
      <c r="LC41" s="11" t="n">
        <v>-107320385</v>
      </c>
      <c r="LD41" s="11" t="n">
        <v>-85966237</v>
      </c>
      <c r="LE41" s="11" t="n">
        <v>-7047224</v>
      </c>
      <c r="LF41" s="11" t="n">
        <v>7149160</v>
      </c>
      <c r="LG41" s="11" t="n">
        <v>15611104</v>
      </c>
      <c r="LH41" s="11" t="n">
        <v>44507161</v>
      </c>
      <c r="LI41" s="11" t="n">
        <v>50627165</v>
      </c>
      <c r="LJ41" s="11" t="n">
        <v>47233381</v>
      </c>
      <c r="LK41" s="11" t="n">
        <v>-5503670</v>
      </c>
      <c r="LL41" s="11" t="n">
        <v>-12762566</v>
      </c>
      <c r="LM41" s="11" t="n">
        <v>755370</v>
      </c>
      <c r="LN41" s="11" t="n">
        <v>41064449</v>
      </c>
      <c r="LO41" s="11" t="n">
        <v>-292215455</v>
      </c>
      <c r="LP41" s="11" t="n">
        <v>-350879979</v>
      </c>
      <c r="LQ41" s="11" t="n">
        <v>-291364195</v>
      </c>
      <c r="LR41" s="11" t="n">
        <v>116731306</v>
      </c>
      <c r="LS41" s="11" t="n">
        <v>255177275</v>
      </c>
    </row>
    <row r="42" customFormat="false" ht="15" hidden="false" customHeight="true" outlineLevel="0" collapsed="false">
      <c r="A42" s="7" t="s">
        <v>108</v>
      </c>
      <c r="B42" s="11" t="n">
        <v>-65926</v>
      </c>
      <c r="C42" s="11" t="n">
        <v>-714748</v>
      </c>
      <c r="D42" s="11" t="n">
        <v>-123590</v>
      </c>
      <c r="E42" s="11" t="n">
        <v>-5381724</v>
      </c>
      <c r="F42" s="11" t="n">
        <v>-51510</v>
      </c>
      <c r="G42" s="11" t="n">
        <v>-209066</v>
      </c>
      <c r="H42" s="11" t="n">
        <v>1434766</v>
      </c>
      <c r="I42" s="11" t="n">
        <v>3899460</v>
      </c>
      <c r="J42" s="11" t="n">
        <v>979140</v>
      </c>
      <c r="K42" s="11" t="n">
        <v>-17204</v>
      </c>
      <c r="L42" s="11" t="n">
        <v>-1272920</v>
      </c>
      <c r="M42" s="11" t="n">
        <v>-40296</v>
      </c>
      <c r="N42" s="11" t="n">
        <v>1795384</v>
      </c>
      <c r="O42" s="11" t="n">
        <v>-411750</v>
      </c>
      <c r="P42" s="11" t="n">
        <v>1267530</v>
      </c>
      <c r="Q42" s="11" t="n">
        <v>-2022092</v>
      </c>
      <c r="R42" s="11" t="n">
        <v>-93730520</v>
      </c>
      <c r="S42" s="11" t="n">
        <v>-1201908</v>
      </c>
      <c r="T42" s="11" t="n">
        <v>16359892</v>
      </c>
      <c r="U42" s="11" t="n">
        <v>16845240</v>
      </c>
      <c r="V42" s="11" t="n">
        <v>71657340</v>
      </c>
      <c r="W42" s="11" t="n">
        <v>-981904</v>
      </c>
      <c r="X42" s="11" t="n">
        <v>-62100</v>
      </c>
      <c r="Y42" s="11" t="n">
        <v>3420324</v>
      </c>
      <c r="Z42" s="11" t="n">
        <v>-1146314</v>
      </c>
      <c r="AA42" s="11" t="n">
        <v>1358610</v>
      </c>
      <c r="AB42" s="11" t="n">
        <v>-2294904</v>
      </c>
      <c r="AC42" s="11" t="n">
        <v>150598936</v>
      </c>
      <c r="AD42" s="11" t="n">
        <v>-61315220</v>
      </c>
      <c r="AE42" s="11" t="n">
        <v>28180020</v>
      </c>
      <c r="AF42" s="11" t="n">
        <v>1530576</v>
      </c>
      <c r="AG42" s="11" t="n">
        <v>-1198686</v>
      </c>
      <c r="AH42" s="11" t="n">
        <v>-1393110</v>
      </c>
      <c r="AI42" s="11" t="n">
        <v>37767694</v>
      </c>
      <c r="AJ42" s="11" t="n">
        <v>110214870</v>
      </c>
      <c r="AK42" s="11" t="n">
        <v>-51940230</v>
      </c>
      <c r="AL42" s="11" t="n">
        <v>839249</v>
      </c>
      <c r="AM42" s="11" t="n">
        <v>19533</v>
      </c>
      <c r="AN42" s="11" t="n">
        <v>1180105</v>
      </c>
      <c r="AO42" s="11" t="n">
        <v>-176000</v>
      </c>
      <c r="AP42" s="11" t="n">
        <v>295163</v>
      </c>
      <c r="AQ42" s="11" t="n">
        <v>-692924</v>
      </c>
      <c r="AR42" s="11" t="n">
        <v>-1158937</v>
      </c>
      <c r="AS42" s="11" t="n">
        <v>-1361551</v>
      </c>
      <c r="AT42" s="11" t="n">
        <v>-55715936</v>
      </c>
      <c r="AU42" s="11" t="n">
        <v>-2563865</v>
      </c>
      <c r="AV42" s="11" t="n">
        <v>538615</v>
      </c>
      <c r="AW42" s="11" t="n">
        <v>10752357</v>
      </c>
      <c r="AX42" s="11" t="n">
        <v>37075964</v>
      </c>
      <c r="AY42" s="11" t="n">
        <v>617783</v>
      </c>
      <c r="AZ42" s="11" t="n">
        <v>-345205</v>
      </c>
      <c r="BA42" s="11" t="n">
        <v>491392</v>
      </c>
      <c r="BB42" s="11" t="n">
        <v>-873907</v>
      </c>
      <c r="BC42" s="11" t="n">
        <v>-1017275</v>
      </c>
      <c r="BD42" s="11" t="n">
        <v>-15289425</v>
      </c>
      <c r="BE42" s="11" t="n">
        <v>20352607</v>
      </c>
      <c r="BF42" s="11" t="n">
        <v>-30882371</v>
      </c>
      <c r="BG42" s="11" t="n">
        <v>-24805188</v>
      </c>
      <c r="BH42" s="11" t="n">
        <v>788755</v>
      </c>
      <c r="BI42" s="11" t="n">
        <v>-4371740</v>
      </c>
      <c r="BJ42" s="11" t="n">
        <v>-11315745</v>
      </c>
      <c r="BK42" s="11" t="n">
        <v>4226299</v>
      </c>
      <c r="BL42" s="11" t="n">
        <v>13783363</v>
      </c>
      <c r="BM42" s="11" t="n">
        <v>-15763523</v>
      </c>
      <c r="BN42" s="11" t="n">
        <v>-509116</v>
      </c>
      <c r="BO42" s="11" t="n">
        <v>-33731530</v>
      </c>
      <c r="BP42" s="11" t="n">
        <v>2100996</v>
      </c>
      <c r="BQ42" s="11" t="n">
        <v>18471746</v>
      </c>
      <c r="BR42" s="11" t="n">
        <v>5049735</v>
      </c>
      <c r="BS42" s="11" t="n">
        <v>33348525</v>
      </c>
      <c r="BT42" s="11" t="n">
        <v>-69190</v>
      </c>
      <c r="BU42" s="11" t="n">
        <v>-57868</v>
      </c>
      <c r="BV42" s="11" t="n">
        <v>608974</v>
      </c>
      <c r="BW42" s="11" t="n">
        <v>-302821</v>
      </c>
      <c r="BX42" s="11" t="n">
        <v>73117</v>
      </c>
      <c r="BY42" s="11" t="n">
        <v>-4119580</v>
      </c>
      <c r="BZ42" s="11" t="n">
        <v>37837280</v>
      </c>
      <c r="CA42" s="11" t="n">
        <v>-20749705</v>
      </c>
      <c r="CB42" s="11" t="n">
        <v>312235</v>
      </c>
      <c r="CC42" s="11" t="n">
        <v>-4612652</v>
      </c>
      <c r="CD42" s="11" t="n">
        <v>675696</v>
      </c>
      <c r="CE42" s="11" t="n">
        <v>-4092252</v>
      </c>
      <c r="CF42" s="11" t="n">
        <v>17027141</v>
      </c>
      <c r="CG42" s="11" t="n">
        <v>37236673</v>
      </c>
      <c r="CH42" s="11" t="n">
        <v>-20560845</v>
      </c>
      <c r="CI42" s="11" t="n">
        <v>20925046</v>
      </c>
      <c r="CJ42" s="11" t="n">
        <v>-4963864</v>
      </c>
      <c r="CK42" s="11" t="n">
        <v>-29640794</v>
      </c>
      <c r="CL42" s="11" t="n">
        <v>-1669677</v>
      </c>
      <c r="CM42" s="11" t="n">
        <v>-31611299</v>
      </c>
      <c r="CN42" s="11" t="n">
        <v>-242528794</v>
      </c>
      <c r="CO42" s="11" t="n">
        <v>-1204651194</v>
      </c>
      <c r="CP42" s="11" t="n">
        <v>96923250</v>
      </c>
      <c r="CQ42" s="11" t="n">
        <v>-723760520</v>
      </c>
      <c r="CR42" s="11" t="n">
        <v>-57778670</v>
      </c>
      <c r="CS42" s="11" t="n">
        <v>-42344403</v>
      </c>
      <c r="CT42" s="11" t="n">
        <v>-194694981</v>
      </c>
      <c r="CU42" s="11" t="n">
        <v>-233416953</v>
      </c>
      <c r="CV42" s="11" t="n">
        <v>-794633981</v>
      </c>
      <c r="CW42" s="11" t="n">
        <v>204172365</v>
      </c>
      <c r="CX42" s="11" t="n">
        <v>-3053018</v>
      </c>
      <c r="CY42" s="11" t="n">
        <v>21001034</v>
      </c>
      <c r="CZ42" s="11" t="n">
        <v>-12673081</v>
      </c>
      <c r="DA42" s="11" t="n">
        <v>-1290883</v>
      </c>
      <c r="DB42" s="11" t="n">
        <v>-9306558</v>
      </c>
      <c r="DC42" s="11" t="n">
        <v>2762713</v>
      </c>
      <c r="DD42" s="11" t="n">
        <v>-4305945</v>
      </c>
      <c r="DE42" s="11" t="n">
        <v>19627442</v>
      </c>
      <c r="DF42" s="11" t="n">
        <v>33554658</v>
      </c>
      <c r="DG42" s="11" t="n">
        <v>-19042118</v>
      </c>
      <c r="DH42" s="11" t="n">
        <v>-419171228</v>
      </c>
      <c r="DI42" s="11" t="n">
        <v>161026909</v>
      </c>
      <c r="DJ42" s="11" t="n">
        <v>-90636723</v>
      </c>
      <c r="DK42" s="11" t="n">
        <v>632311809</v>
      </c>
      <c r="DL42" s="11" t="n">
        <v>800704717</v>
      </c>
      <c r="DM42" s="11" t="n">
        <v>-444318845</v>
      </c>
      <c r="DN42" s="11" t="n">
        <v>111547481</v>
      </c>
      <c r="DO42" s="11" t="n">
        <v>314905557</v>
      </c>
      <c r="DP42" s="11" t="n">
        <v>-145092417</v>
      </c>
      <c r="DQ42" s="11" t="n">
        <v>-261950012</v>
      </c>
      <c r="DR42" s="11" t="n">
        <v>37117</v>
      </c>
      <c r="DS42" s="11" t="n">
        <v>629</v>
      </c>
      <c r="DT42" s="11" t="n">
        <v>-36163</v>
      </c>
      <c r="DU42" s="11" t="n">
        <v>-642</v>
      </c>
      <c r="DV42" s="11" t="n">
        <v>-46765</v>
      </c>
      <c r="DW42" s="11" t="n">
        <v>8076</v>
      </c>
      <c r="DX42" s="11" t="n">
        <v>-14349</v>
      </c>
      <c r="DY42" s="11" t="n">
        <v>-62763</v>
      </c>
      <c r="DZ42" s="11" t="n">
        <v>-3422032</v>
      </c>
      <c r="EA42" s="11" t="n">
        <v>-35961</v>
      </c>
      <c r="EB42" s="11" t="n">
        <v>-624717</v>
      </c>
      <c r="EC42" s="11" t="n">
        <v>895345</v>
      </c>
      <c r="ED42" s="11" t="n">
        <v>2039868</v>
      </c>
      <c r="EE42" s="11" t="n">
        <v>-119141</v>
      </c>
      <c r="EF42" s="11" t="n">
        <v>-1695</v>
      </c>
      <c r="EG42" s="11" t="n">
        <v>-89664</v>
      </c>
      <c r="EH42" s="11" t="n">
        <v>28829</v>
      </c>
      <c r="EI42" s="11" t="n">
        <v>10305</v>
      </c>
      <c r="EJ42" s="11" t="n">
        <v>-24153</v>
      </c>
      <c r="EK42" s="11" t="n">
        <v>-3702877</v>
      </c>
      <c r="EL42" s="11" t="n">
        <v>-127759</v>
      </c>
      <c r="EM42" s="11" t="n">
        <v>-3310356</v>
      </c>
      <c r="EN42" s="11" t="n">
        <v>-34503</v>
      </c>
      <c r="EO42" s="11" t="n">
        <v>-7662</v>
      </c>
      <c r="EP42" s="11" t="n">
        <v>-49185</v>
      </c>
      <c r="EQ42" s="11" t="n">
        <v>-992149</v>
      </c>
      <c r="ER42" s="11" t="n">
        <v>-2811609</v>
      </c>
      <c r="ES42" s="11" t="n">
        <v>789969</v>
      </c>
      <c r="ET42" s="11" t="n">
        <v>-19028</v>
      </c>
      <c r="EU42" s="11" t="n">
        <v>-179570</v>
      </c>
      <c r="EV42" s="11" t="n">
        <v>-13152</v>
      </c>
      <c r="EW42" s="11" t="n">
        <v>1705378</v>
      </c>
      <c r="EX42" s="11" t="n">
        <v>-351765</v>
      </c>
      <c r="EY42" s="11" t="n">
        <v>926745</v>
      </c>
      <c r="EZ42" s="11" t="n">
        <v>-21582</v>
      </c>
      <c r="FA42" s="11" t="n">
        <v>-552</v>
      </c>
      <c r="FB42" s="11" t="n">
        <v>4926</v>
      </c>
      <c r="FC42" s="11" t="n">
        <v>-1821</v>
      </c>
      <c r="FD42" s="11" t="n">
        <v>8349</v>
      </c>
      <c r="FE42" s="11" t="n">
        <v>9708</v>
      </c>
      <c r="FF42" s="11" t="n">
        <v>-1887792</v>
      </c>
      <c r="FG42" s="11" t="n">
        <v>381795</v>
      </c>
      <c r="FH42" s="11" t="n">
        <v>-972345</v>
      </c>
      <c r="FI42" s="11" t="n">
        <v>-46068</v>
      </c>
      <c r="FJ42" s="11" t="n">
        <v>8946</v>
      </c>
      <c r="FK42" s="11" t="n">
        <v>-21114</v>
      </c>
      <c r="FL42" s="11" t="n">
        <v>72141</v>
      </c>
      <c r="FM42" s="11" t="n">
        <v>-508359</v>
      </c>
      <c r="FN42" s="11" t="n">
        <v>65655</v>
      </c>
      <c r="FO42" s="11" t="n">
        <v>-1450658</v>
      </c>
      <c r="FP42" s="11" t="n">
        <v>3804</v>
      </c>
      <c r="FQ42" s="11" t="n">
        <v>-3203970</v>
      </c>
      <c r="FR42" s="11" t="n">
        <v>1053815</v>
      </c>
      <c r="FS42" s="11" t="n">
        <v>-521343</v>
      </c>
      <c r="FT42" s="11" t="n">
        <v>1038582</v>
      </c>
      <c r="FU42" s="11" t="n">
        <v>-160251058</v>
      </c>
      <c r="FV42" s="11" t="n">
        <v>36762890</v>
      </c>
      <c r="FW42" s="11" t="n">
        <v>-75573240</v>
      </c>
      <c r="FX42" s="11" t="n">
        <v>-1873626</v>
      </c>
      <c r="FY42" s="11" t="n">
        <v>658065</v>
      </c>
      <c r="FZ42" s="11" t="n">
        <v>-175077</v>
      </c>
      <c r="GA42" s="11" t="n">
        <v>-35216965</v>
      </c>
      <c r="GB42" s="11" t="n">
        <v>-109321857</v>
      </c>
      <c r="GC42" s="11" t="n">
        <v>41687385</v>
      </c>
      <c r="GD42" s="11" t="n">
        <v>46398</v>
      </c>
      <c r="GE42" s="11" t="n">
        <v>-4009566</v>
      </c>
      <c r="GF42" s="11" t="n">
        <v>1334091</v>
      </c>
      <c r="GG42" s="11" t="n">
        <v>-1227831</v>
      </c>
      <c r="GH42" s="11" t="n">
        <v>-91962</v>
      </c>
      <c r="GI42" s="11" t="n">
        <v>30207</v>
      </c>
      <c r="GJ42" s="11" t="n">
        <v>-13455</v>
      </c>
      <c r="GK42" s="11" t="n">
        <v>33810</v>
      </c>
      <c r="GL42" s="11" t="n">
        <v>-1270854</v>
      </c>
      <c r="GM42" s="11" t="n">
        <v>412494</v>
      </c>
      <c r="GN42" s="11" t="n">
        <v>-2254884</v>
      </c>
      <c r="GO42" s="11" t="n">
        <v>220701</v>
      </c>
      <c r="GP42" s="11" t="n">
        <v>-1538091</v>
      </c>
      <c r="GQ42" s="11" t="n">
        <v>45762861</v>
      </c>
      <c r="GR42" s="11" t="n">
        <v>73245849</v>
      </c>
      <c r="GS42" s="11" t="n">
        <v>-38384625</v>
      </c>
      <c r="GT42" s="11" t="n">
        <v>1030587</v>
      </c>
      <c r="GU42" s="11" t="n">
        <v>2394639</v>
      </c>
      <c r="GV42" s="11" t="n">
        <v>-937359</v>
      </c>
      <c r="GW42" s="11" t="n">
        <v>-15122424</v>
      </c>
      <c r="GX42" s="11" t="n">
        <v>2990</v>
      </c>
      <c r="GY42" s="11" t="n">
        <v>1124772</v>
      </c>
      <c r="GZ42" s="11" t="n">
        <v>-90917</v>
      </c>
      <c r="HA42" s="11" t="n">
        <v>761506</v>
      </c>
      <c r="HB42" s="11" t="n">
        <v>-492932</v>
      </c>
      <c r="HC42" s="11" t="n">
        <v>-469828</v>
      </c>
      <c r="HD42" s="11" t="n">
        <v>21974</v>
      </c>
      <c r="HE42" s="11" t="n">
        <v>-1489</v>
      </c>
      <c r="HF42" s="11" t="n">
        <v>16672</v>
      </c>
      <c r="HG42" s="11" t="n">
        <v>-9004</v>
      </c>
      <c r="HH42" s="11" t="n">
        <v>-6806</v>
      </c>
      <c r="HI42" s="11" t="n">
        <v>108035</v>
      </c>
      <c r="HJ42" s="11" t="n">
        <v>675206</v>
      </c>
      <c r="HK42" s="11" t="n">
        <v>235532</v>
      </c>
      <c r="HL42" s="11" t="n">
        <v>892576</v>
      </c>
      <c r="HM42" s="11" t="n">
        <v>-127721</v>
      </c>
      <c r="HN42" s="11" t="n">
        <v>28308</v>
      </c>
      <c r="HO42" s="11" t="n">
        <v>-27021</v>
      </c>
      <c r="HP42" s="11" t="n">
        <v>455372</v>
      </c>
      <c r="HQ42" s="11" t="n">
        <v>886342</v>
      </c>
      <c r="HR42" s="11" t="n">
        <v>-292788</v>
      </c>
      <c r="HS42" s="11" t="n">
        <v>-1626268</v>
      </c>
      <c r="HT42" s="11" t="n">
        <v>156633</v>
      </c>
      <c r="HU42" s="11" t="n">
        <v>-1237344</v>
      </c>
      <c r="HV42" s="11" t="n">
        <v>761398</v>
      </c>
      <c r="HW42" s="11" t="n">
        <v>630132</v>
      </c>
      <c r="HX42" s="11" t="n">
        <v>9471908</v>
      </c>
      <c r="HY42" s="11" t="n">
        <v>-51276604</v>
      </c>
      <c r="HZ42" s="11" t="n">
        <v>18314252</v>
      </c>
      <c r="IA42" s="11" t="n">
        <v>-18498800</v>
      </c>
      <c r="IB42" s="11" t="n">
        <v>-2268015</v>
      </c>
      <c r="IC42" s="11" t="n">
        <v>2670701</v>
      </c>
      <c r="ID42" s="11" t="n">
        <v>5451792</v>
      </c>
      <c r="IE42" s="11" t="n">
        <v>-10072678</v>
      </c>
      <c r="IF42" s="11" t="n">
        <v>-33942996</v>
      </c>
      <c r="IG42" s="11" t="n">
        <v>15757148</v>
      </c>
      <c r="IH42" s="11" t="n">
        <v>341251</v>
      </c>
      <c r="II42" s="11" t="n">
        <v>-25504</v>
      </c>
      <c r="IJ42" s="11" t="n">
        <v>698342</v>
      </c>
      <c r="IK42" s="11" t="n">
        <v>929144</v>
      </c>
      <c r="IL42" s="11" t="n">
        <v>-257184</v>
      </c>
      <c r="IM42" s="11" t="n">
        <v>92509</v>
      </c>
      <c r="IN42" s="11" t="n">
        <v>42735</v>
      </c>
      <c r="IO42" s="11" t="n">
        <v>519392</v>
      </c>
      <c r="IP42" s="11" t="n">
        <v>697056</v>
      </c>
      <c r="IQ42" s="11" t="n">
        <v>-164426</v>
      </c>
      <c r="IR42" s="11" t="n">
        <v>-10611179</v>
      </c>
      <c r="IS42" s="11" t="n">
        <v>-224363</v>
      </c>
      <c r="IT42" s="11" t="n">
        <v>-9293364</v>
      </c>
      <c r="IU42" s="11" t="n">
        <v>21731670</v>
      </c>
      <c r="IV42" s="11" t="n">
        <v>29586232</v>
      </c>
      <c r="IW42" s="11" t="n">
        <v>-18407216</v>
      </c>
      <c r="IX42" s="11" t="n">
        <v>3045653</v>
      </c>
      <c r="IY42" s="11" t="n">
        <v>8332791</v>
      </c>
      <c r="IZ42" s="11" t="n">
        <v>-2491221</v>
      </c>
      <c r="JA42" s="11" t="n">
        <v>-8573606</v>
      </c>
      <c r="JB42" s="11" t="n">
        <v>-562148</v>
      </c>
      <c r="JC42" s="11" t="n">
        <v>47668</v>
      </c>
      <c r="JD42" s="11" t="n">
        <v>-527764</v>
      </c>
      <c r="JE42" s="11" t="n">
        <v>281038</v>
      </c>
      <c r="JF42" s="11" t="n">
        <v>166202</v>
      </c>
      <c r="JG42" s="11" t="n">
        <v>838402</v>
      </c>
      <c r="JH42" s="11" t="n">
        <v>-55362908</v>
      </c>
      <c r="JI42" s="11" t="n">
        <v>13044460</v>
      </c>
      <c r="JJ42" s="11" t="n">
        <v>-25810540</v>
      </c>
      <c r="JK42" s="11" t="n">
        <v>3907442</v>
      </c>
      <c r="JL42" s="11" t="n">
        <v>-686973</v>
      </c>
      <c r="JM42" s="11" t="n">
        <v>2436513</v>
      </c>
      <c r="JN42" s="11" t="n">
        <v>-15431318</v>
      </c>
      <c r="JO42" s="11" t="n">
        <v>-40600162</v>
      </c>
      <c r="JP42" s="11" t="n">
        <v>16760280</v>
      </c>
      <c r="JQ42" s="11" t="n">
        <v>70374</v>
      </c>
      <c r="JR42" s="11" t="n">
        <v>-744132</v>
      </c>
      <c r="JS42" s="11" t="n">
        <v>372558</v>
      </c>
      <c r="JT42" s="11" t="n">
        <v>-58146</v>
      </c>
      <c r="JU42" s="11" t="n">
        <v>-2970</v>
      </c>
      <c r="JV42" s="11" t="n">
        <v>3591</v>
      </c>
      <c r="JW42" s="11" t="n">
        <v>25737</v>
      </c>
      <c r="JX42" s="11" t="n">
        <v>-22248</v>
      </c>
      <c r="JY42" s="11" t="n">
        <v>-274596</v>
      </c>
      <c r="JZ42" s="11" t="n">
        <v>139218</v>
      </c>
      <c r="KA42" s="11" t="n">
        <v>-5820936</v>
      </c>
      <c r="KB42" s="11" t="n">
        <v>1077363</v>
      </c>
      <c r="KC42" s="11" t="n">
        <v>-3144441</v>
      </c>
      <c r="KD42" s="11" t="n">
        <v>19423878</v>
      </c>
      <c r="KE42" s="11" t="n">
        <v>28439694</v>
      </c>
      <c r="KF42" s="11" t="n">
        <v>-15756420</v>
      </c>
      <c r="KG42" s="11" t="n">
        <v>251559</v>
      </c>
      <c r="KH42" s="11" t="n">
        <v>2261523</v>
      </c>
      <c r="KI42" s="11" t="n">
        <v>-554463</v>
      </c>
      <c r="KJ42" s="11" t="n">
        <v>-6317418</v>
      </c>
      <c r="KK42" s="11" t="n">
        <v>3521734</v>
      </c>
      <c r="KL42" s="11" t="n">
        <v>54419816</v>
      </c>
      <c r="KM42" s="11" t="n">
        <v>-9707272</v>
      </c>
      <c r="KN42" s="11" t="n">
        <v>28073060</v>
      </c>
      <c r="KO42" s="11" t="n">
        <v>-7920918</v>
      </c>
      <c r="KP42" s="11" t="n">
        <v>2583781</v>
      </c>
      <c r="KQ42" s="11" t="n">
        <v>-1339269</v>
      </c>
      <c r="KR42" s="11" t="n">
        <v>18092900</v>
      </c>
      <c r="KS42" s="11" t="n">
        <v>42445464</v>
      </c>
      <c r="KT42" s="11" t="n">
        <v>-16904738</v>
      </c>
      <c r="KU42" s="11" t="n">
        <v>-427999598</v>
      </c>
      <c r="KV42" s="11" t="n">
        <v>96198358</v>
      </c>
      <c r="KW42" s="11" t="n">
        <v>-203566260</v>
      </c>
      <c r="KX42" s="11" t="n">
        <v>306777408</v>
      </c>
      <c r="KY42" s="11" t="n">
        <v>266124580</v>
      </c>
      <c r="KZ42" s="11" t="n">
        <v>-205725140</v>
      </c>
      <c r="LA42" s="11" t="n">
        <v>97644491</v>
      </c>
      <c r="LB42" s="11" t="n">
        <v>295089027</v>
      </c>
      <c r="LC42" s="11" t="n">
        <v>-112766937</v>
      </c>
      <c r="LD42" s="11" t="n">
        <v>-150796982</v>
      </c>
      <c r="LE42" s="11" t="n">
        <v>-11474514</v>
      </c>
      <c r="LF42" s="11" t="n">
        <v>3549225</v>
      </c>
      <c r="LG42" s="11" t="n">
        <v>-3878673</v>
      </c>
      <c r="LH42" s="11" t="n">
        <v>23216388</v>
      </c>
      <c r="LI42" s="11" t="n">
        <v>31532208</v>
      </c>
      <c r="LJ42" s="11" t="n">
        <v>-17601066</v>
      </c>
      <c r="LK42" s="11" t="n">
        <v>435726</v>
      </c>
      <c r="LL42" s="11" t="n">
        <v>4360122</v>
      </c>
      <c r="LM42" s="11" t="n">
        <v>-1495932</v>
      </c>
      <c r="LN42" s="11" t="n">
        <v>-7624452</v>
      </c>
      <c r="LO42" s="11" t="n">
        <v>-117907107</v>
      </c>
      <c r="LP42" s="11" t="n">
        <v>-191880879</v>
      </c>
      <c r="LQ42" s="11" t="n">
        <v>99206949</v>
      </c>
      <c r="LR42" s="11" t="n">
        <v>64221414</v>
      </c>
      <c r="LS42" s="11" t="n">
        <v>-37516350</v>
      </c>
    </row>
    <row r="43" customFormat="false" ht="15" hidden="false" customHeight="true" outlineLevel="0" collapsed="false">
      <c r="A43" s="7" t="s">
        <v>109</v>
      </c>
      <c r="B43" s="11" t="n">
        <v>559775</v>
      </c>
      <c r="C43" s="11" t="n">
        <v>213900</v>
      </c>
      <c r="D43" s="11" t="n">
        <v>616525</v>
      </c>
      <c r="E43" s="11" t="n">
        <v>39074700</v>
      </c>
      <c r="F43" s="11" t="n">
        <v>83575</v>
      </c>
      <c r="G43" s="11" t="n">
        <v>31401175</v>
      </c>
      <c r="H43" s="11" t="n">
        <v>-19383075</v>
      </c>
      <c r="I43" s="11" t="n">
        <v>-14735300</v>
      </c>
      <c r="J43" s="11" t="n">
        <v>-12491700</v>
      </c>
      <c r="K43" s="11" t="n">
        <v>-162800</v>
      </c>
      <c r="L43" s="11" t="n">
        <v>6083650</v>
      </c>
      <c r="M43" s="11" t="n">
        <v>89700</v>
      </c>
      <c r="N43" s="11" t="n">
        <v>5895250</v>
      </c>
      <c r="O43" s="11" t="n">
        <v>-1641825</v>
      </c>
      <c r="P43" s="11" t="n">
        <v>2348925</v>
      </c>
      <c r="Q43" s="11" t="n">
        <v>13695900</v>
      </c>
      <c r="R43" s="11" t="n">
        <v>874299000</v>
      </c>
      <c r="S43" s="11" t="n">
        <v>1899300</v>
      </c>
      <c r="T43" s="11" t="n">
        <v>702987900</v>
      </c>
      <c r="U43" s="11" t="n">
        <v>-433171800</v>
      </c>
      <c r="V43" s="11" t="n">
        <v>-327929100</v>
      </c>
      <c r="W43" s="11" t="n">
        <v>18064550</v>
      </c>
      <c r="X43" s="11" t="n">
        <v>123100</v>
      </c>
      <c r="Y43" s="11" t="n">
        <v>15625350</v>
      </c>
      <c r="Z43" s="11" t="n">
        <v>-7445475</v>
      </c>
      <c r="AA43" s="11" t="n">
        <v>-1698425</v>
      </c>
      <c r="AB43" s="11" t="n">
        <v>5353150</v>
      </c>
      <c r="AC43" s="11" t="n">
        <v>70244950</v>
      </c>
      <c r="AD43" s="11" t="n">
        <v>96049350</v>
      </c>
      <c r="AE43" s="11" t="n">
        <v>324108700</v>
      </c>
      <c r="AF43" s="11" t="n">
        <v>-4151650</v>
      </c>
      <c r="AG43" s="11" t="n">
        <v>2860875</v>
      </c>
      <c r="AH43" s="11" t="n">
        <v>2711925</v>
      </c>
      <c r="AI43" s="11" t="n">
        <v>112032225</v>
      </c>
      <c r="AJ43" s="11" t="n">
        <v>286949725</v>
      </c>
      <c r="AK43" s="11" t="n">
        <v>-124553925</v>
      </c>
      <c r="AL43" s="11" t="n">
        <v>-6167517</v>
      </c>
      <c r="AM43" s="11" t="n">
        <v>-94989</v>
      </c>
      <c r="AN43" s="11" t="n">
        <v>-8936261</v>
      </c>
      <c r="AO43" s="11" t="n">
        <v>1552328</v>
      </c>
      <c r="AP43" s="11" t="n">
        <v>-7356244</v>
      </c>
      <c r="AQ43" s="11" t="n">
        <v>7062378</v>
      </c>
      <c r="AR43" s="11" t="n">
        <v>6832368</v>
      </c>
      <c r="AS43" s="11" t="n">
        <v>6756483</v>
      </c>
      <c r="AT43" s="11" t="n">
        <v>427104480</v>
      </c>
      <c r="AU43" s="11" t="n">
        <v>1513989</v>
      </c>
      <c r="AV43" s="11" t="n">
        <v>343162485</v>
      </c>
      <c r="AW43" s="11" t="n">
        <v>-210861153</v>
      </c>
      <c r="AX43" s="11" t="n">
        <v>-159740556</v>
      </c>
      <c r="AY43" s="11" t="n">
        <v>-3211579</v>
      </c>
      <c r="AZ43" s="11" t="n">
        <v>1723885</v>
      </c>
      <c r="BA43" s="11" t="n">
        <v>-2773511</v>
      </c>
      <c r="BB43" s="11" t="n">
        <v>4489221</v>
      </c>
      <c r="BC43" s="11" t="n">
        <v>5024580</v>
      </c>
      <c r="BD43" s="11" t="n">
        <v>109693357</v>
      </c>
      <c r="BE43" s="11" t="n">
        <v>-12208355</v>
      </c>
      <c r="BF43" s="11" t="n">
        <v>183552471</v>
      </c>
      <c r="BG43" s="11" t="n">
        <v>241693972</v>
      </c>
      <c r="BH43" s="11" t="n">
        <v>-88177788</v>
      </c>
      <c r="BI43" s="11" t="n">
        <v>54806178</v>
      </c>
      <c r="BJ43" s="11" t="n">
        <v>41882960</v>
      </c>
      <c r="BK43" s="11" t="n">
        <v>141450294</v>
      </c>
      <c r="BL43" s="11" t="n">
        <v>189626048</v>
      </c>
      <c r="BM43" s="11" t="n">
        <v>-50674008</v>
      </c>
      <c r="BN43" s="11" t="n">
        <v>326028</v>
      </c>
      <c r="BO43" s="11" t="n">
        <v>266446530</v>
      </c>
      <c r="BP43" s="11" t="n">
        <v>-33652788</v>
      </c>
      <c r="BQ43" s="11" t="n">
        <v>229111782</v>
      </c>
      <c r="BR43" s="11" t="n">
        <v>-175690395</v>
      </c>
      <c r="BS43" s="11" t="n">
        <v>-126588105</v>
      </c>
      <c r="BT43" s="11" t="n">
        <v>3631286</v>
      </c>
      <c r="BU43" s="11" t="n">
        <v>-436244</v>
      </c>
      <c r="BV43" s="11" t="n">
        <v>3139798</v>
      </c>
      <c r="BW43" s="11" t="n">
        <v>-2332563</v>
      </c>
      <c r="BX43" s="11" t="n">
        <v>-1588473</v>
      </c>
      <c r="BY43" s="11" t="n">
        <v>18302716</v>
      </c>
      <c r="BZ43" s="11" t="n">
        <v>14164046</v>
      </c>
      <c r="CA43" s="11" t="n">
        <v>50543985</v>
      </c>
      <c r="CB43" s="11" t="n">
        <v>111752655</v>
      </c>
      <c r="CC43" s="11" t="n">
        <v>-17527072</v>
      </c>
      <c r="CD43" s="11" t="n">
        <v>5684688</v>
      </c>
      <c r="CE43" s="11" t="n">
        <v>-5419032</v>
      </c>
      <c r="CF43" s="11" t="n">
        <v>52801248</v>
      </c>
      <c r="CG43" s="11" t="n">
        <v>102823068</v>
      </c>
      <c r="CH43" s="11" t="n">
        <v>-49674510</v>
      </c>
      <c r="CI43" s="11" t="n">
        <v>-269313150</v>
      </c>
      <c r="CJ43" s="11" t="n">
        <v>36946488</v>
      </c>
      <c r="CK43" s="11" t="n">
        <v>-232850478</v>
      </c>
      <c r="CL43" s="11" t="n">
        <v>181321353</v>
      </c>
      <c r="CM43" s="11" t="n">
        <v>130232391</v>
      </c>
      <c r="CN43" s="11" t="n">
        <v>2395883730</v>
      </c>
      <c r="CO43" s="11" t="n">
        <v>-1040972430</v>
      </c>
      <c r="CP43" s="11" t="n">
        <v>3057135030</v>
      </c>
      <c r="CQ43" s="11" t="n">
        <v>1865261160</v>
      </c>
      <c r="CR43" s="11" t="n">
        <v>-1928693034</v>
      </c>
      <c r="CS43" s="11" t="n">
        <v>1193682807</v>
      </c>
      <c r="CT43" s="11" t="n">
        <v>902691969</v>
      </c>
      <c r="CU43" s="11" t="n">
        <v>1942366437</v>
      </c>
      <c r="CV43" s="11" t="n">
        <v>1109335449</v>
      </c>
      <c r="CW43" s="11" t="n">
        <v>222515415</v>
      </c>
      <c r="CX43" s="11" t="n">
        <v>51152106</v>
      </c>
      <c r="CY43" s="11" t="n">
        <v>129464</v>
      </c>
      <c r="CZ43" s="11" t="n">
        <v>92752161</v>
      </c>
      <c r="DA43" s="11" t="n">
        <v>138375817</v>
      </c>
      <c r="DB43" s="11" t="n">
        <v>-44244314</v>
      </c>
      <c r="DC43" s="11" t="n">
        <v>21714879</v>
      </c>
      <c r="DD43" s="11" t="n">
        <v>5752265</v>
      </c>
      <c r="DE43" s="11" t="n">
        <v>80281485</v>
      </c>
      <c r="DF43" s="11" t="n">
        <v>119703533</v>
      </c>
      <c r="DG43" s="11" t="n">
        <v>-48312363</v>
      </c>
      <c r="DH43" s="11" t="n">
        <v>-198869282</v>
      </c>
      <c r="DI43" s="11" t="n">
        <v>-244490469</v>
      </c>
      <c r="DJ43" s="11" t="n">
        <v>-876750103</v>
      </c>
      <c r="DK43" s="11" t="n">
        <v>359983281</v>
      </c>
      <c r="DL43" s="11" t="n">
        <v>535758817</v>
      </c>
      <c r="DM43" s="11" t="n">
        <v>-928385985</v>
      </c>
      <c r="DN43" s="11" t="n">
        <v>295896624</v>
      </c>
      <c r="DO43" s="11" t="n">
        <v>780713812</v>
      </c>
      <c r="DP43" s="11" t="n">
        <v>-344700342</v>
      </c>
      <c r="DQ43" s="11" t="n">
        <v>-616056402</v>
      </c>
      <c r="DR43" s="11" t="n">
        <v>-281766</v>
      </c>
      <c r="DS43" s="11" t="n">
        <v>-2872</v>
      </c>
      <c r="DT43" s="11" t="n">
        <v>344822</v>
      </c>
      <c r="DU43" s="11" t="n">
        <v>7469</v>
      </c>
      <c r="DV43" s="11" t="n">
        <v>228113</v>
      </c>
      <c r="DW43" s="11" t="n">
        <v>-27506</v>
      </c>
      <c r="DX43" s="11" t="n">
        <v>17039</v>
      </c>
      <c r="DY43" s="11" t="n">
        <v>309234</v>
      </c>
      <c r="DZ43" s="11" t="n">
        <v>19800240</v>
      </c>
      <c r="EA43" s="11" t="n">
        <v>44922</v>
      </c>
      <c r="EB43" s="11" t="n">
        <v>15893130</v>
      </c>
      <c r="EC43" s="11" t="n">
        <v>-9767094</v>
      </c>
      <c r="ED43" s="11" t="n">
        <v>-7410588</v>
      </c>
      <c r="EE43" s="11" t="n">
        <v>580258</v>
      </c>
      <c r="EF43" s="11" t="n">
        <v>8655</v>
      </c>
      <c r="EG43" s="11" t="n">
        <v>412347</v>
      </c>
      <c r="EH43" s="11" t="n">
        <v>-129742</v>
      </c>
      <c r="EI43" s="11" t="n">
        <v>-56835</v>
      </c>
      <c r="EJ43" s="11" t="n">
        <v>469886</v>
      </c>
      <c r="EK43" s="11" t="n">
        <v>-3419890</v>
      </c>
      <c r="EL43" s="11" t="n">
        <v>10019958</v>
      </c>
      <c r="EM43" s="11" t="n">
        <v>10266356</v>
      </c>
      <c r="EN43" s="11" t="n">
        <v>-384924</v>
      </c>
      <c r="EO43" s="11" t="n">
        <v>254519</v>
      </c>
      <c r="EP43" s="11" t="n">
        <v>199155</v>
      </c>
      <c r="EQ43" s="11" t="n">
        <v>6355787</v>
      </c>
      <c r="ER43" s="11" t="n">
        <v>6960579</v>
      </c>
      <c r="ES43" s="11" t="n">
        <v>-1314059</v>
      </c>
      <c r="ET43" s="11" t="n">
        <v>-17856</v>
      </c>
      <c r="EU43" s="11" t="n">
        <v>-4632660</v>
      </c>
      <c r="EV43" s="11" t="n">
        <v>-121524</v>
      </c>
      <c r="EW43" s="11" t="n">
        <v>-2123064</v>
      </c>
      <c r="EX43" s="11" t="n">
        <v>-212610</v>
      </c>
      <c r="EY43" s="11" t="n">
        <v>802110</v>
      </c>
      <c r="EZ43" s="11" t="n">
        <v>-69072</v>
      </c>
      <c r="FA43" s="11" t="n">
        <v>-1712</v>
      </c>
      <c r="FB43" s="11" t="n">
        <v>-36096</v>
      </c>
      <c r="FC43" s="11" t="n">
        <v>-424</v>
      </c>
      <c r="FD43" s="11" t="n">
        <v>7096</v>
      </c>
      <c r="FE43" s="11" t="n">
        <v>25918</v>
      </c>
      <c r="FF43" s="11" t="n">
        <v>-1152342</v>
      </c>
      <c r="FG43" s="11" t="n">
        <v>712430</v>
      </c>
      <c r="FH43" s="11" t="n">
        <v>-1261760</v>
      </c>
      <c r="FI43" s="11" t="n">
        <v>-42106</v>
      </c>
      <c r="FJ43" s="11" t="n">
        <v>17499</v>
      </c>
      <c r="FK43" s="11" t="n">
        <v>-28611</v>
      </c>
      <c r="FL43" s="11" t="n">
        <v>379379</v>
      </c>
      <c r="FM43" s="11" t="n">
        <v>-777761</v>
      </c>
      <c r="FN43" s="11" t="n">
        <v>65445</v>
      </c>
      <c r="FO43" s="11" t="n">
        <v>3829500</v>
      </c>
      <c r="FP43" s="11" t="n">
        <v>130524</v>
      </c>
      <c r="FQ43" s="11" t="n">
        <v>1322856</v>
      </c>
      <c r="FR43" s="11" t="n">
        <v>852294</v>
      </c>
      <c r="FS43" s="11" t="n">
        <v>-410682</v>
      </c>
      <c r="FT43" s="11" t="n">
        <v>7801140</v>
      </c>
      <c r="FU43" s="11" t="n">
        <v>-112115340</v>
      </c>
      <c r="FV43" s="11" t="n">
        <v>175526340</v>
      </c>
      <c r="FW43" s="11" t="n">
        <v>65475480</v>
      </c>
      <c r="FX43" s="11" t="n">
        <v>-6516132</v>
      </c>
      <c r="FY43" s="11" t="n">
        <v>4246386</v>
      </c>
      <c r="FZ43" s="11" t="n">
        <v>3068262</v>
      </c>
      <c r="GA43" s="11" t="n">
        <v>85585926</v>
      </c>
      <c r="GB43" s="11" t="n">
        <v>10594302</v>
      </c>
      <c r="GC43" s="11" t="n">
        <v>33395970</v>
      </c>
      <c r="GD43" s="11" t="n">
        <v>137738</v>
      </c>
      <c r="GE43" s="11" t="n">
        <v>-2624178</v>
      </c>
      <c r="GF43" s="11" t="n">
        <v>3205978</v>
      </c>
      <c r="GG43" s="11" t="n">
        <v>-66784</v>
      </c>
      <c r="GH43" s="11" t="n">
        <v>-137022</v>
      </c>
      <c r="GI43" s="11" t="n">
        <v>78617</v>
      </c>
      <c r="GJ43" s="11" t="n">
        <v>12495</v>
      </c>
      <c r="GK43" s="11" t="n">
        <v>1691505</v>
      </c>
      <c r="GL43" s="11" t="n">
        <v>-304491</v>
      </c>
      <c r="GM43" s="11" t="n">
        <v>328951</v>
      </c>
      <c r="GN43" s="11" t="n">
        <v>-1313236</v>
      </c>
      <c r="GO43" s="11" t="n">
        <v>217688</v>
      </c>
      <c r="GP43" s="11" t="n">
        <v>-2491044</v>
      </c>
      <c r="GQ43" s="11" t="n">
        <v>26419388</v>
      </c>
      <c r="GR43" s="11" t="n">
        <v>46822516</v>
      </c>
      <c r="GS43" s="11" t="n">
        <v>-57875780</v>
      </c>
      <c r="GT43" s="11" t="n">
        <v>533002</v>
      </c>
      <c r="GU43" s="11" t="n">
        <v>2597226</v>
      </c>
      <c r="GV43" s="11" t="n">
        <v>-1441566</v>
      </c>
      <c r="GW43" s="11" t="n">
        <v>-33246596</v>
      </c>
      <c r="GX43" s="11" t="n">
        <v>-16170</v>
      </c>
      <c r="GY43" s="11" t="n">
        <v>-8297316</v>
      </c>
      <c r="GZ43" s="11" t="n">
        <v>699081</v>
      </c>
      <c r="HA43" s="11" t="n">
        <v>-6216123</v>
      </c>
      <c r="HB43" s="11" t="n">
        <v>3857946</v>
      </c>
      <c r="HC43" s="11" t="n">
        <v>3251379</v>
      </c>
      <c r="HD43" s="11" t="n">
        <v>-104362</v>
      </c>
      <c r="HE43" s="11" t="n">
        <v>6697</v>
      </c>
      <c r="HF43" s="11" t="n">
        <v>-76451</v>
      </c>
      <c r="HG43" s="11" t="n">
        <v>40902</v>
      </c>
      <c r="HH43" s="11" t="n">
        <v>32163</v>
      </c>
      <c r="HI43" s="11" t="n">
        <v>-1075471</v>
      </c>
      <c r="HJ43" s="11" t="n">
        <v>889853</v>
      </c>
      <c r="HK43" s="11" t="n">
        <v>-3911326</v>
      </c>
      <c r="HL43" s="11" t="n">
        <v>-4480757</v>
      </c>
      <c r="HM43" s="11" t="n">
        <v>730740</v>
      </c>
      <c r="HN43" s="11" t="n">
        <v>-170510</v>
      </c>
      <c r="HO43" s="11" t="n">
        <v>-43912</v>
      </c>
      <c r="HP43" s="11" t="n">
        <v>-2516510</v>
      </c>
      <c r="HQ43" s="11" t="n">
        <v>-3008164</v>
      </c>
      <c r="HR43" s="11" t="n">
        <v>550698</v>
      </c>
      <c r="HS43" s="11" t="n">
        <v>7969884</v>
      </c>
      <c r="HT43" s="11" t="n">
        <v>-769809</v>
      </c>
      <c r="HU43" s="11" t="n">
        <v>5910027</v>
      </c>
      <c r="HV43" s="11" t="n">
        <v>-3673524</v>
      </c>
      <c r="HW43" s="11" t="n">
        <v>-3143061</v>
      </c>
      <c r="HX43" s="11" t="n">
        <v>-50448612</v>
      </c>
      <c r="HY43" s="11" t="n">
        <v>-31194660</v>
      </c>
      <c r="HZ43" s="11" t="n">
        <v>16511604</v>
      </c>
      <c r="IA43" s="11" t="n">
        <v>-10257072</v>
      </c>
      <c r="IB43" s="11" t="n">
        <v>40422996</v>
      </c>
      <c r="IC43" s="11" t="n">
        <v>-24847911</v>
      </c>
      <c r="ID43" s="11" t="n">
        <v>-18904551</v>
      </c>
      <c r="IE43" s="11" t="n">
        <v>-2134323</v>
      </c>
      <c r="IF43" s="11" t="n">
        <v>-19908231</v>
      </c>
      <c r="IG43" s="11" t="n">
        <v>11239383</v>
      </c>
      <c r="IH43" s="11" t="n">
        <v>-1667563</v>
      </c>
      <c r="II43" s="11" t="n">
        <v>462377</v>
      </c>
      <c r="IJ43" s="11" t="n">
        <v>-3549296</v>
      </c>
      <c r="IK43" s="11" t="n">
        <v>-4432947</v>
      </c>
      <c r="IL43" s="11" t="n">
        <v>1191912</v>
      </c>
      <c r="IM43" s="11" t="n">
        <v>-425797</v>
      </c>
      <c r="IN43" s="11" t="n">
        <v>-229455</v>
      </c>
      <c r="IO43" s="11" t="n">
        <v>-2418841</v>
      </c>
      <c r="IP43" s="11" t="n">
        <v>-3104883</v>
      </c>
      <c r="IQ43" s="11" t="n">
        <v>643533</v>
      </c>
      <c r="IR43" s="11" t="n">
        <v>-9453756</v>
      </c>
      <c r="IS43" s="11" t="n">
        <v>25921481</v>
      </c>
      <c r="IT43" s="11" t="n">
        <v>25914017</v>
      </c>
      <c r="IU43" s="11" t="n">
        <v>12934253</v>
      </c>
      <c r="IV43" s="11" t="n">
        <v>17945921</v>
      </c>
      <c r="IW43" s="11" t="n">
        <v>-13751825</v>
      </c>
      <c r="IX43" s="11" t="n">
        <v>-16113780</v>
      </c>
      <c r="IY43" s="11" t="n">
        <v>-17221548</v>
      </c>
      <c r="IZ43" s="11" t="n">
        <v>3050138</v>
      </c>
      <c r="JA43" s="11" t="n">
        <v>-7026706</v>
      </c>
      <c r="JB43" s="11" t="n">
        <v>-259956</v>
      </c>
      <c r="JC43" s="11" t="n">
        <v>51276</v>
      </c>
      <c r="JD43" s="11" t="n">
        <v>-272088</v>
      </c>
      <c r="JE43" s="11" t="n">
        <v>256686</v>
      </c>
      <c r="JF43" s="11" t="n">
        <v>160014</v>
      </c>
      <c r="JG43" s="11" t="n">
        <v>15072534</v>
      </c>
      <c r="JH43" s="11" t="n">
        <v>-39683466</v>
      </c>
      <c r="JI43" s="11" t="n">
        <v>69691320</v>
      </c>
      <c r="JJ43" s="11" t="n">
        <v>29837430</v>
      </c>
      <c r="JK43" s="11" t="n">
        <v>-7948446</v>
      </c>
      <c r="JL43" s="11" t="n">
        <v>1136409</v>
      </c>
      <c r="JM43" s="11" t="n">
        <v>3392391</v>
      </c>
      <c r="JN43" s="11" t="n">
        <v>33759489</v>
      </c>
      <c r="JO43" s="11" t="n">
        <v>6803061</v>
      </c>
      <c r="JP43" s="11" t="n">
        <v>13435875</v>
      </c>
      <c r="JQ43" s="11" t="n">
        <v>223274</v>
      </c>
      <c r="JR43" s="11" t="n">
        <v>-527010</v>
      </c>
      <c r="JS43" s="11" t="n">
        <v>999106</v>
      </c>
      <c r="JT43" s="11" t="n">
        <v>515672</v>
      </c>
      <c r="JU43" s="11" t="n">
        <v>-129742</v>
      </c>
      <c r="JV43" s="11" t="n">
        <v>23393</v>
      </c>
      <c r="JW43" s="11" t="n">
        <v>35719</v>
      </c>
      <c r="JX43" s="11" t="n">
        <v>525353</v>
      </c>
      <c r="JY43" s="11" t="n">
        <v>215341</v>
      </c>
      <c r="JZ43" s="11" t="n">
        <v>105807</v>
      </c>
      <c r="KA43" s="11" t="n">
        <v>-3527174</v>
      </c>
      <c r="KB43" s="11" t="n">
        <v>1928021</v>
      </c>
      <c r="KC43" s="11" t="n">
        <v>-4272113</v>
      </c>
      <c r="KD43" s="11" t="n">
        <v>11232541</v>
      </c>
      <c r="KE43" s="11" t="n">
        <v>18230117</v>
      </c>
      <c r="KF43" s="11" t="n">
        <v>-23569785</v>
      </c>
      <c r="KG43" s="11" t="n">
        <v>-750800</v>
      </c>
      <c r="KH43" s="11" t="n">
        <v>3046748</v>
      </c>
      <c r="KI43" s="11" t="n">
        <v>-756042</v>
      </c>
      <c r="KJ43" s="11" t="n">
        <v>-13583082</v>
      </c>
      <c r="KK43" s="11" t="n">
        <v>-12897174</v>
      </c>
      <c r="KL43" s="11" t="n">
        <v>39094794</v>
      </c>
      <c r="KM43" s="11" t="n">
        <v>-67458444</v>
      </c>
      <c r="KN43" s="11" t="n">
        <v>-28338618</v>
      </c>
      <c r="KO43" s="11" t="n">
        <v>5787678</v>
      </c>
      <c r="KP43" s="11" t="n">
        <v>571155</v>
      </c>
      <c r="KQ43" s="11" t="n">
        <v>-2349003</v>
      </c>
      <c r="KR43" s="11" t="n">
        <v>-32003673</v>
      </c>
      <c r="KS43" s="11" t="n">
        <v>-5596653</v>
      </c>
      <c r="KT43" s="11" t="n">
        <v>-13541403</v>
      </c>
      <c r="KU43" s="11" t="n">
        <v>-297946752</v>
      </c>
      <c r="KV43" s="11" t="n">
        <v>453725286</v>
      </c>
      <c r="KW43" s="11" t="n">
        <v>162782382</v>
      </c>
      <c r="KX43" s="11" t="n">
        <v>183042246</v>
      </c>
      <c r="KY43" s="11" t="n">
        <v>161233422</v>
      </c>
      <c r="KZ43" s="11" t="n">
        <v>-145528110</v>
      </c>
      <c r="LA43" s="11" t="n">
        <v>-216806382</v>
      </c>
      <c r="LB43" s="11" t="n">
        <v>-18783510</v>
      </c>
      <c r="LC43" s="11" t="n">
        <v>-89847282</v>
      </c>
      <c r="LD43" s="11" t="n">
        <v>-105784872</v>
      </c>
      <c r="LE43" s="11" t="n">
        <v>-7431686</v>
      </c>
      <c r="LF43" s="11" t="n">
        <v>8370927</v>
      </c>
      <c r="LG43" s="11" t="n">
        <v>-1244191</v>
      </c>
      <c r="LH43" s="11" t="n">
        <v>13496779</v>
      </c>
      <c r="LI43" s="11" t="n">
        <v>20100923</v>
      </c>
      <c r="LJ43" s="11" t="n">
        <v>-24900935</v>
      </c>
      <c r="LK43" s="11" t="n">
        <v>-4085614</v>
      </c>
      <c r="LL43" s="11" t="n">
        <v>1911894</v>
      </c>
      <c r="LM43" s="11" t="n">
        <v>-1469524</v>
      </c>
      <c r="LN43" s="11" t="n">
        <v>-14522818</v>
      </c>
      <c r="LO43" s="11" t="n">
        <v>-68065558</v>
      </c>
      <c r="LP43" s="11" t="n">
        <v>-122542366</v>
      </c>
      <c r="LQ43" s="11" t="n">
        <v>149425010</v>
      </c>
      <c r="LR43" s="11" t="n">
        <v>38449780</v>
      </c>
      <c r="LS43" s="11" t="n">
        <v>-84879116</v>
      </c>
    </row>
    <row r="44" customFormat="false" ht="15" hidden="false" customHeight="true" outlineLevel="0" collapsed="false">
      <c r="A44" s="7" t="s">
        <v>110</v>
      </c>
      <c r="B44" s="11" t="n">
        <v>3178807</v>
      </c>
      <c r="C44" s="11" t="n">
        <v>85737836</v>
      </c>
      <c r="D44" s="11" t="n">
        <v>4534105</v>
      </c>
      <c r="E44" s="11" t="n">
        <v>180899968</v>
      </c>
      <c r="F44" s="11" t="n">
        <v>33695</v>
      </c>
      <c r="G44" s="11" t="n">
        <v>138847987</v>
      </c>
      <c r="H44" s="11" t="n">
        <v>-98986687</v>
      </c>
      <c r="I44" s="11" t="n">
        <v>-104984420</v>
      </c>
      <c r="J44" s="11" t="n">
        <v>-10624980</v>
      </c>
      <c r="K44" s="11" t="n">
        <v>-187372</v>
      </c>
      <c r="L44" s="11" t="n">
        <v>5295590</v>
      </c>
      <c r="M44" s="11" t="n">
        <v>194772</v>
      </c>
      <c r="N44" s="11" t="n">
        <v>5313062</v>
      </c>
      <c r="O44" s="11" t="n">
        <v>-1414125</v>
      </c>
      <c r="P44" s="11" t="n">
        <v>-1864635</v>
      </c>
      <c r="Q44" s="11" t="n">
        <v>10101244</v>
      </c>
      <c r="R44" s="11" t="n">
        <v>747478840</v>
      </c>
      <c r="S44" s="11" t="n">
        <v>5365956</v>
      </c>
      <c r="T44" s="11" t="n">
        <v>607393756</v>
      </c>
      <c r="U44" s="11" t="n">
        <v>-368998680</v>
      </c>
      <c r="V44" s="11" t="n">
        <v>-401196780</v>
      </c>
      <c r="W44" s="11" t="n">
        <v>18216378</v>
      </c>
      <c r="X44" s="11" t="n">
        <v>279800</v>
      </c>
      <c r="Y44" s="11" t="n">
        <v>15762582</v>
      </c>
      <c r="Z44" s="11" t="n">
        <v>-7851727</v>
      </c>
      <c r="AA44" s="11" t="n">
        <v>-8847845</v>
      </c>
      <c r="AB44" s="11" t="n">
        <v>11027978</v>
      </c>
      <c r="AC44" s="11" t="n">
        <v>71048898</v>
      </c>
      <c r="AD44" s="11" t="n">
        <v>84427190</v>
      </c>
      <c r="AE44" s="11" t="n">
        <v>68781160</v>
      </c>
      <c r="AF44" s="11" t="n">
        <v>-8451182</v>
      </c>
      <c r="AG44" s="11" t="n">
        <v>6050127</v>
      </c>
      <c r="AH44" s="11" t="n">
        <v>6412845</v>
      </c>
      <c r="AI44" s="11" t="n">
        <v>103678517</v>
      </c>
      <c r="AJ44" s="11" t="n">
        <v>94025185</v>
      </c>
      <c r="AK44" s="11" t="n">
        <v>11360535</v>
      </c>
      <c r="AL44" s="11" t="n">
        <v>-48860773</v>
      </c>
      <c r="AM44" s="11" t="n">
        <v>-708532</v>
      </c>
      <c r="AN44" s="11" t="n">
        <v>-44035416</v>
      </c>
      <c r="AO44" s="11" t="n">
        <v>8887420</v>
      </c>
      <c r="AP44" s="11" t="n">
        <v>-35312403</v>
      </c>
      <c r="AQ44" s="11" t="n">
        <v>38290673</v>
      </c>
      <c r="AR44" s="11" t="n">
        <v>42287216</v>
      </c>
      <c r="AS44" s="11" t="n">
        <v>50582459</v>
      </c>
      <c r="AT44" s="11" t="n">
        <v>1592865184</v>
      </c>
      <c r="AU44" s="11" t="n">
        <v>240226765</v>
      </c>
      <c r="AV44" s="11" t="n">
        <v>1181767549</v>
      </c>
      <c r="AW44" s="11" t="n">
        <v>-488738889</v>
      </c>
      <c r="AX44" s="11" t="n">
        <v>-473135212</v>
      </c>
      <c r="AY44" s="11" t="n">
        <v>-22488872</v>
      </c>
      <c r="AZ44" s="11" t="n">
        <v>12684120</v>
      </c>
      <c r="BA44" s="11" t="n">
        <v>-19419833</v>
      </c>
      <c r="BB44" s="11" t="n">
        <v>32552683</v>
      </c>
      <c r="BC44" s="11" t="n">
        <v>36916320</v>
      </c>
      <c r="BD44" s="11" t="n">
        <v>506233240</v>
      </c>
      <c r="BE44" s="11" t="n">
        <v>-86127816</v>
      </c>
      <c r="BF44" s="11" t="n">
        <v>807806696</v>
      </c>
      <c r="BG44" s="11" t="n">
        <v>952157024</v>
      </c>
      <c r="BH44" s="11" t="n">
        <v>-388570375</v>
      </c>
      <c r="BI44" s="11" t="n">
        <v>277156325</v>
      </c>
      <c r="BJ44" s="11" t="n">
        <v>293967360</v>
      </c>
      <c r="BK44" s="11" t="n">
        <v>572895770</v>
      </c>
      <c r="BL44" s="11" t="n">
        <v>680834876</v>
      </c>
      <c r="BM44" s="11" t="n">
        <v>-52204276</v>
      </c>
      <c r="BN44" s="11" t="n">
        <v>-511828</v>
      </c>
      <c r="BO44" s="11" t="n">
        <v>228583250</v>
      </c>
      <c r="BP44" s="11" t="n">
        <v>-26711892</v>
      </c>
      <c r="BQ44" s="11" t="n">
        <v>199695638</v>
      </c>
      <c r="BR44" s="11" t="n">
        <v>-149720595</v>
      </c>
      <c r="BS44" s="11" t="n">
        <v>-170003505</v>
      </c>
      <c r="BT44" s="11" t="n">
        <v>3775976</v>
      </c>
      <c r="BU44" s="11" t="n">
        <v>-480448</v>
      </c>
      <c r="BV44" s="11" t="n">
        <v>3265700</v>
      </c>
      <c r="BW44" s="11" t="n">
        <v>-2572208</v>
      </c>
      <c r="BX44" s="11" t="n">
        <v>-2908196</v>
      </c>
      <c r="BY44" s="11" t="n">
        <v>17503736</v>
      </c>
      <c r="BZ44" s="11" t="n">
        <v>14773746</v>
      </c>
      <c r="CA44" s="11" t="n">
        <v>44199010</v>
      </c>
      <c r="CB44" s="11" t="n">
        <v>44616040</v>
      </c>
      <c r="CC44" s="11" t="n">
        <v>-17018108</v>
      </c>
      <c r="CD44" s="11" t="n">
        <v>6299808</v>
      </c>
      <c r="CE44" s="11" t="n">
        <v>7804236</v>
      </c>
      <c r="CF44" s="11" t="n">
        <v>48289993</v>
      </c>
      <c r="CG44" s="11" t="n">
        <v>49965241</v>
      </c>
      <c r="CH44" s="11" t="n">
        <v>3648765</v>
      </c>
      <c r="CI44" s="11" t="n">
        <v>-253323374</v>
      </c>
      <c r="CJ44" s="11" t="n">
        <v>25136696</v>
      </c>
      <c r="CK44" s="11" t="n">
        <v>-219111518</v>
      </c>
      <c r="CL44" s="11" t="n">
        <v>160115889</v>
      </c>
      <c r="CM44" s="11" t="n">
        <v>180950047</v>
      </c>
      <c r="CN44" s="11" t="n">
        <v>1994652386</v>
      </c>
      <c r="CO44" s="11" t="n">
        <v>-981481854</v>
      </c>
      <c r="CP44" s="11" t="n">
        <v>2594457510</v>
      </c>
      <c r="CQ44" s="11" t="n">
        <v>3328680040</v>
      </c>
      <c r="CR44" s="11" t="n">
        <v>-1627880186</v>
      </c>
      <c r="CS44" s="11" t="n">
        <v>1003300431</v>
      </c>
      <c r="CT44" s="11" t="n">
        <v>1094492073</v>
      </c>
      <c r="CU44" s="11" t="n">
        <v>1623713901</v>
      </c>
      <c r="CV44" s="11" t="n">
        <v>2178057793</v>
      </c>
      <c r="CW44" s="11" t="n">
        <v>-250696785</v>
      </c>
      <c r="CX44" s="11" t="n">
        <v>52347952</v>
      </c>
      <c r="CY44" s="11" t="n">
        <v>159606</v>
      </c>
      <c r="CZ44" s="11" t="n">
        <v>91840726</v>
      </c>
      <c r="DA44" s="11" t="n">
        <v>104431544</v>
      </c>
      <c r="DB44" s="11" t="n">
        <v>-45294088</v>
      </c>
      <c r="DC44" s="11" t="n">
        <v>23973968</v>
      </c>
      <c r="DD44" s="11" t="n">
        <v>27029880</v>
      </c>
      <c r="DE44" s="11" t="n">
        <v>79538323</v>
      </c>
      <c r="DF44" s="11" t="n">
        <v>90441851</v>
      </c>
      <c r="DG44" s="11" t="n">
        <v>-404881</v>
      </c>
      <c r="DH44" s="11" t="n">
        <v>-204074826</v>
      </c>
      <c r="DI44" s="11" t="n">
        <v>-187017034</v>
      </c>
      <c r="DJ44" s="11" t="n">
        <v>-134433096</v>
      </c>
      <c r="DK44" s="11" t="n">
        <v>357464436</v>
      </c>
      <c r="DL44" s="11" t="n">
        <v>406709184</v>
      </c>
      <c r="DM44" s="11" t="n">
        <v>137236400</v>
      </c>
      <c r="DN44" s="11" t="n">
        <v>255277405</v>
      </c>
      <c r="DO44" s="11" t="n">
        <v>221692389</v>
      </c>
      <c r="DP44" s="11" t="n">
        <v>34999521</v>
      </c>
      <c r="DQ44" s="11" t="n">
        <v>120428966</v>
      </c>
      <c r="DR44" s="11" t="n">
        <v>-2082134</v>
      </c>
      <c r="DS44" s="11" t="n">
        <v>-22201</v>
      </c>
      <c r="DT44" s="11" t="n">
        <v>2191953</v>
      </c>
      <c r="DU44" s="11" t="n">
        <v>44929</v>
      </c>
      <c r="DV44" s="11" t="n">
        <v>1520504</v>
      </c>
      <c r="DW44" s="11" t="n">
        <v>-219417</v>
      </c>
      <c r="DX44" s="11" t="n">
        <v>218279</v>
      </c>
      <c r="DY44" s="11" t="n">
        <v>2371062</v>
      </c>
      <c r="DZ44" s="11" t="n">
        <v>177611060</v>
      </c>
      <c r="EA44" s="11" t="n">
        <v>1233882</v>
      </c>
      <c r="EB44" s="11" t="n">
        <v>131956686</v>
      </c>
      <c r="EC44" s="11" t="n">
        <v>-70754810</v>
      </c>
      <c r="ED44" s="11" t="n">
        <v>-62877948</v>
      </c>
      <c r="EE44" s="11" t="n">
        <v>4389919</v>
      </c>
      <c r="EF44" s="11" t="n">
        <v>64320</v>
      </c>
      <c r="EG44" s="11" t="n">
        <v>3138501</v>
      </c>
      <c r="EH44" s="11" t="n">
        <v>-1004296</v>
      </c>
      <c r="EI44" s="11" t="n">
        <v>-421875</v>
      </c>
      <c r="EJ44" s="11" t="n">
        <v>2533591</v>
      </c>
      <c r="EK44" s="11" t="n">
        <v>-9213877</v>
      </c>
      <c r="EL44" s="11" t="n">
        <v>55769865</v>
      </c>
      <c r="EM44" s="11" t="n">
        <v>84814076</v>
      </c>
      <c r="EN44" s="11" t="n">
        <v>-1946349</v>
      </c>
      <c r="EO44" s="11" t="n">
        <v>1396744</v>
      </c>
      <c r="EP44" s="11" t="n">
        <v>1486155</v>
      </c>
      <c r="EQ44" s="11" t="n">
        <v>37763867</v>
      </c>
      <c r="ER44" s="11" t="n">
        <v>59750979</v>
      </c>
      <c r="ES44" s="11" t="n">
        <v>-14043659</v>
      </c>
      <c r="ET44" s="11" t="n">
        <v>-48524</v>
      </c>
      <c r="EU44" s="11" t="n">
        <v>-3857840</v>
      </c>
      <c r="EV44" s="11" t="n">
        <v>-22596</v>
      </c>
      <c r="EW44" s="11" t="n">
        <v>-1602116</v>
      </c>
      <c r="EX44" s="11" t="n">
        <v>-192870</v>
      </c>
      <c r="EY44" s="11" t="n">
        <v>-1950930</v>
      </c>
      <c r="EZ44" s="11" t="n">
        <v>-92218</v>
      </c>
      <c r="FA44" s="11" t="n">
        <v>-1288</v>
      </c>
      <c r="FB44" s="11" t="n">
        <v>-52518</v>
      </c>
      <c r="FC44" s="11" t="n">
        <v>3057</v>
      </c>
      <c r="FD44" s="11" t="n">
        <v>-25889</v>
      </c>
      <c r="FE44" s="11" t="n">
        <v>-59458</v>
      </c>
      <c r="FF44" s="11" t="n">
        <v>-1130618</v>
      </c>
      <c r="FG44" s="11" t="n">
        <v>609585</v>
      </c>
      <c r="FH44" s="11" t="n">
        <v>1649395</v>
      </c>
      <c r="FI44" s="11" t="n">
        <v>18070</v>
      </c>
      <c r="FJ44" s="11" t="n">
        <v>6543</v>
      </c>
      <c r="FK44" s="11" t="n">
        <v>39729</v>
      </c>
      <c r="FL44" s="11" t="n">
        <v>309678</v>
      </c>
      <c r="FM44" s="11" t="n">
        <v>1256734</v>
      </c>
      <c r="FN44" s="11" t="n">
        <v>-225810</v>
      </c>
      <c r="FO44" s="11" t="n">
        <v>253960</v>
      </c>
      <c r="FP44" s="11" t="n">
        <v>-3024</v>
      </c>
      <c r="FQ44" s="11" t="n">
        <v>-1250808</v>
      </c>
      <c r="FR44" s="11" t="n">
        <v>1868570</v>
      </c>
      <c r="FS44" s="11" t="n">
        <v>3687018</v>
      </c>
      <c r="FT44" s="11" t="n">
        <v>-358680</v>
      </c>
      <c r="FU44" s="11" t="n">
        <v>-107828920</v>
      </c>
      <c r="FV44" s="11" t="n">
        <v>147548900</v>
      </c>
      <c r="FW44" s="11" t="n">
        <v>282921180</v>
      </c>
      <c r="FX44" s="11" t="n">
        <v>-482616</v>
      </c>
      <c r="FY44" s="11" t="n">
        <v>882150</v>
      </c>
      <c r="FZ44" s="11" t="n">
        <v>1838502</v>
      </c>
      <c r="GA44" s="11" t="n">
        <v>66666170</v>
      </c>
      <c r="GB44" s="11" t="n">
        <v>172023522</v>
      </c>
      <c r="GC44" s="11" t="n">
        <v>-60471810</v>
      </c>
      <c r="GD44" s="11" t="n">
        <v>-12488</v>
      </c>
      <c r="GE44" s="11" t="n">
        <v>-2651976</v>
      </c>
      <c r="GF44" s="11" t="n">
        <v>3567145</v>
      </c>
      <c r="GG44" s="11" t="n">
        <v>6871541</v>
      </c>
      <c r="GH44" s="11" t="n">
        <v>-29928</v>
      </c>
      <c r="GI44" s="11" t="n">
        <v>49408</v>
      </c>
      <c r="GJ44" s="11" t="n">
        <v>99480</v>
      </c>
      <c r="GK44" s="11" t="n">
        <v>1943571</v>
      </c>
      <c r="GL44" s="11" t="n">
        <v>4657839</v>
      </c>
      <c r="GM44" s="11" t="n">
        <v>-1229219</v>
      </c>
      <c r="GN44" s="11" t="n">
        <v>-1556768</v>
      </c>
      <c r="GO44" s="11" t="n">
        <v>2217385</v>
      </c>
      <c r="GP44" s="11" t="n">
        <v>4207101</v>
      </c>
      <c r="GQ44" s="11" t="n">
        <v>26203925</v>
      </c>
      <c r="GR44" s="11" t="n">
        <v>36814201</v>
      </c>
      <c r="GS44" s="11" t="n">
        <v>18378655</v>
      </c>
      <c r="GT44" s="11" t="n">
        <v>-845203</v>
      </c>
      <c r="GU44" s="11" t="n">
        <v>-2318799</v>
      </c>
      <c r="GV44" s="11" t="n">
        <v>1018659</v>
      </c>
      <c r="GW44" s="11" t="n">
        <v>19043404</v>
      </c>
      <c r="GX44" s="11" t="n">
        <v>-122845</v>
      </c>
      <c r="GY44" s="11" t="n">
        <v>-62535459</v>
      </c>
      <c r="GZ44" s="11" t="n">
        <v>5130709</v>
      </c>
      <c r="HA44" s="11" t="n">
        <v>-46501142</v>
      </c>
      <c r="HB44" s="11" t="n">
        <v>28453189</v>
      </c>
      <c r="HC44" s="11" t="n">
        <v>24343211</v>
      </c>
      <c r="HD44" s="11" t="n">
        <v>-796116</v>
      </c>
      <c r="HE44" s="11" t="n">
        <v>52056</v>
      </c>
      <c r="HF44" s="11" t="n">
        <v>-585533</v>
      </c>
      <c r="HG44" s="11" t="n">
        <v>316331</v>
      </c>
      <c r="HH44" s="11" t="n">
        <v>246684</v>
      </c>
      <c r="HI44" s="11" t="n">
        <v>-6750732</v>
      </c>
      <c r="HJ44" s="11" t="n">
        <v>3286485</v>
      </c>
      <c r="HK44" s="11" t="n">
        <v>-23363871</v>
      </c>
      <c r="HL44" s="11" t="n">
        <v>-32183016</v>
      </c>
      <c r="HM44" s="11" t="n">
        <v>4750181</v>
      </c>
      <c r="HN44" s="11" t="n">
        <v>-1154651</v>
      </c>
      <c r="HO44" s="11" t="n">
        <v>12588</v>
      </c>
      <c r="HP44" s="11" t="n">
        <v>-15877963</v>
      </c>
      <c r="HQ44" s="11" t="n">
        <v>-22651843</v>
      </c>
      <c r="HR44" s="11" t="n">
        <v>5548177</v>
      </c>
      <c r="HS44" s="11" t="n">
        <v>60734237</v>
      </c>
      <c r="HT44" s="11" t="n">
        <v>-5915472</v>
      </c>
      <c r="HU44" s="11" t="n">
        <v>45168501</v>
      </c>
      <c r="HV44" s="11" t="n">
        <v>-28227002</v>
      </c>
      <c r="HW44" s="11" t="n">
        <v>-24011433</v>
      </c>
      <c r="HX44" s="11" t="n">
        <v>-474720667</v>
      </c>
      <c r="HY44" s="11" t="n">
        <v>3431669</v>
      </c>
      <c r="HZ44" s="11" t="n">
        <v>-302053825</v>
      </c>
      <c r="IA44" s="11" t="n">
        <v>-188038892</v>
      </c>
      <c r="IB44" s="11" t="n">
        <v>352719027</v>
      </c>
      <c r="IC44" s="11" t="n">
        <v>-191212582</v>
      </c>
      <c r="ID44" s="11" t="n">
        <v>-169367151</v>
      </c>
      <c r="IE44" s="11" t="n">
        <v>-223044751</v>
      </c>
      <c r="IF44" s="11" t="n">
        <v>-138489195</v>
      </c>
      <c r="IG44" s="11" t="n">
        <v>-32024293</v>
      </c>
      <c r="IH44" s="11" t="n">
        <v>-12599784</v>
      </c>
      <c r="II44" s="11" t="n">
        <v>3235511</v>
      </c>
      <c r="IJ44" s="11" t="n">
        <v>-26536253</v>
      </c>
      <c r="IK44" s="11" t="n">
        <v>-33649896</v>
      </c>
      <c r="IL44" s="11" t="n">
        <v>9055416</v>
      </c>
      <c r="IM44" s="11" t="n">
        <v>-3271296</v>
      </c>
      <c r="IN44" s="11" t="n">
        <v>-1703880</v>
      </c>
      <c r="IO44" s="11" t="n">
        <v>-18231463</v>
      </c>
      <c r="IP44" s="11" t="n">
        <v>-23746509</v>
      </c>
      <c r="IQ44" s="11" t="n">
        <v>5148039</v>
      </c>
      <c r="IR44" s="11" t="n">
        <v>-24577993</v>
      </c>
      <c r="IS44" s="11" t="n">
        <v>144753523</v>
      </c>
      <c r="IT44" s="11" t="n">
        <v>224009592</v>
      </c>
      <c r="IU44" s="11" t="n">
        <v>14592014</v>
      </c>
      <c r="IV44" s="11" t="n">
        <v>8116124</v>
      </c>
      <c r="IW44" s="11" t="n">
        <v>85194652</v>
      </c>
      <c r="IX44" s="11" t="n">
        <v>-97652585</v>
      </c>
      <c r="IY44" s="11" t="n">
        <v>-157671123</v>
      </c>
      <c r="IZ44" s="11" t="n">
        <v>38584713</v>
      </c>
      <c r="JA44" s="11" t="n">
        <v>61362974</v>
      </c>
      <c r="JB44" s="11" t="n">
        <v>-1229774</v>
      </c>
      <c r="JC44" s="11" t="n">
        <v>120904</v>
      </c>
      <c r="JD44" s="11" t="n">
        <v>-989182</v>
      </c>
      <c r="JE44" s="11" t="n">
        <v>674479</v>
      </c>
      <c r="JF44" s="11" t="n">
        <v>682421</v>
      </c>
      <c r="JG44" s="11" t="n">
        <v>10184986</v>
      </c>
      <c r="JH44" s="11" t="n">
        <v>-38040254</v>
      </c>
      <c r="JI44" s="11" t="n">
        <v>58511635</v>
      </c>
      <c r="JJ44" s="11" t="n">
        <v>103698665</v>
      </c>
      <c r="JK44" s="11" t="n">
        <v>-4452514</v>
      </c>
      <c r="JL44" s="11" t="n">
        <v>-166479</v>
      </c>
      <c r="JM44" s="11" t="n">
        <v>-4543221</v>
      </c>
      <c r="JN44" s="11" t="n">
        <v>26200996</v>
      </c>
      <c r="JO44" s="11" t="n">
        <v>62302004</v>
      </c>
      <c r="JP44" s="11" t="n">
        <v>-24405300</v>
      </c>
      <c r="JQ44" s="11" t="n">
        <v>262416</v>
      </c>
      <c r="JR44" s="11" t="n">
        <v>-548906</v>
      </c>
      <c r="JS44" s="11" t="n">
        <v>1204346</v>
      </c>
      <c r="JT44" s="11" t="n">
        <v>1953036</v>
      </c>
      <c r="JU44" s="11" t="n">
        <v>-157112</v>
      </c>
      <c r="JV44" s="11" t="n">
        <v>25520</v>
      </c>
      <c r="JW44" s="11" t="n">
        <v>-46392</v>
      </c>
      <c r="JX44" s="11" t="n">
        <v>667677</v>
      </c>
      <c r="JY44" s="11" t="n">
        <v>1266349</v>
      </c>
      <c r="JZ44" s="11" t="n">
        <v>-402847</v>
      </c>
      <c r="KA44" s="11" t="n">
        <v>-3571202</v>
      </c>
      <c r="KB44" s="11" t="n">
        <v>2511146</v>
      </c>
      <c r="KC44" s="11" t="n">
        <v>5952756</v>
      </c>
      <c r="KD44" s="11" t="n">
        <v>11137201</v>
      </c>
      <c r="KE44" s="11" t="n">
        <v>14127121</v>
      </c>
      <c r="KF44" s="11" t="n">
        <v>8630645</v>
      </c>
      <c r="KG44" s="11" t="n">
        <v>-1156157</v>
      </c>
      <c r="KH44" s="11" t="n">
        <v>-4195341</v>
      </c>
      <c r="KI44" s="11" t="n">
        <v>1022847</v>
      </c>
      <c r="KJ44" s="11" t="n">
        <v>8510072</v>
      </c>
      <c r="KK44" s="11" t="n">
        <v>-556136</v>
      </c>
      <c r="KL44" s="11" t="n">
        <v>36877088</v>
      </c>
      <c r="KM44" s="11" t="n">
        <v>-50886355</v>
      </c>
      <c r="KN44" s="11" t="n">
        <v>-97013983</v>
      </c>
      <c r="KO44" s="11" t="n">
        <v>-3178200</v>
      </c>
      <c r="KP44" s="11" t="n">
        <v>4697824</v>
      </c>
      <c r="KQ44" s="11" t="n">
        <v>9229224</v>
      </c>
      <c r="KR44" s="11" t="n">
        <v>-20705467</v>
      </c>
      <c r="KS44" s="11" t="n">
        <v>-57570567</v>
      </c>
      <c r="KT44" s="11" t="n">
        <v>24970423</v>
      </c>
      <c r="KU44" s="11" t="n">
        <v>-288213176</v>
      </c>
      <c r="KV44" s="11" t="n">
        <v>394980205</v>
      </c>
      <c r="KW44" s="11" t="n">
        <v>756574377</v>
      </c>
      <c r="KX44" s="11" t="n">
        <v>180528165</v>
      </c>
      <c r="KY44" s="11" t="n">
        <v>108693337</v>
      </c>
      <c r="KZ44" s="11" t="n">
        <v>324937495</v>
      </c>
      <c r="LA44" s="11" t="n">
        <v>-177382309</v>
      </c>
      <c r="LB44" s="11" t="n">
        <v>-459310809</v>
      </c>
      <c r="LC44" s="11" t="n">
        <v>163822377</v>
      </c>
      <c r="LD44" s="11" t="n">
        <v>220802752</v>
      </c>
      <c r="LE44" s="11" t="n">
        <v>-7620808</v>
      </c>
      <c r="LF44" s="11" t="n">
        <v>10313776</v>
      </c>
      <c r="LG44" s="11" t="n">
        <v>19818168</v>
      </c>
      <c r="LH44" s="11" t="n">
        <v>13401607</v>
      </c>
      <c r="LI44" s="11" t="n">
        <v>15263555</v>
      </c>
      <c r="LJ44" s="11" t="n">
        <v>14194087</v>
      </c>
      <c r="LK44" s="11" t="n">
        <v>-5433872</v>
      </c>
      <c r="LL44" s="11" t="n">
        <v>-13212672</v>
      </c>
      <c r="LM44" s="11" t="n">
        <v>3750672</v>
      </c>
      <c r="LN44" s="11" t="n">
        <v>12351818</v>
      </c>
      <c r="LO44" s="11" t="n">
        <v>-67433449</v>
      </c>
      <c r="LP44" s="11" t="n">
        <v>-96830493</v>
      </c>
      <c r="LQ44" s="11" t="n">
        <v>-44315433</v>
      </c>
      <c r="LR44" s="11" t="n">
        <v>35220682</v>
      </c>
      <c r="LS44" s="11" t="n">
        <v>47870454</v>
      </c>
    </row>
    <row r="45" customFormat="false" ht="15" hidden="false" customHeight="true" outlineLevel="0" collapsed="false">
      <c r="A45" s="7" t="s">
        <v>111</v>
      </c>
      <c r="B45" s="11" t="n">
        <v>-48834</v>
      </c>
      <c r="C45" s="11" t="n">
        <v>1873652</v>
      </c>
      <c r="D45" s="11" t="n">
        <v>86118</v>
      </c>
      <c r="E45" s="11" t="n">
        <v>-1268844</v>
      </c>
      <c r="F45" s="11" t="n">
        <v>107054</v>
      </c>
      <c r="G45" s="11" t="n">
        <v>-12314406</v>
      </c>
      <c r="H45" s="11" t="n">
        <v>4018138</v>
      </c>
      <c r="I45" s="11" t="n">
        <v>-4653196</v>
      </c>
      <c r="J45" s="11" t="n">
        <v>-842234</v>
      </c>
      <c r="K45" s="11" t="n">
        <v>-128634</v>
      </c>
      <c r="L45" s="11" t="n">
        <v>-2715582</v>
      </c>
      <c r="M45" s="11" t="n">
        <v>-124568</v>
      </c>
      <c r="N45" s="11" t="n">
        <v>9261498</v>
      </c>
      <c r="O45" s="11" t="n">
        <v>-2232754</v>
      </c>
      <c r="P45" s="11" t="n">
        <v>5858296</v>
      </c>
      <c r="Q45" s="11" t="n">
        <v>3450134</v>
      </c>
      <c r="R45" s="11" t="n">
        <v>126074440</v>
      </c>
      <c r="S45" s="11" t="n">
        <v>2933050</v>
      </c>
      <c r="T45" s="11" t="n">
        <v>-142958038</v>
      </c>
      <c r="U45" s="11" t="n">
        <v>16365474</v>
      </c>
      <c r="V45" s="11" t="n">
        <v>-144516692</v>
      </c>
      <c r="W45" s="11" t="n">
        <v>8131158</v>
      </c>
      <c r="X45" s="11" t="n">
        <v>-62318</v>
      </c>
      <c r="Y45" s="11" t="n">
        <v>16104960</v>
      </c>
      <c r="Z45" s="11" t="n">
        <v>-6646780</v>
      </c>
      <c r="AA45" s="11" t="n">
        <v>1926004</v>
      </c>
      <c r="AB45" s="11" t="n">
        <v>-9189730</v>
      </c>
      <c r="AC45" s="11" t="n">
        <v>925424406</v>
      </c>
      <c r="AD45" s="11" t="n">
        <v>-281455538</v>
      </c>
      <c r="AE45" s="11" t="n">
        <v>410971844</v>
      </c>
      <c r="AF45" s="11" t="n">
        <v>11109074</v>
      </c>
      <c r="AG45" s="11" t="n">
        <v>-5355002</v>
      </c>
      <c r="AH45" s="11" t="n">
        <v>-972984</v>
      </c>
      <c r="AI45" s="11" t="n">
        <v>199019900</v>
      </c>
      <c r="AJ45" s="11" t="n">
        <v>594787852</v>
      </c>
      <c r="AK45" s="11" t="n">
        <v>-269279596</v>
      </c>
      <c r="AL45" s="11" t="n">
        <v>-1325009</v>
      </c>
      <c r="AM45" s="11" t="n">
        <v>-129453</v>
      </c>
      <c r="AN45" s="11" t="n">
        <v>-1327305</v>
      </c>
      <c r="AO45" s="11" t="n">
        <v>-248000</v>
      </c>
      <c r="AP45" s="11" t="n">
        <v>10068717</v>
      </c>
      <c r="AQ45" s="11" t="n">
        <v>-2907316</v>
      </c>
      <c r="AR45" s="11" t="n">
        <v>5250817</v>
      </c>
      <c r="AS45" s="11" t="n">
        <v>2630191</v>
      </c>
      <c r="AT45" s="11" t="n">
        <v>85353184</v>
      </c>
      <c r="AU45" s="11" t="n">
        <v>6610521</v>
      </c>
      <c r="AV45" s="11" t="n">
        <v>-52188495</v>
      </c>
      <c r="AW45" s="11" t="n">
        <v>2523435</v>
      </c>
      <c r="AX45" s="11" t="n">
        <v>-75207380</v>
      </c>
      <c r="AY45" s="11" t="n">
        <v>5704233</v>
      </c>
      <c r="AZ45" s="11" t="n">
        <v>153557</v>
      </c>
      <c r="BA45" s="11" t="n">
        <v>14887968</v>
      </c>
      <c r="BB45" s="11" t="n">
        <v>-5524589</v>
      </c>
      <c r="BC45" s="11" t="n">
        <v>3075323</v>
      </c>
      <c r="BD45" s="11" t="n">
        <v>-9353455</v>
      </c>
      <c r="BE45" s="11" t="n">
        <v>596318217</v>
      </c>
      <c r="BF45" s="11" t="n">
        <v>-184752941</v>
      </c>
      <c r="BG45" s="11" t="n">
        <v>262904492</v>
      </c>
      <c r="BH45" s="11" t="n">
        <v>40465173</v>
      </c>
      <c r="BI45" s="11" t="n">
        <v>-14032404</v>
      </c>
      <c r="BJ45" s="11" t="n">
        <v>12120073</v>
      </c>
      <c r="BK45" s="11" t="n">
        <v>95335725</v>
      </c>
      <c r="BL45" s="11" t="n">
        <v>364684005</v>
      </c>
      <c r="BM45" s="11" t="n">
        <v>-155018965</v>
      </c>
      <c r="BN45" s="11" t="n">
        <v>1257556</v>
      </c>
      <c r="BO45" s="11" t="n">
        <v>50789802</v>
      </c>
      <c r="BP45" s="11" t="n">
        <v>-897332</v>
      </c>
      <c r="BQ45" s="11" t="n">
        <v>-77637556</v>
      </c>
      <c r="BR45" s="11" t="n">
        <v>10439013</v>
      </c>
      <c r="BS45" s="11" t="n">
        <v>-68392479</v>
      </c>
      <c r="BT45" s="11" t="n">
        <v>3702414</v>
      </c>
      <c r="BU45" s="11" t="n">
        <v>-323044</v>
      </c>
      <c r="BV45" s="11" t="n">
        <v>1970976</v>
      </c>
      <c r="BW45" s="11" t="n">
        <v>-1739423</v>
      </c>
      <c r="BX45" s="11" t="n">
        <v>-1698415</v>
      </c>
      <c r="BY45" s="11" t="n">
        <v>-10405140</v>
      </c>
      <c r="BZ45" s="11" t="n">
        <v>308178606</v>
      </c>
      <c r="CA45" s="11" t="n">
        <v>-100985163</v>
      </c>
      <c r="CB45" s="11" t="n">
        <v>132761571</v>
      </c>
      <c r="CC45" s="11" t="n">
        <v>-21350116</v>
      </c>
      <c r="CD45" s="11" t="n">
        <v>3922768</v>
      </c>
      <c r="CE45" s="11" t="n">
        <v>-16356916</v>
      </c>
      <c r="CF45" s="11" t="n">
        <v>91025375</v>
      </c>
      <c r="CG45" s="11" t="n">
        <v>212046799</v>
      </c>
      <c r="CH45" s="11" t="n">
        <v>-108697527</v>
      </c>
      <c r="CI45" s="11" t="n">
        <v>-19811542</v>
      </c>
      <c r="CJ45" s="11" t="n">
        <v>8055232</v>
      </c>
      <c r="CK45" s="11" t="n">
        <v>104581664</v>
      </c>
      <c r="CL45" s="11" t="n">
        <v>-18326847</v>
      </c>
      <c r="CM45" s="11" t="n">
        <v>64382801</v>
      </c>
      <c r="CN45" s="11" t="n">
        <v>311195770</v>
      </c>
      <c r="CO45" s="11" t="n">
        <v>3000711146</v>
      </c>
      <c r="CP45" s="11" t="n">
        <v>-575723058</v>
      </c>
      <c r="CQ45" s="11" t="n">
        <v>1522818264</v>
      </c>
      <c r="CR45" s="11" t="n">
        <v>422680224</v>
      </c>
      <c r="CS45" s="11" t="n">
        <v>-53789577</v>
      </c>
      <c r="CT45" s="11" t="n">
        <v>392145191</v>
      </c>
      <c r="CU45" s="11" t="n">
        <v>263306175</v>
      </c>
      <c r="CV45" s="11" t="n">
        <v>1712906575</v>
      </c>
      <c r="CW45" s="11" t="n">
        <v>-462266175</v>
      </c>
      <c r="CX45" s="11" t="n">
        <v>18626450</v>
      </c>
      <c r="CY45" s="11" t="n">
        <v>338953248</v>
      </c>
      <c r="CZ45" s="11" t="n">
        <v>-81359579</v>
      </c>
      <c r="DA45" s="11" t="n">
        <v>162794789</v>
      </c>
      <c r="DB45" s="11" t="n">
        <v>-39490208</v>
      </c>
      <c r="DC45" s="11" t="n">
        <v>15849659</v>
      </c>
      <c r="DD45" s="11" t="n">
        <v>-5659669</v>
      </c>
      <c r="DE45" s="11" t="n">
        <v>115931200</v>
      </c>
      <c r="DF45" s="11" t="n">
        <v>242152256</v>
      </c>
      <c r="DG45" s="11" t="n">
        <v>-113804488</v>
      </c>
      <c r="DH45" s="11" t="n">
        <v>-2502996530</v>
      </c>
      <c r="DI45" s="11" t="n">
        <v>736695815</v>
      </c>
      <c r="DJ45" s="11" t="n">
        <v>-1125422315</v>
      </c>
      <c r="DK45" s="11" t="n">
        <v>2472972325</v>
      </c>
      <c r="DL45" s="11" t="n">
        <v>1396360709</v>
      </c>
      <c r="DM45" s="11" t="n">
        <v>-1522907157</v>
      </c>
      <c r="DN45" s="11" t="n">
        <v>567975675</v>
      </c>
      <c r="DO45" s="11" t="n">
        <v>1625485771</v>
      </c>
      <c r="DP45" s="11" t="n">
        <v>-733800883</v>
      </c>
      <c r="DQ45" s="11" t="n">
        <v>-1289127800</v>
      </c>
      <c r="DR45" s="11" t="n">
        <v>-35698</v>
      </c>
      <c r="DS45" s="11" t="n">
        <v>-4206</v>
      </c>
      <c r="DT45" s="11" t="n">
        <v>-98250</v>
      </c>
      <c r="DU45" s="11" t="n">
        <v>-4294</v>
      </c>
      <c r="DV45" s="11" t="n">
        <v>285108</v>
      </c>
      <c r="DW45" s="11" t="n">
        <v>-71732</v>
      </c>
      <c r="DX45" s="11" t="n">
        <v>187688</v>
      </c>
      <c r="DY45" s="11" t="n">
        <v>98422</v>
      </c>
      <c r="DZ45" s="11" t="n">
        <v>4697168</v>
      </c>
      <c r="EA45" s="11" t="n">
        <v>86494</v>
      </c>
      <c r="EB45" s="11" t="n">
        <v>-1937042</v>
      </c>
      <c r="EC45" s="11" t="n">
        <v>-185090</v>
      </c>
      <c r="ED45" s="11" t="n">
        <v>-3799652</v>
      </c>
      <c r="EE45" s="11" t="n">
        <v>282546</v>
      </c>
      <c r="EF45" s="11" t="n">
        <v>-1648</v>
      </c>
      <c r="EG45" s="11" t="n">
        <v>557838</v>
      </c>
      <c r="EH45" s="11" t="n">
        <v>-219578</v>
      </c>
      <c r="EI45" s="11" t="n">
        <v>69788</v>
      </c>
      <c r="EJ45" s="11" t="n">
        <v>-326954</v>
      </c>
      <c r="EK45" s="11" t="n">
        <v>32183478</v>
      </c>
      <c r="EL45" s="11" t="n">
        <v>-9947962</v>
      </c>
      <c r="EM45" s="11" t="n">
        <v>14238508</v>
      </c>
      <c r="EN45" s="11" t="n">
        <v>457798</v>
      </c>
      <c r="EO45" s="11" t="n">
        <v>-196066</v>
      </c>
      <c r="EP45" s="11" t="n">
        <v>-2292</v>
      </c>
      <c r="EQ45" s="11" t="n">
        <v>5370568</v>
      </c>
      <c r="ER45" s="11" t="n">
        <v>20162240</v>
      </c>
      <c r="ES45" s="11" t="n">
        <v>-8608208</v>
      </c>
      <c r="ET45" s="11" t="n">
        <v>21492</v>
      </c>
      <c r="EU45" s="11" t="n">
        <v>290604</v>
      </c>
      <c r="EV45" s="11" t="n">
        <v>17002</v>
      </c>
      <c r="EW45" s="11" t="n">
        <v>-1852998</v>
      </c>
      <c r="EX45" s="11" t="n">
        <v>395006</v>
      </c>
      <c r="EY45" s="11" t="n">
        <v>-1045424</v>
      </c>
      <c r="EZ45" s="11" t="n">
        <v>-24912</v>
      </c>
      <c r="FA45" s="11" t="n">
        <v>-582</v>
      </c>
      <c r="FB45" s="11" t="n">
        <v>-46674</v>
      </c>
      <c r="FC45" s="11" t="n">
        <v>3354</v>
      </c>
      <c r="FD45" s="11" t="n">
        <v>-10176</v>
      </c>
      <c r="FE45" s="11" t="n">
        <v>11838</v>
      </c>
      <c r="FF45" s="11" t="n">
        <v>-2778966</v>
      </c>
      <c r="FG45" s="11" t="n">
        <v>503214</v>
      </c>
      <c r="FH45" s="11" t="n">
        <v>-1349376</v>
      </c>
      <c r="FI45" s="11" t="n">
        <v>-87102</v>
      </c>
      <c r="FJ45" s="11" t="n">
        <v>13350</v>
      </c>
      <c r="FK45" s="11" t="n">
        <v>-36360</v>
      </c>
      <c r="FL45" s="11" t="n">
        <v>568656</v>
      </c>
      <c r="FM45" s="11" t="n">
        <v>-1392984</v>
      </c>
      <c r="FN45" s="11" t="n">
        <v>-23880</v>
      </c>
      <c r="FO45" s="11" t="n">
        <v>2026716</v>
      </c>
      <c r="FP45" s="11" t="n">
        <v>5198</v>
      </c>
      <c r="FQ45" s="11" t="n">
        <v>3942654</v>
      </c>
      <c r="FR45" s="11" t="n">
        <v>-1200494</v>
      </c>
      <c r="FS45" s="11" t="n">
        <v>594728</v>
      </c>
      <c r="FT45" s="11" t="n">
        <v>-1533020</v>
      </c>
      <c r="FU45" s="11" t="n">
        <v>228050052</v>
      </c>
      <c r="FV45" s="11" t="n">
        <v>-53481916</v>
      </c>
      <c r="FW45" s="11" t="n">
        <v>106626088</v>
      </c>
      <c r="FX45" s="11" t="n">
        <v>3567136</v>
      </c>
      <c r="FY45" s="11" t="n">
        <v>-1045228</v>
      </c>
      <c r="FZ45" s="11" t="n">
        <v>723324</v>
      </c>
      <c r="GA45" s="11" t="n">
        <v>31041364</v>
      </c>
      <c r="GB45" s="11" t="n">
        <v>140504156</v>
      </c>
      <c r="GC45" s="11" t="n">
        <v>-47464364</v>
      </c>
      <c r="GD45" s="11" t="n">
        <v>48858</v>
      </c>
      <c r="GE45" s="11" t="n">
        <v>-168642</v>
      </c>
      <c r="GF45" s="11" t="n">
        <v>1075242</v>
      </c>
      <c r="GG45" s="11" t="n">
        <v>270240</v>
      </c>
      <c r="GH45" s="11" t="n">
        <v>-95478</v>
      </c>
      <c r="GI45" s="11" t="n">
        <v>31698</v>
      </c>
      <c r="GJ45" s="11" t="n">
        <v>-13644</v>
      </c>
      <c r="GK45" s="11" t="n">
        <v>1991820</v>
      </c>
      <c r="GL45" s="11" t="n">
        <v>575196</v>
      </c>
      <c r="GM45" s="11" t="n">
        <v>-475596</v>
      </c>
      <c r="GN45" s="11" t="n">
        <v>-5370036</v>
      </c>
      <c r="GO45" s="11" t="n">
        <v>475968</v>
      </c>
      <c r="GP45" s="11" t="n">
        <v>-2774844</v>
      </c>
      <c r="GQ45" s="11" t="n">
        <v>116538132</v>
      </c>
      <c r="GR45" s="11" t="n">
        <v>39280236</v>
      </c>
      <c r="GS45" s="11" t="n">
        <v>-63699996</v>
      </c>
      <c r="GT45" s="11" t="n">
        <v>2553828</v>
      </c>
      <c r="GU45" s="11" t="n">
        <v>3922956</v>
      </c>
      <c r="GV45" s="11" t="n">
        <v>-1667340</v>
      </c>
      <c r="GW45" s="11" t="n">
        <v>-66453744</v>
      </c>
      <c r="GX45" s="11" t="n">
        <v>-19490</v>
      </c>
      <c r="GY45" s="11" t="n">
        <v>-1695540</v>
      </c>
      <c r="GZ45" s="11" t="n">
        <v>64781</v>
      </c>
      <c r="HA45" s="11" t="n">
        <v>375509</v>
      </c>
      <c r="HB45" s="11" t="n">
        <v>178970</v>
      </c>
      <c r="HC45" s="11" t="n">
        <v>1254139</v>
      </c>
      <c r="HD45" s="11" t="n">
        <v>-146130</v>
      </c>
      <c r="HE45" s="11" t="n">
        <v>9977</v>
      </c>
      <c r="HF45" s="11" t="n">
        <v>-111417</v>
      </c>
      <c r="HG45" s="11" t="n">
        <v>60250</v>
      </c>
      <c r="HH45" s="11" t="n">
        <v>45293</v>
      </c>
      <c r="HI45" s="11" t="n">
        <v>382245</v>
      </c>
      <c r="HJ45" s="11" t="n">
        <v>-12508215</v>
      </c>
      <c r="HK45" s="11" t="n">
        <v>3899610</v>
      </c>
      <c r="HL45" s="11" t="n">
        <v>-5462865</v>
      </c>
      <c r="HM45" s="11" t="n">
        <v>562553</v>
      </c>
      <c r="HN45" s="11" t="n">
        <v>-108644</v>
      </c>
      <c r="HO45" s="11" t="n">
        <v>491453</v>
      </c>
      <c r="HP45" s="11" t="n">
        <v>-2183926</v>
      </c>
      <c r="HQ45" s="11" t="n">
        <v>-8042090</v>
      </c>
      <c r="HR45" s="11" t="n">
        <v>3461046</v>
      </c>
      <c r="HS45" s="11" t="n">
        <v>2110220</v>
      </c>
      <c r="HT45" s="11" t="n">
        <v>-225829</v>
      </c>
      <c r="HU45" s="11" t="n">
        <v>22259</v>
      </c>
      <c r="HV45" s="11" t="n">
        <v>-392380</v>
      </c>
      <c r="HW45" s="11" t="n">
        <v>-1383261</v>
      </c>
      <c r="HX45" s="11" t="n">
        <v>-12632116</v>
      </c>
      <c r="HY45" s="11" t="n">
        <v>42593516</v>
      </c>
      <c r="HZ45" s="11" t="n">
        <v>-14757820</v>
      </c>
      <c r="IA45" s="11" t="n">
        <v>15450736</v>
      </c>
      <c r="IB45" s="11" t="n">
        <v>-4424976</v>
      </c>
      <c r="IC45" s="11" t="n">
        <v>-769515</v>
      </c>
      <c r="ID45" s="11" t="n">
        <v>-9933911</v>
      </c>
      <c r="IE45" s="11" t="n">
        <v>7764285</v>
      </c>
      <c r="IF45" s="11" t="n">
        <v>28083265</v>
      </c>
      <c r="IG45" s="11" t="n">
        <v>-12546785</v>
      </c>
      <c r="IH45" s="11" t="n">
        <v>-612967</v>
      </c>
      <c r="II45" s="11" t="n">
        <v>-11896443</v>
      </c>
      <c r="IJ45" s="11" t="n">
        <v>3581440</v>
      </c>
      <c r="IK45" s="11" t="n">
        <v>-5467303</v>
      </c>
      <c r="IL45" s="11" t="n">
        <v>1279585</v>
      </c>
      <c r="IM45" s="11" t="n">
        <v>-497251</v>
      </c>
      <c r="IN45" s="11" t="n">
        <v>183290</v>
      </c>
      <c r="IO45" s="11" t="n">
        <v>-2174279</v>
      </c>
      <c r="IP45" s="11" t="n">
        <v>-7855855</v>
      </c>
      <c r="IQ45" s="11" t="n">
        <v>3364259</v>
      </c>
      <c r="IR45" s="11" t="n">
        <v>83586388</v>
      </c>
      <c r="IS45" s="11" t="n">
        <v>-25725859</v>
      </c>
      <c r="IT45" s="11" t="n">
        <v>37216213</v>
      </c>
      <c r="IU45" s="11" t="n">
        <v>-10908551</v>
      </c>
      <c r="IV45" s="11" t="n">
        <v>-23250115</v>
      </c>
      <c r="IW45" s="11" t="n">
        <v>12012771</v>
      </c>
      <c r="IX45" s="11" t="n">
        <v>-14103519</v>
      </c>
      <c r="IY45" s="11" t="n">
        <v>-52695755</v>
      </c>
      <c r="IZ45" s="11" t="n">
        <v>22497959</v>
      </c>
      <c r="JA45" s="11" t="n">
        <v>2954140</v>
      </c>
      <c r="JB45" s="11" t="n">
        <v>862140</v>
      </c>
      <c r="JC45" s="11" t="n">
        <v>-48284</v>
      </c>
      <c r="JD45" s="11" t="n">
        <v>785604</v>
      </c>
      <c r="JE45" s="11" t="n">
        <v>-323410</v>
      </c>
      <c r="JF45" s="11" t="n">
        <v>-184286</v>
      </c>
      <c r="JG45" s="11" t="n">
        <v>-1334898</v>
      </c>
      <c r="JH45" s="11" t="n">
        <v>84954558</v>
      </c>
      <c r="JI45" s="11" t="n">
        <v>-20218440</v>
      </c>
      <c r="JJ45" s="11" t="n">
        <v>39444798</v>
      </c>
      <c r="JK45" s="11" t="n">
        <v>-3541472</v>
      </c>
      <c r="JL45" s="11" t="n">
        <v>631577</v>
      </c>
      <c r="JM45" s="11" t="n">
        <v>-2494439</v>
      </c>
      <c r="JN45" s="11" t="n">
        <v>13444993</v>
      </c>
      <c r="JO45" s="11" t="n">
        <v>54102497</v>
      </c>
      <c r="JP45" s="11" t="n">
        <v>-19118493</v>
      </c>
      <c r="JQ45" s="11" t="n">
        <v>79314</v>
      </c>
      <c r="JR45" s="11" t="n">
        <v>961686</v>
      </c>
      <c r="JS45" s="11" t="n">
        <v>240330</v>
      </c>
      <c r="JT45" s="11" t="n">
        <v>621816</v>
      </c>
      <c r="JU45" s="11" t="n">
        <v>-126132</v>
      </c>
      <c r="JV45" s="11" t="n">
        <v>16293</v>
      </c>
      <c r="JW45" s="11" t="n">
        <v>-17871</v>
      </c>
      <c r="JX45" s="11" t="n">
        <v>579747</v>
      </c>
      <c r="JY45" s="11" t="n">
        <v>772179</v>
      </c>
      <c r="JZ45" s="11" t="n">
        <v>-181887</v>
      </c>
      <c r="KA45" s="11" t="n">
        <v>-9304566</v>
      </c>
      <c r="KB45" s="11" t="n">
        <v>1487913</v>
      </c>
      <c r="KC45" s="11" t="n">
        <v>-4591581</v>
      </c>
      <c r="KD45" s="11" t="n">
        <v>46234857</v>
      </c>
      <c r="KE45" s="11" t="n">
        <v>17273985</v>
      </c>
      <c r="KF45" s="11" t="n">
        <v>-25578117</v>
      </c>
      <c r="KG45" s="11" t="n">
        <v>-454827</v>
      </c>
      <c r="KH45" s="11" t="n">
        <v>5205429</v>
      </c>
      <c r="KI45" s="11" t="n">
        <v>-607965</v>
      </c>
      <c r="KJ45" s="11" t="n">
        <v>-26710428</v>
      </c>
      <c r="KK45" s="11" t="n">
        <v>-4761742</v>
      </c>
      <c r="KL45" s="11" t="n">
        <v>-84074238</v>
      </c>
      <c r="KM45" s="11" t="n">
        <v>17659300</v>
      </c>
      <c r="KN45" s="11" t="n">
        <v>-41235538</v>
      </c>
      <c r="KO45" s="11" t="n">
        <v>9047584</v>
      </c>
      <c r="KP45" s="11" t="n">
        <v>-2775253</v>
      </c>
      <c r="KQ45" s="11" t="n">
        <v>1291547</v>
      </c>
      <c r="KR45" s="11" t="n">
        <v>-15446717</v>
      </c>
      <c r="KS45" s="11" t="n">
        <v>-55546093</v>
      </c>
      <c r="KT45" s="11" t="n">
        <v>19243217</v>
      </c>
      <c r="KU45" s="11" t="n">
        <v>599394784</v>
      </c>
      <c r="KV45" s="11" t="n">
        <v>-139012642</v>
      </c>
      <c r="KW45" s="11" t="n">
        <v>281707366</v>
      </c>
      <c r="KX45" s="11" t="n">
        <v>-231530738</v>
      </c>
      <c r="KY45" s="11" t="n">
        <v>-216734602</v>
      </c>
      <c r="KZ45" s="11" t="n">
        <v>159081738</v>
      </c>
      <c r="LA45" s="11" t="n">
        <v>-85209072</v>
      </c>
      <c r="LB45" s="11" t="n">
        <v>-372683888</v>
      </c>
      <c r="LC45" s="11" t="n">
        <v>126480572</v>
      </c>
      <c r="LD45" s="11" t="n">
        <v>113147500</v>
      </c>
      <c r="LE45" s="11" t="n">
        <v>-2422998</v>
      </c>
      <c r="LF45" s="11" t="n">
        <v>2951979</v>
      </c>
      <c r="LG45" s="11" t="n">
        <v>-359139</v>
      </c>
      <c r="LH45" s="11" t="n">
        <v>43134831</v>
      </c>
      <c r="LI45" s="11" t="n">
        <v>14641551</v>
      </c>
      <c r="LJ45" s="11" t="n">
        <v>-24231531</v>
      </c>
      <c r="LK45" s="11" t="n">
        <v>-4196751</v>
      </c>
      <c r="LL45" s="11" t="n">
        <v>25185</v>
      </c>
      <c r="LM45" s="11" t="n">
        <v>591363</v>
      </c>
      <c r="LN45" s="11" t="n">
        <v>-25808232</v>
      </c>
      <c r="LO45" s="11" t="n">
        <v>-300850710</v>
      </c>
      <c r="LP45" s="11" t="n">
        <v>-98138526</v>
      </c>
      <c r="LQ45" s="11" t="n">
        <v>164156178</v>
      </c>
      <c r="LR45" s="11" t="n">
        <v>-70875948</v>
      </c>
      <c r="LS45" s="11" t="n">
        <v>-173107812</v>
      </c>
    </row>
    <row r="46" customFormat="false" ht="15" hidden="false" customHeight="true" outlineLevel="0" collapsed="false">
      <c r="A46" s="7" t="s">
        <v>112</v>
      </c>
      <c r="B46" s="11" t="n">
        <v>875984</v>
      </c>
      <c r="C46" s="11" t="n">
        <v>-11547608</v>
      </c>
      <c r="D46" s="11" t="n">
        <v>2227112</v>
      </c>
      <c r="E46" s="11" t="n">
        <v>103767128</v>
      </c>
      <c r="F46" s="11" t="n">
        <v>1690000</v>
      </c>
      <c r="G46" s="11" t="n">
        <v>-50072632</v>
      </c>
      <c r="H46" s="11" t="n">
        <v>-6831104</v>
      </c>
      <c r="I46" s="11" t="n">
        <v>-85895704</v>
      </c>
      <c r="J46" s="11" t="n">
        <v>717130</v>
      </c>
      <c r="K46" s="11" t="n">
        <v>-152946</v>
      </c>
      <c r="L46" s="11" t="n">
        <v>-4127962</v>
      </c>
      <c r="M46" s="11" t="n">
        <v>-120496</v>
      </c>
      <c r="N46" s="11" t="n">
        <v>10618110</v>
      </c>
      <c r="O46" s="11" t="n">
        <v>-2508540</v>
      </c>
      <c r="P46" s="11" t="n">
        <v>5389354</v>
      </c>
      <c r="Q46" s="11" t="n">
        <v>192962</v>
      </c>
      <c r="R46" s="11" t="n">
        <v>-30533016</v>
      </c>
      <c r="S46" s="11" t="n">
        <v>204902</v>
      </c>
      <c r="T46" s="11" t="n">
        <v>-98980330</v>
      </c>
      <c r="U46" s="11" t="n">
        <v>38661010</v>
      </c>
      <c r="V46" s="11" t="n">
        <v>-725768</v>
      </c>
      <c r="W46" s="11" t="n">
        <v>7622666</v>
      </c>
      <c r="X46" s="11" t="n">
        <v>-11278</v>
      </c>
      <c r="Y46" s="11" t="n">
        <v>18252972</v>
      </c>
      <c r="Z46" s="11" t="n">
        <v>-7570446</v>
      </c>
      <c r="AA46" s="11" t="n">
        <v>-1295354</v>
      </c>
      <c r="AB46" s="11" t="n">
        <v>-6309782</v>
      </c>
      <c r="AC46" s="11" t="n">
        <v>1021836994</v>
      </c>
      <c r="AD46" s="11" t="n">
        <v>-329346802</v>
      </c>
      <c r="AE46" s="11" t="n">
        <v>233638496</v>
      </c>
      <c r="AF46" s="11" t="n">
        <v>13597342</v>
      </c>
      <c r="AG46" s="11" t="n">
        <v>-5779276</v>
      </c>
      <c r="AH46" s="11" t="n">
        <v>-1417926</v>
      </c>
      <c r="AI46" s="11" t="n">
        <v>226194330</v>
      </c>
      <c r="AJ46" s="11" t="n">
        <v>733108018</v>
      </c>
      <c r="AK46" s="11" t="n">
        <v>-288005314</v>
      </c>
      <c r="AL46" s="11" t="n">
        <v>5896284</v>
      </c>
      <c r="AM46" s="11" t="n">
        <v>-733372</v>
      </c>
      <c r="AN46" s="11" t="n">
        <v>-41811820</v>
      </c>
      <c r="AO46" s="11" t="n">
        <v>1524000</v>
      </c>
      <c r="AP46" s="11" t="n">
        <v>38890708</v>
      </c>
      <c r="AQ46" s="11" t="n">
        <v>-702584</v>
      </c>
      <c r="AR46" s="11" t="n">
        <v>43008108</v>
      </c>
      <c r="AS46" s="11" t="n">
        <v>-5323148</v>
      </c>
      <c r="AT46" s="11" t="n">
        <v>-147278888</v>
      </c>
      <c r="AU46" s="11" t="n">
        <v>-31465500</v>
      </c>
      <c r="AV46" s="11" t="n">
        <v>-175633564</v>
      </c>
      <c r="AW46" s="11" t="n">
        <v>55242212</v>
      </c>
      <c r="AX46" s="11" t="n">
        <v>11215608</v>
      </c>
      <c r="AY46" s="11" t="n">
        <v>-19429236</v>
      </c>
      <c r="AZ46" s="11" t="n">
        <v>5289500</v>
      </c>
      <c r="BA46" s="11" t="n">
        <v>56955488</v>
      </c>
      <c r="BB46" s="11" t="n">
        <v>-7505244</v>
      </c>
      <c r="BC46" s="11" t="n">
        <v>37432612</v>
      </c>
      <c r="BD46" s="11" t="n">
        <v>261195500</v>
      </c>
      <c r="BE46" s="11" t="n">
        <v>2216877476</v>
      </c>
      <c r="BF46" s="11" t="n">
        <v>-409283748</v>
      </c>
      <c r="BG46" s="11" t="n">
        <v>994735216</v>
      </c>
      <c r="BH46" s="11" t="n">
        <v>162144500</v>
      </c>
      <c r="BI46" s="11" t="n">
        <v>10529000</v>
      </c>
      <c r="BJ46" s="11" t="n">
        <v>232411500</v>
      </c>
      <c r="BK46" s="11" t="n">
        <v>343438580</v>
      </c>
      <c r="BL46" s="11" t="n">
        <v>1355065364</v>
      </c>
      <c r="BM46" s="11" t="n">
        <v>-404278852</v>
      </c>
      <c r="BN46" s="11" t="n">
        <v>429106</v>
      </c>
      <c r="BO46" s="11" t="n">
        <v>-6444038</v>
      </c>
      <c r="BP46" s="11" t="n">
        <v>2058696</v>
      </c>
      <c r="BQ46" s="11" t="n">
        <v>-39632800</v>
      </c>
      <c r="BR46" s="11" t="n">
        <v>16309910</v>
      </c>
      <c r="BS46" s="11" t="n">
        <v>-1067094</v>
      </c>
      <c r="BT46" s="11" t="n">
        <v>3844384</v>
      </c>
      <c r="BU46" s="11" t="n">
        <v>-366968</v>
      </c>
      <c r="BV46" s="11" t="n">
        <v>2099178</v>
      </c>
      <c r="BW46" s="11" t="n">
        <v>-1977474</v>
      </c>
      <c r="BX46" s="11" t="n">
        <v>-2997220</v>
      </c>
      <c r="BY46" s="11" t="n">
        <v>-12933080</v>
      </c>
      <c r="BZ46" s="11" t="n">
        <v>323548306</v>
      </c>
      <c r="CA46" s="11" t="n">
        <v>-116424938</v>
      </c>
      <c r="CB46" s="11" t="n">
        <v>54570476</v>
      </c>
      <c r="CC46" s="11" t="n">
        <v>-23822552</v>
      </c>
      <c r="CD46" s="11" t="n">
        <v>4460896</v>
      </c>
      <c r="CE46" s="11" t="n">
        <v>-15292152</v>
      </c>
      <c r="CF46" s="11" t="n">
        <v>102854370</v>
      </c>
      <c r="CG46" s="11" t="n">
        <v>282047422</v>
      </c>
      <c r="CH46" s="11" t="n">
        <v>-118839026</v>
      </c>
      <c r="CI46" s="11" t="n">
        <v>16535978</v>
      </c>
      <c r="CJ46" s="11" t="n">
        <v>431338</v>
      </c>
      <c r="CK46" s="11" t="n">
        <v>48562226</v>
      </c>
      <c r="CL46" s="11" t="n">
        <v>-18744828</v>
      </c>
      <c r="CM46" s="11" t="n">
        <v>147146</v>
      </c>
      <c r="CN46" s="11" t="n">
        <v>-85811222</v>
      </c>
      <c r="CO46" s="11" t="n">
        <v>798008602</v>
      </c>
      <c r="CP46" s="11" t="n">
        <v>-347018986</v>
      </c>
      <c r="CQ46" s="11" t="n">
        <v>38911664</v>
      </c>
      <c r="CR46" s="11" t="n">
        <v>272823016</v>
      </c>
      <c r="CS46" s="11" t="n">
        <v>-106325678</v>
      </c>
      <c r="CT46" s="11" t="n">
        <v>1778598</v>
      </c>
      <c r="CU46" s="11" t="n">
        <v>-114506710</v>
      </c>
      <c r="CV46" s="11" t="n">
        <v>107173174</v>
      </c>
      <c r="CW46" s="11" t="n">
        <v>-41021462</v>
      </c>
      <c r="CX46" s="11" t="n">
        <v>18005816</v>
      </c>
      <c r="CY46" s="11" t="n">
        <v>354177950</v>
      </c>
      <c r="CZ46" s="11" t="n">
        <v>-91732230</v>
      </c>
      <c r="DA46" s="11" t="n">
        <v>116818804</v>
      </c>
      <c r="DB46" s="11" t="n">
        <v>-43640122</v>
      </c>
      <c r="DC46" s="11" t="n">
        <v>18018186</v>
      </c>
      <c r="DD46" s="11" t="n">
        <v>2886972</v>
      </c>
      <c r="DE46" s="11" t="n">
        <v>132092790</v>
      </c>
      <c r="DF46" s="11" t="n">
        <v>339917318</v>
      </c>
      <c r="DG46" s="11" t="n">
        <v>-131606994</v>
      </c>
      <c r="DH46" s="11" t="n">
        <v>-2706899994</v>
      </c>
      <c r="DI46" s="11" t="n">
        <v>853896562</v>
      </c>
      <c r="DJ46" s="11" t="n">
        <v>-648585804</v>
      </c>
      <c r="DK46" s="11" t="n">
        <v>3005771080</v>
      </c>
      <c r="DL46" s="11" t="n">
        <v>4804116036</v>
      </c>
      <c r="DM46" s="11" t="n">
        <v>-2235663908</v>
      </c>
      <c r="DN46" s="11" t="n">
        <v>639197770</v>
      </c>
      <c r="DO46" s="11" t="n">
        <v>2005968966</v>
      </c>
      <c r="DP46" s="11" t="n">
        <v>-785941338</v>
      </c>
      <c r="DQ46" s="11" t="n">
        <v>-1093022740</v>
      </c>
      <c r="DR46" s="11" t="n">
        <v>60207</v>
      </c>
      <c r="DS46" s="11" t="n">
        <v>-23739</v>
      </c>
      <c r="DT46" s="11" t="n">
        <v>-367751</v>
      </c>
      <c r="DU46" s="11" t="n">
        <v>-17912</v>
      </c>
      <c r="DV46" s="11" t="n">
        <v>2011149</v>
      </c>
      <c r="DW46" s="11" t="n">
        <v>-428994</v>
      </c>
      <c r="DX46" s="11" t="n">
        <v>1086887</v>
      </c>
      <c r="DY46" s="11" t="n">
        <v>159867</v>
      </c>
      <c r="DZ46" s="11" t="n">
        <v>-2284132</v>
      </c>
      <c r="EA46" s="11" t="n">
        <v>119969</v>
      </c>
      <c r="EB46" s="11" t="n">
        <v>-23070327</v>
      </c>
      <c r="EC46" s="11" t="n">
        <v>6124695</v>
      </c>
      <c r="ED46" s="11" t="n">
        <v>-8424152</v>
      </c>
      <c r="EE46" s="11" t="n">
        <v>1877095</v>
      </c>
      <c r="EF46" s="11" t="n">
        <v>259</v>
      </c>
      <c r="EG46" s="11" t="n">
        <v>3756210</v>
      </c>
      <c r="EH46" s="11" t="n">
        <v>-1275801</v>
      </c>
      <c r="EI46" s="11" t="n">
        <v>435557</v>
      </c>
      <c r="EJ46" s="11" t="n">
        <v>-1412329</v>
      </c>
      <c r="EK46" s="11" t="n">
        <v>217215035</v>
      </c>
      <c r="EL46" s="11" t="n">
        <v>-53685479</v>
      </c>
      <c r="EM46" s="11" t="n">
        <v>92689948</v>
      </c>
      <c r="EN46" s="11" t="n">
        <v>2856149</v>
      </c>
      <c r="EO46" s="11" t="n">
        <v>-967322</v>
      </c>
      <c r="EP46" s="11" t="n">
        <v>340503</v>
      </c>
      <c r="EQ46" s="11" t="n">
        <v>40205331</v>
      </c>
      <c r="ER46" s="11" t="n">
        <v>135077543</v>
      </c>
      <c r="ES46" s="11" t="n">
        <v>-50541311</v>
      </c>
      <c r="ET46" s="11" t="n">
        <v>-8922</v>
      </c>
      <c r="EU46" s="11" t="n">
        <v>-17344</v>
      </c>
      <c r="EV46" s="11" t="n">
        <v>-6382</v>
      </c>
      <c r="EW46" s="11" t="n">
        <v>916650</v>
      </c>
      <c r="EX46" s="11" t="n">
        <v>-178785</v>
      </c>
      <c r="EY46" s="11" t="n">
        <v>519373</v>
      </c>
      <c r="EZ46" s="11" t="n">
        <v>-47658</v>
      </c>
      <c r="FA46" s="11" t="n">
        <v>-138</v>
      </c>
      <c r="FB46" s="11" t="n">
        <v>-63396</v>
      </c>
      <c r="FC46" s="11" t="n">
        <v>6921</v>
      </c>
      <c r="FD46" s="11" t="n">
        <v>-43719</v>
      </c>
      <c r="FE46" s="11" t="n">
        <v>33822</v>
      </c>
      <c r="FF46" s="11" t="n">
        <v>-5019642</v>
      </c>
      <c r="FG46" s="11" t="n">
        <v>968457</v>
      </c>
      <c r="FH46" s="11" t="n">
        <v>-2859285</v>
      </c>
      <c r="FI46" s="11" t="n">
        <v>-59526</v>
      </c>
      <c r="FJ46" s="11" t="n">
        <v>7716</v>
      </c>
      <c r="FK46" s="11" t="n">
        <v>-39306</v>
      </c>
      <c r="FL46" s="11" t="n">
        <v>559305</v>
      </c>
      <c r="FM46" s="11" t="n">
        <v>801261</v>
      </c>
      <c r="FN46" s="11" t="n">
        <v>-473181</v>
      </c>
      <c r="FO46" s="11" t="n">
        <v>-384536</v>
      </c>
      <c r="FP46" s="11" t="n">
        <v>832</v>
      </c>
      <c r="FQ46" s="11" t="n">
        <v>-984792</v>
      </c>
      <c r="FR46" s="11" t="n">
        <v>432885</v>
      </c>
      <c r="FS46" s="11" t="n">
        <v>130721</v>
      </c>
      <c r="FT46" s="11" t="n">
        <v>276680</v>
      </c>
      <c r="FU46" s="11" t="n">
        <v>-41421784</v>
      </c>
      <c r="FV46" s="11" t="n">
        <v>8547100</v>
      </c>
      <c r="FW46" s="11" t="n">
        <v>-22130732</v>
      </c>
      <c r="FX46" s="11" t="n">
        <v>-618952</v>
      </c>
      <c r="FY46" s="11" t="n">
        <v>292975</v>
      </c>
      <c r="FZ46" s="11" t="n">
        <v>141939</v>
      </c>
      <c r="GA46" s="11" t="n">
        <v>-24740865</v>
      </c>
      <c r="GB46" s="11" t="n">
        <v>-70757653</v>
      </c>
      <c r="GC46" s="11" t="n">
        <v>27818845</v>
      </c>
      <c r="GD46" s="11" t="n">
        <v>10392</v>
      </c>
      <c r="GE46" s="11" t="n">
        <v>-2528040</v>
      </c>
      <c r="GF46" s="11" t="n">
        <v>2014017</v>
      </c>
      <c r="GG46" s="11" t="n">
        <v>2582541</v>
      </c>
      <c r="GH46" s="11" t="n">
        <v>-21144</v>
      </c>
      <c r="GI46" s="11" t="n">
        <v>7341</v>
      </c>
      <c r="GJ46" s="11" t="n">
        <v>-2055</v>
      </c>
      <c r="GK46" s="11" t="n">
        <v>2311974</v>
      </c>
      <c r="GL46" s="11" t="n">
        <v>5754462</v>
      </c>
      <c r="GM46" s="11" t="n">
        <v>-2222598</v>
      </c>
      <c r="GN46" s="11" t="n">
        <v>699552</v>
      </c>
      <c r="GO46" s="11" t="n">
        <v>-1218135</v>
      </c>
      <c r="GP46" s="11" t="n">
        <v>-2456259</v>
      </c>
      <c r="GQ46" s="11" t="n">
        <v>160756773</v>
      </c>
      <c r="GR46" s="11" t="n">
        <v>423681609</v>
      </c>
      <c r="GS46" s="11" t="n">
        <v>-173312529</v>
      </c>
      <c r="GT46" s="11" t="n">
        <v>1984299</v>
      </c>
      <c r="GU46" s="11" t="n">
        <v>5135943</v>
      </c>
      <c r="GV46" s="11" t="n">
        <v>-1976007</v>
      </c>
      <c r="GW46" s="11" t="n">
        <v>-21547176</v>
      </c>
      <c r="GX46" s="11" t="n">
        <v>-109383</v>
      </c>
      <c r="GY46" s="11" t="n">
        <v>398409</v>
      </c>
      <c r="GZ46" s="11" t="n">
        <v>-225312</v>
      </c>
      <c r="HA46" s="11" t="n">
        <v>10864140</v>
      </c>
      <c r="HB46" s="11" t="n">
        <v>-2839287</v>
      </c>
      <c r="HC46" s="11" t="n">
        <v>4359903</v>
      </c>
      <c r="HD46" s="11" t="n">
        <v>-825212</v>
      </c>
      <c r="HE46" s="11" t="n">
        <v>56296</v>
      </c>
      <c r="HF46" s="11" t="n">
        <v>-629799</v>
      </c>
      <c r="HG46" s="11" t="n">
        <v>340113</v>
      </c>
      <c r="HH46" s="11" t="n">
        <v>255572</v>
      </c>
      <c r="HI46" s="11" t="n">
        <v>1494760</v>
      </c>
      <c r="HJ46" s="11" t="n">
        <v>-79667783</v>
      </c>
      <c r="HK46" s="11" t="n">
        <v>20181469</v>
      </c>
      <c r="HL46" s="11" t="n">
        <v>-33823048</v>
      </c>
      <c r="HM46" s="11" t="n">
        <v>4294144</v>
      </c>
      <c r="HN46" s="11" t="n">
        <v>-760712</v>
      </c>
      <c r="HO46" s="11" t="n">
        <v>2770344</v>
      </c>
      <c r="HP46" s="11" t="n">
        <v>-17432829</v>
      </c>
      <c r="HQ46" s="11" t="n">
        <v>-50487119</v>
      </c>
      <c r="HR46" s="11" t="n">
        <v>20190541</v>
      </c>
      <c r="HS46" s="11" t="n">
        <v>-3091879</v>
      </c>
      <c r="HT46" s="11" t="n">
        <v>-380311</v>
      </c>
      <c r="HU46" s="11" t="n">
        <v>-13066323</v>
      </c>
      <c r="HV46" s="11" t="n">
        <v>3588108</v>
      </c>
      <c r="HW46" s="11" t="n">
        <v>-3728045</v>
      </c>
      <c r="HX46" s="11" t="n">
        <v>7754009</v>
      </c>
      <c r="HY46" s="11" t="n">
        <v>-259499791</v>
      </c>
      <c r="HZ46" s="11" t="n">
        <v>67187747</v>
      </c>
      <c r="IA46" s="11" t="n">
        <v>-109660604</v>
      </c>
      <c r="IB46" s="11" t="n">
        <v>-64687852</v>
      </c>
      <c r="IC46" s="11" t="n">
        <v>17262791</v>
      </c>
      <c r="ID46" s="11" t="n">
        <v>-22838031</v>
      </c>
      <c r="IE46" s="11" t="n">
        <v>-17211693</v>
      </c>
      <c r="IF46" s="11" t="n">
        <v>-150534343</v>
      </c>
      <c r="IG46" s="11" t="n">
        <v>46248623</v>
      </c>
      <c r="IH46" s="11" t="n">
        <v>-4460452</v>
      </c>
      <c r="II46" s="11" t="n">
        <v>-80773285</v>
      </c>
      <c r="IJ46" s="11" t="n">
        <v>17455743</v>
      </c>
      <c r="IK46" s="11" t="n">
        <v>-35349416</v>
      </c>
      <c r="IL46" s="11" t="n">
        <v>8914559</v>
      </c>
      <c r="IM46" s="11" t="n">
        <v>-3029217</v>
      </c>
      <c r="IN46" s="11" t="n">
        <v>1030116</v>
      </c>
      <c r="IO46" s="11" t="n">
        <v>-19968729</v>
      </c>
      <c r="IP46" s="11" t="n">
        <v>-51994417</v>
      </c>
      <c r="IQ46" s="11" t="n">
        <v>19975467</v>
      </c>
      <c r="IR46" s="11" t="n">
        <v>576931743</v>
      </c>
      <c r="IS46" s="11" t="n">
        <v>-140703989</v>
      </c>
      <c r="IT46" s="11" t="n">
        <v>246851688</v>
      </c>
      <c r="IU46" s="11" t="n">
        <v>-290183858</v>
      </c>
      <c r="IV46" s="11" t="n">
        <v>-102047604</v>
      </c>
      <c r="IW46" s="11" t="n">
        <v>149048620</v>
      </c>
      <c r="IX46" s="11" t="n">
        <v>-110602565</v>
      </c>
      <c r="IY46" s="11" t="n">
        <v>-360113127</v>
      </c>
      <c r="IZ46" s="11" t="n">
        <v>135149061</v>
      </c>
      <c r="JA46" s="11" t="n">
        <v>161565542</v>
      </c>
      <c r="JB46" s="11" t="n">
        <v>-90550</v>
      </c>
      <c r="JC46" s="11" t="n">
        <v>21794</v>
      </c>
      <c r="JD46" s="11" t="n">
        <v>55410</v>
      </c>
      <c r="JE46" s="11" t="n">
        <v>95937</v>
      </c>
      <c r="JF46" s="11" t="n">
        <v>297499</v>
      </c>
      <c r="JG46" s="11" t="n">
        <v>107138</v>
      </c>
      <c r="JH46" s="11" t="n">
        <v>-9195430</v>
      </c>
      <c r="JI46" s="11" t="n">
        <v>2000999</v>
      </c>
      <c r="JJ46" s="11" t="n">
        <v>-4692827</v>
      </c>
      <c r="JK46" s="11" t="n">
        <v>2278760</v>
      </c>
      <c r="JL46" s="11" t="n">
        <v>-368098</v>
      </c>
      <c r="JM46" s="11" t="n">
        <v>1481490</v>
      </c>
      <c r="JN46" s="11" t="n">
        <v>-10966950</v>
      </c>
      <c r="JO46" s="11" t="n">
        <v>-27339610</v>
      </c>
      <c r="JP46" s="11" t="n">
        <v>11546228</v>
      </c>
      <c r="JQ46" s="11" t="n">
        <v>117816</v>
      </c>
      <c r="JR46" s="11" t="n">
        <v>939390</v>
      </c>
      <c r="JS46" s="11" t="n">
        <v>442218</v>
      </c>
      <c r="JT46" s="11" t="n">
        <v>2032836</v>
      </c>
      <c r="JU46" s="11" t="n">
        <v>-154002</v>
      </c>
      <c r="JV46" s="11" t="n">
        <v>18390</v>
      </c>
      <c r="JW46" s="11" t="n">
        <v>-102192</v>
      </c>
      <c r="JX46" s="11" t="n">
        <v>724671</v>
      </c>
      <c r="JY46" s="11" t="n">
        <v>1842387</v>
      </c>
      <c r="JZ46" s="11" t="n">
        <v>-700881</v>
      </c>
      <c r="KA46" s="11" t="n">
        <v>-13075794</v>
      </c>
      <c r="KB46" s="11" t="n">
        <v>2080302</v>
      </c>
      <c r="KC46" s="11" t="n">
        <v>-8511144</v>
      </c>
      <c r="KD46" s="11" t="n">
        <v>65666517</v>
      </c>
      <c r="KE46" s="11" t="n">
        <v>157751589</v>
      </c>
      <c r="KF46" s="11" t="n">
        <v>-67840479</v>
      </c>
      <c r="KG46" s="11" t="n">
        <v>-678234</v>
      </c>
      <c r="KH46" s="11" t="n">
        <v>-216510</v>
      </c>
      <c r="KI46" s="11" t="n">
        <v>475914</v>
      </c>
      <c r="KJ46" s="11" t="n">
        <v>-7095174</v>
      </c>
      <c r="KK46" s="11" t="n">
        <v>930872</v>
      </c>
      <c r="KL46" s="11" t="n">
        <v>12382880</v>
      </c>
      <c r="KM46" s="11" t="n">
        <v>-258519</v>
      </c>
      <c r="KN46" s="11" t="n">
        <v>11495437</v>
      </c>
      <c r="KO46" s="11" t="n">
        <v>-2410744</v>
      </c>
      <c r="KP46" s="11" t="n">
        <v>1048473</v>
      </c>
      <c r="KQ46" s="11" t="n">
        <v>291573</v>
      </c>
      <c r="KR46" s="11" t="n">
        <v>13277757</v>
      </c>
      <c r="KS46" s="11" t="n">
        <v>33649169</v>
      </c>
      <c r="KT46" s="11" t="n">
        <v>-13028679</v>
      </c>
      <c r="KU46" s="11" t="n">
        <v>-109182168</v>
      </c>
      <c r="KV46" s="11" t="n">
        <v>20876545</v>
      </c>
      <c r="KW46" s="11" t="n">
        <v>-61844499</v>
      </c>
      <c r="KX46" s="11" t="n">
        <v>247387489</v>
      </c>
      <c r="KY46" s="11" t="n">
        <v>525618693</v>
      </c>
      <c r="KZ46" s="11" t="n">
        <v>-240631397</v>
      </c>
      <c r="LA46" s="11" t="n">
        <v>68910172</v>
      </c>
      <c r="LB46" s="11" t="n">
        <v>194361660</v>
      </c>
      <c r="LC46" s="11" t="n">
        <v>-76196646</v>
      </c>
      <c r="LD46" s="11" t="n">
        <v>-108645658</v>
      </c>
      <c r="LE46" s="11" t="n">
        <v>-6454440</v>
      </c>
      <c r="LF46" s="11" t="n">
        <v>4882452</v>
      </c>
      <c r="LG46" s="11" t="n">
        <v>5941068</v>
      </c>
      <c r="LH46" s="11" t="n">
        <v>63156075</v>
      </c>
      <c r="LI46" s="11" t="n">
        <v>158737335</v>
      </c>
      <c r="LJ46" s="11" t="n">
        <v>-61943853</v>
      </c>
      <c r="LK46" s="11" t="n">
        <v>-5374569</v>
      </c>
      <c r="LL46" s="11" t="n">
        <v>-13364301</v>
      </c>
      <c r="LM46" s="11" t="n">
        <v>5162319</v>
      </c>
      <c r="LN46" s="11" t="n">
        <v>-1411116</v>
      </c>
      <c r="LO46" s="11" t="n">
        <v>-427910913</v>
      </c>
      <c r="LP46" s="11" t="n">
        <v>-1125643797</v>
      </c>
      <c r="LQ46" s="11" t="n">
        <v>457615839</v>
      </c>
      <c r="LR46" s="11" t="n">
        <v>490485018</v>
      </c>
      <c r="LS46" s="11" t="n">
        <v>-51301122</v>
      </c>
    </row>
    <row r="47" customFormat="false" ht="15" hidden="false" customHeight="true" outlineLevel="0" collapsed="false">
      <c r="A47" s="7" t="s">
        <v>113</v>
      </c>
      <c r="B47" s="11" t="n">
        <v>-9792613</v>
      </c>
      <c r="C47" s="11" t="n">
        <v>228210364</v>
      </c>
      <c r="D47" s="11" t="n">
        <v>-7950499</v>
      </c>
      <c r="E47" s="11" t="n">
        <v>-796065208</v>
      </c>
      <c r="F47" s="11" t="n">
        <v>-2671997</v>
      </c>
      <c r="G47" s="11" t="n">
        <v>-657644017</v>
      </c>
      <c r="H47" s="11" t="n">
        <v>369502741</v>
      </c>
      <c r="I47" s="11" t="n">
        <v>199306028</v>
      </c>
      <c r="J47" s="11" t="n">
        <v>-18288388</v>
      </c>
      <c r="K47" s="11" t="n">
        <v>-46338</v>
      </c>
      <c r="L47" s="11" t="n">
        <v>8431376</v>
      </c>
      <c r="M47" s="11" t="n">
        <v>-333876</v>
      </c>
      <c r="N47" s="11" t="n">
        <v>7457736</v>
      </c>
      <c r="O47" s="11" t="n">
        <v>-2334403</v>
      </c>
      <c r="P47" s="11" t="n">
        <v>18605297</v>
      </c>
      <c r="Q47" s="11" t="n">
        <v>15927988</v>
      </c>
      <c r="R47" s="11" t="n">
        <v>1290219680</v>
      </c>
      <c r="S47" s="11" t="n">
        <v>12770900</v>
      </c>
      <c r="T47" s="11" t="n">
        <v>1054398484</v>
      </c>
      <c r="U47" s="11" t="n">
        <v>-635670432</v>
      </c>
      <c r="V47" s="11" t="n">
        <v>-805802044</v>
      </c>
      <c r="W47" s="11" t="n">
        <v>10612256</v>
      </c>
      <c r="X47" s="11" t="n">
        <v>-258426</v>
      </c>
      <c r="Y47" s="11" t="n">
        <v>9166770</v>
      </c>
      <c r="Z47" s="11" t="n">
        <v>-3643735</v>
      </c>
      <c r="AA47" s="11" t="n">
        <v>14162303</v>
      </c>
      <c r="AB47" s="11" t="n">
        <v>-29442160</v>
      </c>
      <c r="AC47" s="11" t="n">
        <v>40030192</v>
      </c>
      <c r="AD47" s="11" t="n">
        <v>128370184</v>
      </c>
      <c r="AE47" s="11" t="n">
        <v>1684070808</v>
      </c>
      <c r="AF47" s="11" t="n">
        <v>24457068</v>
      </c>
      <c r="AG47" s="11" t="n">
        <v>-13235039</v>
      </c>
      <c r="AH47" s="11" t="n">
        <v>-1718663</v>
      </c>
      <c r="AI47" s="11" t="n">
        <v>124629425</v>
      </c>
      <c r="AJ47" s="11" t="n">
        <v>1401263789</v>
      </c>
      <c r="AK47" s="11" t="n">
        <v>-749541397</v>
      </c>
      <c r="AL47" s="11" t="n">
        <v>-120472465</v>
      </c>
      <c r="AM47" s="11" t="n">
        <v>-1129336</v>
      </c>
      <c r="AN47" s="11" t="n">
        <v>267088868</v>
      </c>
      <c r="AO47" s="11" t="n">
        <v>-25964932</v>
      </c>
      <c r="AP47" s="11" t="n">
        <v>235331173</v>
      </c>
      <c r="AQ47" s="11" t="n">
        <v>-153496159</v>
      </c>
      <c r="AR47" s="11" t="n">
        <v>-61957456</v>
      </c>
      <c r="AS47" s="11" t="n">
        <v>124128503</v>
      </c>
      <c r="AT47" s="11" t="n">
        <v>3569168936</v>
      </c>
      <c r="AU47" s="11" t="n">
        <v>637967481</v>
      </c>
      <c r="AV47" s="11" t="n">
        <v>2606350641</v>
      </c>
      <c r="AW47" s="11" t="n">
        <v>-968637453</v>
      </c>
      <c r="AX47" s="11" t="n">
        <v>-1008061372</v>
      </c>
      <c r="AY47" s="11" t="n">
        <v>308652540</v>
      </c>
      <c r="AZ47" s="11" t="n">
        <v>-20772452</v>
      </c>
      <c r="BA47" s="11" t="n">
        <v>266905403</v>
      </c>
      <c r="BB47" s="11" t="n">
        <v>-167234609</v>
      </c>
      <c r="BC47" s="11" t="n">
        <v>-73287504</v>
      </c>
      <c r="BD47" s="11" t="n">
        <v>-2183629604</v>
      </c>
      <c r="BE47" s="11" t="n">
        <v>1193712356</v>
      </c>
      <c r="BF47" s="11" t="n">
        <v>-2400062468</v>
      </c>
      <c r="BG47" s="11" t="n">
        <v>399305712</v>
      </c>
      <c r="BH47" s="11" t="n">
        <v>1807943025</v>
      </c>
      <c r="BI47" s="11" t="n">
        <v>-1021612395</v>
      </c>
      <c r="BJ47" s="11" t="n">
        <v>-545361856</v>
      </c>
      <c r="BK47" s="11" t="n">
        <v>-1428660270</v>
      </c>
      <c r="BL47" s="11" t="n">
        <v>628736284</v>
      </c>
      <c r="BM47" s="11" t="n">
        <v>-786231412</v>
      </c>
      <c r="BN47" s="11" t="n">
        <v>-1539046</v>
      </c>
      <c r="BO47" s="11" t="n">
        <v>395081088</v>
      </c>
      <c r="BP47" s="11" t="n">
        <v>-44383852</v>
      </c>
      <c r="BQ47" s="11" t="n">
        <v>347749468</v>
      </c>
      <c r="BR47" s="11" t="n">
        <v>-257946069</v>
      </c>
      <c r="BS47" s="11" t="n">
        <v>-344599341</v>
      </c>
      <c r="BT47" s="11" t="n">
        <v>291496</v>
      </c>
      <c r="BU47" s="11" t="n">
        <v>-84360</v>
      </c>
      <c r="BV47" s="11" t="n">
        <v>253506</v>
      </c>
      <c r="BW47" s="11" t="n">
        <v>-457118</v>
      </c>
      <c r="BX47" s="11" t="n">
        <v>-2438840</v>
      </c>
      <c r="BY47" s="11" t="n">
        <v>13249328</v>
      </c>
      <c r="BZ47" s="11" t="n">
        <v>787600</v>
      </c>
      <c r="CA47" s="11" t="n">
        <v>68489460</v>
      </c>
      <c r="CB47" s="11" t="n">
        <v>560795604</v>
      </c>
      <c r="CC47" s="11" t="n">
        <v>-11750508</v>
      </c>
      <c r="CD47" s="11" t="n">
        <v>956224</v>
      </c>
      <c r="CE47" s="11" t="n">
        <v>-51444020</v>
      </c>
      <c r="CF47" s="11" t="n">
        <v>60798485</v>
      </c>
      <c r="CG47" s="11" t="n">
        <v>494297969</v>
      </c>
      <c r="CH47" s="11" t="n">
        <v>-306401907</v>
      </c>
      <c r="CI47" s="11" t="n">
        <v>-452667248</v>
      </c>
      <c r="CJ47" s="11" t="n">
        <v>37580702</v>
      </c>
      <c r="CK47" s="11" t="n">
        <v>-391599146</v>
      </c>
      <c r="CL47" s="11" t="n">
        <v>278148513</v>
      </c>
      <c r="CM47" s="11" t="n">
        <v>367935139</v>
      </c>
      <c r="CN47" s="11" t="n">
        <v>3407105120</v>
      </c>
      <c r="CO47" s="11" t="n">
        <v>-1755228896</v>
      </c>
      <c r="CP47" s="11" t="n">
        <v>4465441608</v>
      </c>
      <c r="CQ47" s="11" t="n">
        <v>6903380616</v>
      </c>
      <c r="CR47" s="11" t="n">
        <v>-2801741736</v>
      </c>
      <c r="CS47" s="11" t="n">
        <v>1722825753</v>
      </c>
      <c r="CT47" s="11" t="n">
        <v>2196226501</v>
      </c>
      <c r="CU47" s="11" t="n">
        <v>2784493065</v>
      </c>
      <c r="CV47" s="11" t="n">
        <v>4545386429</v>
      </c>
      <c r="CW47" s="11" t="n">
        <v>-612308877</v>
      </c>
      <c r="CX47" s="11" t="n">
        <v>17694328</v>
      </c>
      <c r="CY47" s="11" t="n">
        <v>-392632</v>
      </c>
      <c r="CZ47" s="11" t="n">
        <v>81766996</v>
      </c>
      <c r="DA47" s="11" t="n">
        <v>647629356</v>
      </c>
      <c r="DB47" s="11" t="n">
        <v>-15274638</v>
      </c>
      <c r="DC47" s="11" t="n">
        <v>4084214</v>
      </c>
      <c r="DD47" s="11" t="n">
        <v>-39384340</v>
      </c>
      <c r="DE47" s="11" t="n">
        <v>70494775</v>
      </c>
      <c r="DF47" s="11" t="n">
        <v>559940311</v>
      </c>
      <c r="DG47" s="11" t="n">
        <v>-331484533</v>
      </c>
      <c r="DH47" s="11" t="n">
        <v>-65654976</v>
      </c>
      <c r="DI47" s="11" t="n">
        <v>-440888452</v>
      </c>
      <c r="DJ47" s="11" t="n">
        <v>-4604686164</v>
      </c>
      <c r="DK47" s="11" t="n">
        <v>313180420</v>
      </c>
      <c r="DL47" s="11" t="n">
        <v>2505211668</v>
      </c>
      <c r="DM47" s="11" t="n">
        <v>-5141707044</v>
      </c>
      <c r="DN47" s="11" t="n">
        <v>395751705</v>
      </c>
      <c r="DO47" s="11" t="n">
        <v>3828861789</v>
      </c>
      <c r="DP47" s="11" t="n">
        <v>-2044193167</v>
      </c>
      <c r="DQ47" s="11" t="n">
        <v>-3163244690</v>
      </c>
      <c r="DR47" s="11" t="n">
        <v>-2459582</v>
      </c>
      <c r="DS47" s="11" t="n">
        <v>-40062</v>
      </c>
      <c r="DT47" s="11" t="n">
        <v>-2448656</v>
      </c>
      <c r="DU47" s="11" t="n">
        <v>-92119</v>
      </c>
      <c r="DV47" s="11" t="n">
        <v>-540177</v>
      </c>
      <c r="DW47" s="11" t="n">
        <v>-487780</v>
      </c>
      <c r="DX47" s="11" t="n">
        <v>1564491</v>
      </c>
      <c r="DY47" s="11" t="n">
        <v>2930522</v>
      </c>
      <c r="DZ47" s="11" t="n">
        <v>257009680</v>
      </c>
      <c r="EA47" s="11" t="n">
        <v>2817890</v>
      </c>
      <c r="EB47" s="11" t="n">
        <v>177766994</v>
      </c>
      <c r="EC47" s="11" t="n">
        <v>-81439534</v>
      </c>
      <c r="ED47" s="11" t="n">
        <v>-86518540</v>
      </c>
      <c r="EE47" s="11" t="n">
        <v>1268704</v>
      </c>
      <c r="EF47" s="11" t="n">
        <v>-63859</v>
      </c>
      <c r="EG47" s="11" t="n">
        <v>2251887</v>
      </c>
      <c r="EH47" s="11" t="n">
        <v>-1907674</v>
      </c>
      <c r="EI47" s="11" t="n">
        <v>454821</v>
      </c>
      <c r="EJ47" s="11" t="n">
        <v>-6820440</v>
      </c>
      <c r="EK47" s="11" t="n">
        <v>120532472</v>
      </c>
      <c r="EL47" s="11" t="n">
        <v>-132047472</v>
      </c>
      <c r="EM47" s="11" t="n">
        <v>77344520</v>
      </c>
      <c r="EN47" s="11" t="n">
        <v>6039058</v>
      </c>
      <c r="EO47" s="11" t="n">
        <v>-3609003</v>
      </c>
      <c r="EP47" s="11" t="n">
        <v>-1447985</v>
      </c>
      <c r="EQ47" s="11" t="n">
        <v>-53140309</v>
      </c>
      <c r="ER47" s="11" t="n">
        <v>94072707</v>
      </c>
      <c r="ES47" s="11" t="n">
        <v>-68960267</v>
      </c>
      <c r="ET47" s="11" t="n">
        <v>-63180</v>
      </c>
      <c r="EU47" s="11" t="n">
        <v>-6690720</v>
      </c>
      <c r="EV47" s="11" t="n">
        <v>-88180</v>
      </c>
      <c r="EW47" s="11" t="n">
        <v>-2881956</v>
      </c>
      <c r="EX47" s="11" t="n">
        <v>-324638</v>
      </c>
      <c r="EY47" s="11" t="n">
        <v>-1751242</v>
      </c>
      <c r="EZ47" s="11" t="n">
        <v>-46080</v>
      </c>
      <c r="FA47" s="11" t="n">
        <v>930</v>
      </c>
      <c r="FB47" s="11" t="n">
        <v>-33066</v>
      </c>
      <c r="FC47" s="11" t="n">
        <v>7242</v>
      </c>
      <c r="FD47" s="11" t="n">
        <v>-68712</v>
      </c>
      <c r="FE47" s="11" t="n">
        <v>162800</v>
      </c>
      <c r="FF47" s="11" t="n">
        <v>-1399728</v>
      </c>
      <c r="FG47" s="11" t="n">
        <v>1003696</v>
      </c>
      <c r="FH47" s="11" t="n">
        <v>-5999296</v>
      </c>
      <c r="FI47" s="11" t="n">
        <v>-88572</v>
      </c>
      <c r="FJ47" s="11" t="n">
        <v>5329</v>
      </c>
      <c r="FK47" s="11" t="n">
        <v>-121679</v>
      </c>
      <c r="FL47" s="11" t="n">
        <v>500247</v>
      </c>
      <c r="FM47" s="11" t="n">
        <v>-2217765</v>
      </c>
      <c r="FN47" s="11" t="n">
        <v>-553799</v>
      </c>
      <c r="FO47" s="11" t="n">
        <v>1369920</v>
      </c>
      <c r="FP47" s="11" t="n">
        <v>32680</v>
      </c>
      <c r="FQ47" s="11" t="n">
        <v>-1132584</v>
      </c>
      <c r="FR47" s="11" t="n">
        <v>2478758</v>
      </c>
      <c r="FS47" s="11" t="n">
        <v>4308982</v>
      </c>
      <c r="FT47" s="11" t="n">
        <v>1548800</v>
      </c>
      <c r="FU47" s="11" t="n">
        <v>-182428800</v>
      </c>
      <c r="FV47" s="11" t="n">
        <v>255459760</v>
      </c>
      <c r="FW47" s="11" t="n">
        <v>418346480</v>
      </c>
      <c r="FX47" s="11" t="n">
        <v>-3071440</v>
      </c>
      <c r="FY47" s="11" t="n">
        <v>3291670</v>
      </c>
      <c r="FZ47" s="11" t="n">
        <v>5108190</v>
      </c>
      <c r="GA47" s="11" t="n">
        <v>118888118</v>
      </c>
      <c r="GB47" s="11" t="n">
        <v>227947534</v>
      </c>
      <c r="GC47" s="11" t="n">
        <v>-46566094</v>
      </c>
      <c r="GD47" s="11" t="n">
        <v>44000</v>
      </c>
      <c r="GE47" s="11" t="n">
        <v>-1543008</v>
      </c>
      <c r="GF47" s="11" t="n">
        <v>1964896</v>
      </c>
      <c r="GG47" s="11" t="n">
        <v>1652864</v>
      </c>
      <c r="GH47" s="11" t="n">
        <v>-432</v>
      </c>
      <c r="GI47" s="11" t="n">
        <v>-32741</v>
      </c>
      <c r="GJ47" s="11" t="n">
        <v>-98969</v>
      </c>
      <c r="GK47" s="11" t="n">
        <v>1167465</v>
      </c>
      <c r="GL47" s="11" t="n">
        <v>3486909</v>
      </c>
      <c r="GM47" s="11" t="n">
        <v>-3189713</v>
      </c>
      <c r="GN47" s="11" t="n">
        <v>4114880</v>
      </c>
      <c r="GO47" s="11" t="n">
        <v>-5983560</v>
      </c>
      <c r="GP47" s="11" t="n">
        <v>-11568040</v>
      </c>
      <c r="GQ47" s="11" t="n">
        <v>26076584</v>
      </c>
      <c r="GR47" s="11" t="n">
        <v>251096392</v>
      </c>
      <c r="GS47" s="11" t="n">
        <v>-291817832</v>
      </c>
      <c r="GT47" s="11" t="n">
        <v>3120686</v>
      </c>
      <c r="GU47" s="11" t="n">
        <v>9369158</v>
      </c>
      <c r="GV47" s="11" t="n">
        <v>-4850858</v>
      </c>
      <c r="GW47" s="11" t="n">
        <v>-131055428</v>
      </c>
      <c r="GX47" s="11" t="n">
        <v>-209206</v>
      </c>
      <c r="GY47" s="11" t="n">
        <v>-97208232</v>
      </c>
      <c r="GZ47" s="11" t="n">
        <v>5388253</v>
      </c>
      <c r="HA47" s="11" t="n">
        <v>-65752907</v>
      </c>
      <c r="HB47" s="11" t="n">
        <v>32552326</v>
      </c>
      <c r="HC47" s="11" t="n">
        <v>34808639</v>
      </c>
      <c r="HD47" s="11" t="n">
        <v>-1375064</v>
      </c>
      <c r="HE47" s="11" t="n">
        <v>95600</v>
      </c>
      <c r="HF47" s="11" t="n">
        <v>-1025046</v>
      </c>
      <c r="HG47" s="11" t="n">
        <v>571706</v>
      </c>
      <c r="HH47" s="11" t="n">
        <v>433896</v>
      </c>
      <c r="HI47" s="11" t="n">
        <v>9005068</v>
      </c>
      <c r="HJ47" s="11" t="n">
        <v>-44111804</v>
      </c>
      <c r="HK47" s="11" t="n">
        <v>51685888</v>
      </c>
      <c r="HL47" s="11" t="n">
        <v>-27178204</v>
      </c>
      <c r="HM47" s="11" t="n">
        <v>-3646027</v>
      </c>
      <c r="HN47" s="11" t="n">
        <v>150597</v>
      </c>
      <c r="HO47" s="11" t="n">
        <v>4731052</v>
      </c>
      <c r="HP47" s="11" t="n">
        <v>20189191</v>
      </c>
      <c r="HQ47" s="11" t="n">
        <v>-34179387</v>
      </c>
      <c r="HR47" s="11" t="n">
        <v>27609073</v>
      </c>
      <c r="HS47" s="11" t="n">
        <v>93960232</v>
      </c>
      <c r="HT47" s="11" t="n">
        <v>-6659633</v>
      </c>
      <c r="HU47" s="11" t="n">
        <v>63222295</v>
      </c>
      <c r="HV47" s="11" t="n">
        <v>-31858124</v>
      </c>
      <c r="HW47" s="11" t="n">
        <v>-34114449</v>
      </c>
      <c r="HX47" s="11" t="n">
        <v>-674405360</v>
      </c>
      <c r="HY47" s="11" t="n">
        <v>-155018864</v>
      </c>
      <c r="HZ47" s="11" t="n">
        <v>-182823656</v>
      </c>
      <c r="IA47" s="11" t="n">
        <v>-217859320</v>
      </c>
      <c r="IB47" s="11" t="n">
        <v>464769216</v>
      </c>
      <c r="IC47" s="11" t="n">
        <v>-215705631</v>
      </c>
      <c r="ID47" s="11" t="n">
        <v>-229417315</v>
      </c>
      <c r="IE47" s="11" t="n">
        <v>-175575783</v>
      </c>
      <c r="IF47" s="11" t="n">
        <v>-202872523</v>
      </c>
      <c r="IG47" s="11" t="n">
        <v>7488923</v>
      </c>
      <c r="IH47" s="11" t="n">
        <v>-835652</v>
      </c>
      <c r="II47" s="11" t="n">
        <v>-44830732</v>
      </c>
      <c r="IJ47" s="11" t="n">
        <v>47372776</v>
      </c>
      <c r="IK47" s="11" t="n">
        <v>-29351844</v>
      </c>
      <c r="IL47" s="11" t="n">
        <v>3739753</v>
      </c>
      <c r="IM47" s="11" t="n">
        <v>-3640983</v>
      </c>
      <c r="IN47" s="11" t="n">
        <v>1776972</v>
      </c>
      <c r="IO47" s="11" t="n">
        <v>16675061</v>
      </c>
      <c r="IP47" s="11" t="n">
        <v>-36026589</v>
      </c>
      <c r="IQ47" s="11" t="n">
        <v>27151815</v>
      </c>
      <c r="IR47" s="11" t="n">
        <v>320396656</v>
      </c>
      <c r="IS47" s="11" t="n">
        <v>-341646996</v>
      </c>
      <c r="IT47" s="11" t="n">
        <v>208737100</v>
      </c>
      <c r="IU47" s="11" t="n">
        <v>-165386908</v>
      </c>
      <c r="IV47" s="11" t="n">
        <v>-55520332</v>
      </c>
      <c r="IW47" s="11" t="n">
        <v>166951612</v>
      </c>
      <c r="IX47" s="11" t="n">
        <v>132969945</v>
      </c>
      <c r="IY47" s="11" t="n">
        <v>-252843659</v>
      </c>
      <c r="IZ47" s="11" t="n">
        <v>182984169</v>
      </c>
      <c r="JA47" s="11" t="n">
        <v>153558302</v>
      </c>
      <c r="JB47" s="11" t="n">
        <v>-1927920</v>
      </c>
      <c r="JC47" s="11" t="n">
        <v>145910</v>
      </c>
      <c r="JD47" s="11" t="n">
        <v>-1443882</v>
      </c>
      <c r="JE47" s="11" t="n">
        <v>863794</v>
      </c>
      <c r="JF47" s="11" t="n">
        <v>1043096</v>
      </c>
      <c r="JG47" s="11" t="n">
        <v>18142560</v>
      </c>
      <c r="JH47" s="11" t="n">
        <v>-64964064</v>
      </c>
      <c r="JI47" s="11" t="n">
        <v>101381448</v>
      </c>
      <c r="JJ47" s="11" t="n">
        <v>163901832</v>
      </c>
      <c r="JK47" s="11" t="n">
        <v>-8670904</v>
      </c>
      <c r="JL47" s="11" t="n">
        <v>455863</v>
      </c>
      <c r="JM47" s="11" t="n">
        <v>-2588533</v>
      </c>
      <c r="JN47" s="11" t="n">
        <v>46821071</v>
      </c>
      <c r="JO47" s="11" t="n">
        <v>87602779</v>
      </c>
      <c r="JP47" s="11" t="n">
        <v>-18583155</v>
      </c>
      <c r="JQ47" s="11" t="n">
        <v>78040</v>
      </c>
      <c r="JR47" s="11" t="n">
        <v>-44088</v>
      </c>
      <c r="JS47" s="11" t="n">
        <v>409016</v>
      </c>
      <c r="JT47" s="11" t="n">
        <v>2857504</v>
      </c>
      <c r="JU47" s="11" t="n">
        <v>-55110</v>
      </c>
      <c r="JV47" s="11" t="n">
        <v>4010</v>
      </c>
      <c r="JW47" s="11" t="n">
        <v>-174040</v>
      </c>
      <c r="JX47" s="11" t="n">
        <v>286572</v>
      </c>
      <c r="JY47" s="11" t="n">
        <v>2116224</v>
      </c>
      <c r="JZ47" s="11" t="n">
        <v>-1058992</v>
      </c>
      <c r="KA47" s="11" t="n">
        <v>-2214784</v>
      </c>
      <c r="KB47" s="11" t="n">
        <v>254788</v>
      </c>
      <c r="KC47" s="11" t="n">
        <v>-20255788</v>
      </c>
      <c r="KD47" s="11" t="n">
        <v>11463980</v>
      </c>
      <c r="KE47" s="11" t="n">
        <v>92539612</v>
      </c>
      <c r="KF47" s="11" t="n">
        <v>-115492044</v>
      </c>
      <c r="KG47" s="11" t="n">
        <v>-66121</v>
      </c>
      <c r="KH47" s="11" t="n">
        <v>9364883</v>
      </c>
      <c r="KI47" s="11" t="n">
        <v>-472609</v>
      </c>
      <c r="KJ47" s="11" t="n">
        <v>-51236438</v>
      </c>
      <c r="KK47" s="11" t="n">
        <v>-4160960</v>
      </c>
      <c r="KL47" s="11" t="n">
        <v>65867904</v>
      </c>
      <c r="KM47" s="11" t="n">
        <v>-94368088</v>
      </c>
      <c r="KN47" s="11" t="n">
        <v>-154104632</v>
      </c>
      <c r="KO47" s="11" t="n">
        <v>-1868776</v>
      </c>
      <c r="KP47" s="11" t="n">
        <v>5277727</v>
      </c>
      <c r="KQ47" s="11" t="n">
        <v>9411763</v>
      </c>
      <c r="KR47" s="11" t="n">
        <v>-41163577</v>
      </c>
      <c r="KS47" s="11" t="n">
        <v>-79776317</v>
      </c>
      <c r="KT47" s="11" t="n">
        <v>17988133</v>
      </c>
      <c r="KU47" s="11" t="n">
        <v>-479635840</v>
      </c>
      <c r="KV47" s="11" t="n">
        <v>669236560</v>
      </c>
      <c r="KW47" s="11" t="n">
        <v>1096447760</v>
      </c>
      <c r="KX47" s="11" t="n">
        <v>283854608</v>
      </c>
      <c r="KY47" s="11" t="n">
        <v>406970704</v>
      </c>
      <c r="KZ47" s="11" t="n">
        <v>81044976</v>
      </c>
      <c r="LA47" s="11" t="n">
        <v>-307797672</v>
      </c>
      <c r="LB47" s="11" t="n">
        <v>-592460296</v>
      </c>
      <c r="LC47" s="11" t="n">
        <v>123035056</v>
      </c>
      <c r="LD47" s="11" t="n">
        <v>89459432</v>
      </c>
      <c r="LE47" s="11" t="n">
        <v>-2571104</v>
      </c>
      <c r="LF47" s="11" t="n">
        <v>2937148</v>
      </c>
      <c r="LG47" s="11" t="n">
        <v>70732</v>
      </c>
      <c r="LH47" s="11" t="n">
        <v>11816116</v>
      </c>
      <c r="LI47" s="11" t="n">
        <v>94103300</v>
      </c>
      <c r="LJ47" s="11" t="n">
        <v>-107175572</v>
      </c>
      <c r="LK47" s="11" t="n">
        <v>-1942031</v>
      </c>
      <c r="LL47" s="11" t="n">
        <v>-5783867</v>
      </c>
      <c r="LM47" s="11" t="n">
        <v>6553881</v>
      </c>
      <c r="LN47" s="11" t="n">
        <v>-44497882</v>
      </c>
      <c r="LO47" s="11" t="n">
        <v>-74962352</v>
      </c>
      <c r="LP47" s="11" t="n">
        <v>-669354096</v>
      </c>
      <c r="LQ47" s="11" t="n">
        <v>762586736</v>
      </c>
      <c r="LR47" s="11" t="n">
        <v>332526784</v>
      </c>
      <c r="LS47" s="11" t="n">
        <v>-336950248</v>
      </c>
    </row>
    <row r="48" customFormat="false" ht="15" hidden="false" customHeight="true" outlineLevel="0" collapsed="false">
      <c r="A48" s="7" t="s">
        <v>114</v>
      </c>
      <c r="B48" s="11" t="n">
        <v>-502624</v>
      </c>
      <c r="C48" s="11" t="n">
        <v>-52733992</v>
      </c>
      <c r="D48" s="11" t="n">
        <v>-358184</v>
      </c>
      <c r="E48" s="11" t="n">
        <v>-3769608</v>
      </c>
      <c r="F48" s="11" t="n">
        <v>1415616</v>
      </c>
      <c r="G48" s="11" t="n">
        <v>-66048800</v>
      </c>
      <c r="H48" s="11" t="n">
        <v>23377576</v>
      </c>
      <c r="I48" s="11" t="n">
        <v>-8434176</v>
      </c>
      <c r="J48" s="11" t="n">
        <v>-3123010</v>
      </c>
      <c r="K48" s="11" t="n">
        <v>-378</v>
      </c>
      <c r="L48" s="11" t="n">
        <v>-1361306</v>
      </c>
      <c r="M48" s="11" t="n">
        <v>97704</v>
      </c>
      <c r="N48" s="11" t="n">
        <v>-744672</v>
      </c>
      <c r="O48" s="11" t="n">
        <v>-353894</v>
      </c>
      <c r="P48" s="11" t="n">
        <v>1118032</v>
      </c>
      <c r="Q48" s="11" t="n">
        <v>2185886</v>
      </c>
      <c r="R48" s="11" t="n">
        <v>-119402528</v>
      </c>
      <c r="S48" s="11" t="n">
        <v>1455042</v>
      </c>
      <c r="T48" s="11" t="n">
        <v>332259374</v>
      </c>
      <c r="U48" s="11" t="n">
        <v>-182384142</v>
      </c>
      <c r="V48" s="11" t="n">
        <v>169705996</v>
      </c>
      <c r="W48" s="11" t="n">
        <v>-967270</v>
      </c>
      <c r="X48" s="11" t="n">
        <v>68562</v>
      </c>
      <c r="Y48" s="11" t="n">
        <v>-481002</v>
      </c>
      <c r="Z48" s="11" t="n">
        <v>-269776</v>
      </c>
      <c r="AA48" s="11" t="n">
        <v>803084</v>
      </c>
      <c r="AB48" s="11" t="n">
        <v>-3101286</v>
      </c>
      <c r="AC48" s="11" t="n">
        <v>173301526</v>
      </c>
      <c r="AD48" s="11" t="n">
        <v>-65969942</v>
      </c>
      <c r="AE48" s="11" t="n">
        <v>31228188</v>
      </c>
      <c r="AF48" s="11" t="n">
        <v>-10741752</v>
      </c>
      <c r="AG48" s="11" t="n">
        <v>5541042</v>
      </c>
      <c r="AH48" s="11" t="n">
        <v>-4788384</v>
      </c>
      <c r="AI48" s="11" t="n">
        <v>-81139978</v>
      </c>
      <c r="AJ48" s="11" t="n">
        <v>159414128</v>
      </c>
      <c r="AK48" s="11" t="n">
        <v>-46062412</v>
      </c>
      <c r="AL48" s="11" t="n">
        <v>22830176</v>
      </c>
      <c r="AM48" s="11" t="n">
        <v>-54048</v>
      </c>
      <c r="AN48" s="11" t="n">
        <v>-3951200</v>
      </c>
      <c r="AO48" s="11" t="n">
        <v>-1970240</v>
      </c>
      <c r="AP48" s="11" t="n">
        <v>24648752</v>
      </c>
      <c r="AQ48" s="11" t="n">
        <v>-9605456</v>
      </c>
      <c r="AR48" s="11" t="n">
        <v>4426352</v>
      </c>
      <c r="AS48" s="11" t="n">
        <v>-21940000</v>
      </c>
      <c r="AT48" s="11" t="n">
        <v>-585772592</v>
      </c>
      <c r="AU48" s="11" t="n">
        <v>-142412336</v>
      </c>
      <c r="AV48" s="11" t="n">
        <v>-413984684</v>
      </c>
      <c r="AW48" s="11" t="n">
        <v>54076476</v>
      </c>
      <c r="AX48" s="11" t="n">
        <v>81304292</v>
      </c>
      <c r="AY48" s="11" t="n">
        <v>-2410384</v>
      </c>
      <c r="AZ48" s="11" t="n">
        <v>-1556272</v>
      </c>
      <c r="BA48" s="11" t="n">
        <v>24667732</v>
      </c>
      <c r="BB48" s="11" t="n">
        <v>-9358948</v>
      </c>
      <c r="BC48" s="11" t="n">
        <v>4061284</v>
      </c>
      <c r="BD48" s="11" t="n">
        <v>-25904880</v>
      </c>
      <c r="BE48" s="11" t="n">
        <v>704081284</v>
      </c>
      <c r="BF48" s="11" t="n">
        <v>-255814052</v>
      </c>
      <c r="BG48" s="11" t="n">
        <v>99499284</v>
      </c>
      <c r="BH48" s="11" t="n">
        <v>189483232</v>
      </c>
      <c r="BI48" s="11" t="n">
        <v>-64584656</v>
      </c>
      <c r="BJ48" s="11" t="n">
        <v>20594592</v>
      </c>
      <c r="BK48" s="11" t="n">
        <v>-115793852</v>
      </c>
      <c r="BL48" s="11" t="n">
        <v>168044752</v>
      </c>
      <c r="BM48" s="11" t="n">
        <v>-44692004</v>
      </c>
      <c r="BN48" s="11" t="n">
        <v>-352992</v>
      </c>
      <c r="BO48" s="11" t="n">
        <v>-86383644</v>
      </c>
      <c r="BP48" s="11" t="n">
        <v>-7804004</v>
      </c>
      <c r="BQ48" s="11" t="n">
        <v>119328377</v>
      </c>
      <c r="BR48" s="11" t="n">
        <v>-75757221</v>
      </c>
      <c r="BS48" s="11" t="n">
        <v>78285973</v>
      </c>
      <c r="BT48" s="11" t="n">
        <v>143412</v>
      </c>
      <c r="BU48" s="11" t="n">
        <v>-11988</v>
      </c>
      <c r="BV48" s="11" t="n">
        <v>98613</v>
      </c>
      <c r="BW48" s="11" t="n">
        <v>30831</v>
      </c>
      <c r="BX48" s="11" t="n">
        <v>-116895</v>
      </c>
      <c r="BY48" s="11" t="n">
        <v>-6104260</v>
      </c>
      <c r="BZ48" s="11" t="n">
        <v>72612613</v>
      </c>
      <c r="CA48" s="11" t="n">
        <v>-23233389</v>
      </c>
      <c r="CB48" s="11" t="n">
        <v>3199313</v>
      </c>
      <c r="CC48" s="11" t="n">
        <v>-1872372</v>
      </c>
      <c r="CD48" s="11" t="n">
        <v>3254416</v>
      </c>
      <c r="CE48" s="11" t="n">
        <v>-5243012</v>
      </c>
      <c r="CF48" s="11" t="n">
        <v>-31586155</v>
      </c>
      <c r="CG48" s="11" t="n">
        <v>61386392</v>
      </c>
      <c r="CH48" s="11" t="n">
        <v>-18249721</v>
      </c>
      <c r="CI48" s="11" t="n">
        <v>73958436</v>
      </c>
      <c r="CJ48" s="11" t="n">
        <v>5297788</v>
      </c>
      <c r="CK48" s="11" t="n">
        <v>-121076503</v>
      </c>
      <c r="CL48" s="11" t="n">
        <v>73639467</v>
      </c>
      <c r="CM48" s="11" t="n">
        <v>-73976411</v>
      </c>
      <c r="CN48" s="11" t="n">
        <v>-338618716</v>
      </c>
      <c r="CO48" s="11" t="n">
        <v>-4628120180</v>
      </c>
      <c r="CP48" s="11" t="n">
        <v>2148377076</v>
      </c>
      <c r="CQ48" s="11" t="n">
        <v>-1701012568</v>
      </c>
      <c r="CR48" s="11" t="n">
        <v>-885870133</v>
      </c>
      <c r="CS48" s="11" t="n">
        <v>491050785</v>
      </c>
      <c r="CT48" s="11" t="n">
        <v>-460547885</v>
      </c>
      <c r="CU48" s="11" t="n">
        <v>1091076612</v>
      </c>
      <c r="CV48" s="11" t="n">
        <v>-1844536941</v>
      </c>
      <c r="CW48" s="11" t="n">
        <v>455222805</v>
      </c>
      <c r="CX48" s="11" t="n">
        <v>-4664072</v>
      </c>
      <c r="CY48" s="11" t="n">
        <v>69851687</v>
      </c>
      <c r="CZ48" s="11" t="n">
        <v>-23458239</v>
      </c>
      <c r="DA48" s="11" t="n">
        <v>5563111</v>
      </c>
      <c r="DB48" s="11" t="n">
        <v>-2631885</v>
      </c>
      <c r="DC48" s="11" t="n">
        <v>2963597</v>
      </c>
      <c r="DD48" s="11" t="n">
        <v>-4266709</v>
      </c>
      <c r="DE48" s="11" t="n">
        <v>-31147217</v>
      </c>
      <c r="DF48" s="11" t="n">
        <v>60761359</v>
      </c>
      <c r="DG48" s="11" t="n">
        <v>-17924822</v>
      </c>
      <c r="DH48" s="11" t="n">
        <v>-611681057</v>
      </c>
      <c r="DI48" s="11" t="n">
        <v>242887561</v>
      </c>
      <c r="DJ48" s="11" t="n">
        <v>-132742377</v>
      </c>
      <c r="DK48" s="11" t="n">
        <v>-561128872</v>
      </c>
      <c r="DL48" s="11" t="n">
        <v>1258434551</v>
      </c>
      <c r="DM48" s="11" t="n">
        <v>-377929831</v>
      </c>
      <c r="DN48" s="11" t="n">
        <v>-251609327</v>
      </c>
      <c r="DO48" s="11" t="n">
        <v>484662844</v>
      </c>
      <c r="DP48" s="11" t="n">
        <v>-137848565</v>
      </c>
      <c r="DQ48" s="11" t="n">
        <v>-73037337</v>
      </c>
      <c r="DR48" s="11" t="n">
        <v>583618</v>
      </c>
      <c r="DS48" s="11" t="n">
        <v>1082</v>
      </c>
      <c r="DT48" s="11" t="n">
        <v>-512614</v>
      </c>
      <c r="DU48" s="11" t="n">
        <v>-16392</v>
      </c>
      <c r="DV48" s="11" t="n">
        <v>53264</v>
      </c>
      <c r="DW48" s="11" t="n">
        <v>-17514</v>
      </c>
      <c r="DX48" s="11" t="n">
        <v>133248</v>
      </c>
      <c r="DY48" s="11" t="n">
        <v>-302382</v>
      </c>
      <c r="DZ48" s="11" t="n">
        <v>-58159168</v>
      </c>
      <c r="EA48" s="11" t="n">
        <v>-76074</v>
      </c>
      <c r="EB48" s="11" t="n">
        <v>-71103738</v>
      </c>
      <c r="EC48" s="11" t="n">
        <v>25307170</v>
      </c>
      <c r="ED48" s="11" t="n">
        <v>4186752</v>
      </c>
      <c r="EE48" s="11" t="n">
        <v>-373418</v>
      </c>
      <c r="EF48" s="11" t="n">
        <v>-8634</v>
      </c>
      <c r="EG48" s="11" t="n">
        <v>-104226</v>
      </c>
      <c r="EH48" s="11" t="n">
        <v>37844</v>
      </c>
      <c r="EI48" s="11" t="n">
        <v>76800</v>
      </c>
      <c r="EJ48" s="11" t="n">
        <v>-1566690</v>
      </c>
      <c r="EK48" s="11" t="n">
        <v>67761038</v>
      </c>
      <c r="EL48" s="11" t="n">
        <v>-23973574</v>
      </c>
      <c r="EM48" s="11" t="n">
        <v>9601152</v>
      </c>
      <c r="EN48" s="11" t="n">
        <v>2004024</v>
      </c>
      <c r="EO48" s="11" t="n">
        <v>-713082</v>
      </c>
      <c r="EP48" s="11" t="n">
        <v>-100224</v>
      </c>
      <c r="EQ48" s="11" t="n">
        <v>175886</v>
      </c>
      <c r="ER48" s="11" t="n">
        <v>16616064</v>
      </c>
      <c r="ES48" s="11" t="n">
        <v>-5903616</v>
      </c>
      <c r="ET48" s="11" t="n">
        <v>6284</v>
      </c>
      <c r="EU48" s="11" t="n">
        <v>-4765752</v>
      </c>
      <c r="EV48" s="11" t="n">
        <v>11598</v>
      </c>
      <c r="EW48" s="11" t="n">
        <v>-533719</v>
      </c>
      <c r="EX48" s="11" t="n">
        <v>-519743</v>
      </c>
      <c r="EY48" s="11" t="n">
        <v>2126119</v>
      </c>
      <c r="EZ48" s="11" t="n">
        <v>-3316</v>
      </c>
      <c r="FA48" s="11" t="n">
        <v>198</v>
      </c>
      <c r="FB48" s="11" t="n">
        <v>-1563</v>
      </c>
      <c r="FC48" s="11" t="n">
        <v>-775</v>
      </c>
      <c r="FD48" s="11" t="n">
        <v>2507</v>
      </c>
      <c r="FE48" s="11" t="n">
        <v>-144042</v>
      </c>
      <c r="FF48" s="11" t="n">
        <v>903733</v>
      </c>
      <c r="FG48" s="11" t="n">
        <v>313493</v>
      </c>
      <c r="FH48" s="11" t="n">
        <v>-779365</v>
      </c>
      <c r="FI48" s="11" t="n">
        <v>13932</v>
      </c>
      <c r="FJ48" s="11" t="n">
        <v>14946</v>
      </c>
      <c r="FK48" s="11" t="n">
        <v>-62364</v>
      </c>
      <c r="FL48" s="11" t="n">
        <v>-63451</v>
      </c>
      <c r="FM48" s="11" t="n">
        <v>315896</v>
      </c>
      <c r="FN48" s="11" t="n">
        <v>54861</v>
      </c>
      <c r="FO48" s="11" t="n">
        <v>3095432</v>
      </c>
      <c r="FP48" s="11" t="n">
        <v>-5190</v>
      </c>
      <c r="FQ48" s="11" t="n">
        <v>1042125</v>
      </c>
      <c r="FR48" s="11" t="n">
        <v>-3203</v>
      </c>
      <c r="FS48" s="11" t="n">
        <v>-1146657</v>
      </c>
      <c r="FT48" s="11" t="n">
        <v>-1776984</v>
      </c>
      <c r="FU48" s="11" t="n">
        <v>-527437688</v>
      </c>
      <c r="FV48" s="11" t="n">
        <v>258449048</v>
      </c>
      <c r="FW48" s="11" t="n">
        <v>-177685216</v>
      </c>
      <c r="FX48" s="11" t="n">
        <v>1482585</v>
      </c>
      <c r="FY48" s="11" t="n">
        <v>-435171</v>
      </c>
      <c r="FZ48" s="11" t="n">
        <v>-360339</v>
      </c>
      <c r="GA48" s="11" t="n">
        <v>86465098</v>
      </c>
      <c r="GB48" s="11" t="n">
        <v>-255201963</v>
      </c>
      <c r="GC48" s="11" t="n">
        <v>95922487</v>
      </c>
      <c r="GD48" s="11" t="n">
        <v>-94794</v>
      </c>
      <c r="GE48" s="11" t="n">
        <v>219999</v>
      </c>
      <c r="GF48" s="11" t="n">
        <v>383447</v>
      </c>
      <c r="GG48" s="11" t="n">
        <v>-629843</v>
      </c>
      <c r="GH48" s="11" t="n">
        <v>31545</v>
      </c>
      <c r="GI48" s="11" t="n">
        <v>-741</v>
      </c>
      <c r="GJ48" s="11" t="n">
        <v>-34059</v>
      </c>
      <c r="GK48" s="11" t="n">
        <v>129321</v>
      </c>
      <c r="GL48" s="11" t="n">
        <v>-130551</v>
      </c>
      <c r="GM48" s="11" t="n">
        <v>142694</v>
      </c>
      <c r="GN48" s="11" t="n">
        <v>-16278459</v>
      </c>
      <c r="GO48" s="11" t="n">
        <v>7694577</v>
      </c>
      <c r="GP48" s="11" t="n">
        <v>-5079831</v>
      </c>
      <c r="GQ48" s="11" t="n">
        <v>-83704934</v>
      </c>
      <c r="GR48" s="11" t="n">
        <v>119948849</v>
      </c>
      <c r="GS48" s="11" t="n">
        <v>-30577141</v>
      </c>
      <c r="GT48" s="11" t="n">
        <v>-2433309</v>
      </c>
      <c r="GU48" s="11" t="n">
        <v>7539204</v>
      </c>
      <c r="GV48" s="11" t="n">
        <v>-2804331</v>
      </c>
      <c r="GW48" s="11" t="n">
        <v>20837105</v>
      </c>
      <c r="GX48" s="11" t="n">
        <v>-111904</v>
      </c>
      <c r="GY48" s="11" t="n">
        <v>18696036</v>
      </c>
      <c r="GZ48" s="11" t="n">
        <v>-1543172</v>
      </c>
      <c r="HA48" s="11" t="n">
        <v>26201353</v>
      </c>
      <c r="HB48" s="11" t="n">
        <v>-10357781</v>
      </c>
      <c r="HC48" s="11" t="n">
        <v>-912763</v>
      </c>
      <c r="HD48" s="11" t="n">
        <v>-63628</v>
      </c>
      <c r="HE48" s="11" t="n">
        <v>-6004</v>
      </c>
      <c r="HF48" s="11" t="n">
        <v>58789</v>
      </c>
      <c r="HG48" s="11" t="n">
        <v>-22561</v>
      </c>
      <c r="HH48" s="11" t="n">
        <v>23857</v>
      </c>
      <c r="HI48" s="11" t="n">
        <v>1880540</v>
      </c>
      <c r="HJ48" s="11" t="n">
        <v>-24719947</v>
      </c>
      <c r="HK48" s="11" t="n">
        <v>9658691</v>
      </c>
      <c r="HL48" s="11" t="n">
        <v>-3466847</v>
      </c>
      <c r="HM48" s="11" t="n">
        <v>-595076</v>
      </c>
      <c r="HN48" s="11" t="n">
        <v>244608</v>
      </c>
      <c r="HO48" s="11" t="n">
        <v>377964</v>
      </c>
      <c r="HP48" s="11" t="n">
        <v>-159019</v>
      </c>
      <c r="HQ48" s="11" t="n">
        <v>-6065432</v>
      </c>
      <c r="HR48" s="11" t="n">
        <v>2392215</v>
      </c>
      <c r="HS48" s="11" t="n">
        <v>-20838268</v>
      </c>
      <c r="HT48" s="11" t="n">
        <v>784956</v>
      </c>
      <c r="HU48" s="11" t="n">
        <v>-27208911</v>
      </c>
      <c r="HV48" s="11" t="n">
        <v>10218979</v>
      </c>
      <c r="HW48" s="11" t="n">
        <v>1275693</v>
      </c>
      <c r="HX48" s="11" t="n">
        <v>156218420</v>
      </c>
      <c r="HY48" s="11" t="n">
        <v>-333250252</v>
      </c>
      <c r="HZ48" s="11" t="n">
        <v>221473916</v>
      </c>
      <c r="IA48" s="11" t="n">
        <v>-43162016</v>
      </c>
      <c r="IB48" s="11" t="n">
        <v>-191424081</v>
      </c>
      <c r="IC48" s="11" t="n">
        <v>68266013</v>
      </c>
      <c r="ID48" s="11" t="n">
        <v>11189367</v>
      </c>
      <c r="IE48" s="11" t="n">
        <v>125758376</v>
      </c>
      <c r="IF48" s="11" t="n">
        <v>-76758609</v>
      </c>
      <c r="IG48" s="11" t="n">
        <v>34724789</v>
      </c>
      <c r="IH48" s="11" t="n">
        <v>1564360</v>
      </c>
      <c r="II48" s="11" t="n">
        <v>-26418265</v>
      </c>
      <c r="IJ48" s="11" t="n">
        <v>10011665</v>
      </c>
      <c r="IK48" s="11" t="n">
        <v>-3717193</v>
      </c>
      <c r="IL48" s="11" t="n">
        <v>-1047465</v>
      </c>
      <c r="IM48" s="11" t="n">
        <v>390025</v>
      </c>
      <c r="IN48" s="11" t="n">
        <v>235791</v>
      </c>
      <c r="IO48" s="11" t="n">
        <v>117035</v>
      </c>
      <c r="IP48" s="11" t="n">
        <v>-6470901</v>
      </c>
      <c r="IQ48" s="11" t="n">
        <v>2435794</v>
      </c>
      <c r="IR48" s="11" t="n">
        <v>173032435</v>
      </c>
      <c r="IS48" s="11" t="n">
        <v>-58428155</v>
      </c>
      <c r="IT48" s="11" t="n">
        <v>24626475</v>
      </c>
      <c r="IU48" s="11" t="n">
        <v>-120670620</v>
      </c>
      <c r="IV48" s="11" t="n">
        <v>-4726397</v>
      </c>
      <c r="IW48" s="11" t="n">
        <v>18770161</v>
      </c>
      <c r="IX48" s="11" t="n">
        <v>-4017955</v>
      </c>
      <c r="IY48" s="11" t="n">
        <v>-42570036</v>
      </c>
      <c r="IZ48" s="11" t="n">
        <v>14946543</v>
      </c>
      <c r="JA48" s="11" t="n">
        <v>29578051</v>
      </c>
      <c r="JB48" s="11" t="n">
        <v>-712488</v>
      </c>
      <c r="JC48" s="11" t="n">
        <v>-14392</v>
      </c>
      <c r="JD48" s="11" t="n">
        <v>179782</v>
      </c>
      <c r="JE48" s="11" t="n">
        <v>-211182</v>
      </c>
      <c r="JF48" s="11" t="n">
        <v>397838</v>
      </c>
      <c r="JG48" s="11" t="n">
        <v>12229812</v>
      </c>
      <c r="JH48" s="11" t="n">
        <v>-196859454</v>
      </c>
      <c r="JI48" s="11" t="n">
        <v>101230170</v>
      </c>
      <c r="JJ48" s="11" t="n">
        <v>-60656106</v>
      </c>
      <c r="JK48" s="11" t="n">
        <v>-890543</v>
      </c>
      <c r="JL48" s="11" t="n">
        <v>-1580113</v>
      </c>
      <c r="JM48" s="11" t="n">
        <v>5603633</v>
      </c>
      <c r="JN48" s="11" t="n">
        <v>32805901</v>
      </c>
      <c r="JO48" s="11" t="n">
        <v>-94616745</v>
      </c>
      <c r="JP48" s="11" t="n">
        <v>38546236</v>
      </c>
      <c r="JQ48" s="11" t="n">
        <v>30044</v>
      </c>
      <c r="JR48" s="11" t="n">
        <v>-272084</v>
      </c>
      <c r="JS48" s="11" t="n">
        <v>23568</v>
      </c>
      <c r="JT48" s="11" t="n">
        <v>74312</v>
      </c>
      <c r="JU48" s="11" t="n">
        <v>2085</v>
      </c>
      <c r="JV48" s="11" t="n">
        <v>-8429</v>
      </c>
      <c r="JW48" s="11" t="n">
        <v>18277</v>
      </c>
      <c r="JX48" s="11" t="n">
        <v>74699</v>
      </c>
      <c r="JY48" s="11" t="n">
        <v>-170677</v>
      </c>
      <c r="JZ48" s="11" t="n">
        <v>35186</v>
      </c>
      <c r="KA48" s="11" t="n">
        <v>-3630811</v>
      </c>
      <c r="KB48" s="11" t="n">
        <v>3864103</v>
      </c>
      <c r="KC48" s="11" t="n">
        <v>-3833291</v>
      </c>
      <c r="KD48" s="11" t="n">
        <v>-32145841</v>
      </c>
      <c r="KE48" s="11" t="n">
        <v>43695579</v>
      </c>
      <c r="KF48" s="11" t="n">
        <v>-12564646</v>
      </c>
      <c r="KG48" s="11" t="n">
        <v>-750481</v>
      </c>
      <c r="KH48" s="11" t="n">
        <v>1942748</v>
      </c>
      <c r="KI48" s="11" t="n">
        <v>-1275243</v>
      </c>
      <c r="KJ48" s="11" t="n">
        <v>8168579</v>
      </c>
      <c r="KK48" s="11" t="n">
        <v>-7677796</v>
      </c>
      <c r="KL48" s="11" t="n">
        <v>206716186</v>
      </c>
      <c r="KM48" s="11" t="n">
        <v>-104389182</v>
      </c>
      <c r="KN48" s="11" t="n">
        <v>65961350</v>
      </c>
      <c r="KO48" s="11" t="n">
        <v>2238255</v>
      </c>
      <c r="KP48" s="11" t="n">
        <v>167081</v>
      </c>
      <c r="KQ48" s="11" t="n">
        <v>-2954721</v>
      </c>
      <c r="KR48" s="11" t="n">
        <v>-34930331</v>
      </c>
      <c r="KS48" s="11" t="n">
        <v>98781861</v>
      </c>
      <c r="KT48" s="11" t="n">
        <v>-38737682</v>
      </c>
      <c r="KU48" s="11" t="n">
        <v>-1426905946</v>
      </c>
      <c r="KV48" s="11" t="n">
        <v>700973878</v>
      </c>
      <c r="KW48" s="11" t="n">
        <v>-478590098</v>
      </c>
      <c r="KX48" s="11" t="n">
        <v>527612084</v>
      </c>
      <c r="KY48" s="11" t="n">
        <v>626700318</v>
      </c>
      <c r="KZ48" s="11" t="n">
        <v>-484832566</v>
      </c>
      <c r="LA48" s="11" t="n">
        <v>-235401821</v>
      </c>
      <c r="LB48" s="11" t="n">
        <v>688650186</v>
      </c>
      <c r="LC48" s="11" t="n">
        <v>-259347725</v>
      </c>
      <c r="LD48" s="11" t="n">
        <v>-358023987</v>
      </c>
      <c r="LE48" s="11" t="n">
        <v>-5784765</v>
      </c>
      <c r="LF48" s="11" t="n">
        <v>4147885</v>
      </c>
      <c r="LG48" s="11" t="n">
        <v>-3582229</v>
      </c>
      <c r="LH48" s="11" t="n">
        <v>-33026155</v>
      </c>
      <c r="LI48" s="11" t="n">
        <v>46749589</v>
      </c>
      <c r="LJ48" s="11" t="n">
        <v>-13069618</v>
      </c>
      <c r="LK48" s="11" t="n">
        <v>-1335090</v>
      </c>
      <c r="LL48" s="11" t="n">
        <v>3270510</v>
      </c>
      <c r="LM48" s="11" t="n">
        <v>-1518316</v>
      </c>
      <c r="LN48" s="11" t="n">
        <v>7882336</v>
      </c>
      <c r="LO48" s="11" t="n">
        <v>242735365</v>
      </c>
      <c r="LP48" s="11" t="n">
        <v>-305162134</v>
      </c>
      <c r="LQ48" s="11" t="n">
        <v>68497817</v>
      </c>
      <c r="LR48" s="11" t="n">
        <v>219446531</v>
      </c>
      <c r="LS48" s="11" t="n">
        <v>66804706</v>
      </c>
    </row>
    <row r="49" customFormat="false" ht="15" hidden="false" customHeight="true" outlineLevel="0" collapsed="false">
      <c r="A49" s="7" t="s">
        <v>115</v>
      </c>
      <c r="B49" s="11" t="n">
        <v>-3107290</v>
      </c>
      <c r="C49" s="11" t="n">
        <v>227361144</v>
      </c>
      <c r="D49" s="11" t="n">
        <v>-1297262</v>
      </c>
      <c r="E49" s="11" t="n">
        <v>-286959048</v>
      </c>
      <c r="F49" s="11" t="n">
        <v>-3546026</v>
      </c>
      <c r="G49" s="11" t="n">
        <v>-231110042</v>
      </c>
      <c r="H49" s="11" t="n">
        <v>133083714</v>
      </c>
      <c r="I49" s="11" t="n">
        <v>40000744</v>
      </c>
      <c r="J49" s="11" t="n">
        <v>-30010748</v>
      </c>
      <c r="K49" s="11" t="n">
        <v>-20076</v>
      </c>
      <c r="L49" s="11" t="n">
        <v>-3315884</v>
      </c>
      <c r="M49" s="11" t="n">
        <v>841892</v>
      </c>
      <c r="N49" s="11" t="n">
        <v>-8031501</v>
      </c>
      <c r="O49" s="11" t="n">
        <v>-1966543</v>
      </c>
      <c r="P49" s="11" t="n">
        <v>5129517</v>
      </c>
      <c r="Q49" s="11" t="n">
        <v>13998148</v>
      </c>
      <c r="R49" s="11" t="n">
        <v>3014124480</v>
      </c>
      <c r="S49" s="11" t="n">
        <v>-27353300</v>
      </c>
      <c r="T49" s="11" t="n">
        <v>2819767864</v>
      </c>
      <c r="U49" s="11" t="n">
        <v>-1141453272</v>
      </c>
      <c r="V49" s="11" t="n">
        <v>-761662124</v>
      </c>
      <c r="W49" s="11" t="n">
        <v>469676</v>
      </c>
      <c r="X49" s="11" t="n">
        <v>374392</v>
      </c>
      <c r="Y49" s="11" t="n">
        <v>-1859883</v>
      </c>
      <c r="Z49" s="11" t="n">
        <v>-1680857</v>
      </c>
      <c r="AA49" s="11" t="n">
        <v>1883079</v>
      </c>
      <c r="AB49" s="11" t="n">
        <v>81533020</v>
      </c>
      <c r="AC49" s="11" t="n">
        <v>-495086648</v>
      </c>
      <c r="AD49" s="11" t="n">
        <v>-323628456</v>
      </c>
      <c r="AE49" s="11" t="n">
        <v>431026228</v>
      </c>
      <c r="AF49" s="11" t="n">
        <v>-71782681</v>
      </c>
      <c r="AG49" s="11" t="n">
        <v>33813613</v>
      </c>
      <c r="AH49" s="11" t="n">
        <v>16691621</v>
      </c>
      <c r="AI49" s="11" t="n">
        <v>-490250288</v>
      </c>
      <c r="AJ49" s="11" t="n">
        <v>278125593</v>
      </c>
      <c r="AK49" s="11" t="n">
        <v>-245010397</v>
      </c>
      <c r="AL49" s="11" t="n">
        <v>-101690958</v>
      </c>
      <c r="AM49" s="11" t="n">
        <v>-736566</v>
      </c>
      <c r="AN49" s="11" t="n">
        <v>91270366</v>
      </c>
      <c r="AO49" s="11" t="n">
        <v>-6783868</v>
      </c>
      <c r="AP49" s="11" t="n">
        <v>74617349</v>
      </c>
      <c r="AQ49" s="11" t="n">
        <v>-54362283</v>
      </c>
      <c r="AR49" s="11" t="n">
        <v>-13069503</v>
      </c>
      <c r="AS49" s="11" t="n">
        <v>96349650</v>
      </c>
      <c r="AT49" s="11" t="n">
        <v>2712912432</v>
      </c>
      <c r="AU49" s="11" t="n">
        <v>612426510</v>
      </c>
      <c r="AV49" s="11" t="n">
        <v>2103670962</v>
      </c>
      <c r="AW49" s="11" t="n">
        <v>-377672994</v>
      </c>
      <c r="AX49" s="11" t="n">
        <v>-352788708</v>
      </c>
      <c r="AY49" s="11" t="n">
        <v>106126514</v>
      </c>
      <c r="AZ49" s="11" t="n">
        <v>-1991630</v>
      </c>
      <c r="BA49" s="11" t="n">
        <v>85935349</v>
      </c>
      <c r="BB49" s="11" t="n">
        <v>-54242463</v>
      </c>
      <c r="BC49" s="11" t="n">
        <v>-14938341</v>
      </c>
      <c r="BD49" s="11" t="n">
        <v>-730649342</v>
      </c>
      <c r="BE49" s="11" t="n">
        <v>102541222</v>
      </c>
      <c r="BF49" s="11" t="n">
        <v>-1111305894</v>
      </c>
      <c r="BG49" s="11" t="n">
        <v>-32030996</v>
      </c>
      <c r="BH49" s="11" t="n">
        <v>589714857</v>
      </c>
      <c r="BI49" s="11" t="n">
        <v>-352587759</v>
      </c>
      <c r="BJ49" s="11" t="n">
        <v>-102244903</v>
      </c>
      <c r="BK49" s="11" t="n">
        <v>-847463730</v>
      </c>
      <c r="BL49" s="11" t="n">
        <v>-11503243</v>
      </c>
      <c r="BM49" s="11" t="n">
        <v>-140055729</v>
      </c>
      <c r="BN49" s="11" t="n">
        <v>-6456864</v>
      </c>
      <c r="BO49" s="11" t="n">
        <v>990022616</v>
      </c>
      <c r="BP49" s="11" t="n">
        <v>-93072020</v>
      </c>
      <c r="BQ49" s="11" t="n">
        <v>983510869</v>
      </c>
      <c r="BR49" s="11" t="n">
        <v>-460682181</v>
      </c>
      <c r="BS49" s="11" t="n">
        <v>-294099057</v>
      </c>
      <c r="BT49" s="11" t="n">
        <v>1375704</v>
      </c>
      <c r="BU49" s="11" t="n">
        <v>-243396</v>
      </c>
      <c r="BV49" s="11" t="n">
        <v>2385921</v>
      </c>
      <c r="BW49" s="11" t="n">
        <v>114927</v>
      </c>
      <c r="BX49" s="11" t="n">
        <v>-1300365</v>
      </c>
      <c r="BY49" s="11" t="n">
        <v>17489604</v>
      </c>
      <c r="BZ49" s="11" t="n">
        <v>-156282665</v>
      </c>
      <c r="CA49" s="11" t="n">
        <v>-115774879</v>
      </c>
      <c r="CB49" s="11" t="n">
        <v>136722333</v>
      </c>
      <c r="CC49" s="11" t="n">
        <v>-2682436</v>
      </c>
      <c r="CD49" s="11" t="n">
        <v>19022344</v>
      </c>
      <c r="CE49" s="11" t="n">
        <v>-7657752</v>
      </c>
      <c r="CF49" s="11" t="n">
        <v>-187735601</v>
      </c>
      <c r="CG49" s="11" t="n">
        <v>89397267</v>
      </c>
      <c r="CH49" s="11" t="n">
        <v>-98012736</v>
      </c>
      <c r="CI49" s="11" t="n">
        <v>-1110278056</v>
      </c>
      <c r="CJ49" s="11" t="n">
        <v>49297420</v>
      </c>
      <c r="CK49" s="11" t="n">
        <v>-1065424571</v>
      </c>
      <c r="CL49" s="11" t="n">
        <v>460465227</v>
      </c>
      <c r="CM49" s="11" t="n">
        <v>301051839</v>
      </c>
      <c r="CN49" s="11" t="n">
        <v>8445316600</v>
      </c>
      <c r="CO49" s="11" t="n">
        <v>-5757611552</v>
      </c>
      <c r="CP49" s="11" t="n">
        <v>8613210336</v>
      </c>
      <c r="CQ49" s="11" t="n">
        <v>4411367512</v>
      </c>
      <c r="CR49" s="11" t="n">
        <v>-7848495585</v>
      </c>
      <c r="CS49" s="11" t="n">
        <v>3120088305</v>
      </c>
      <c r="CT49" s="11" t="n">
        <v>2094078185</v>
      </c>
      <c r="CU49" s="11" t="n">
        <v>5877397992</v>
      </c>
      <c r="CV49" s="11" t="n">
        <v>2671979129</v>
      </c>
      <c r="CW49" s="11" t="n">
        <v>505946655</v>
      </c>
      <c r="CX49" s="11" t="n">
        <v>31349364</v>
      </c>
      <c r="CY49" s="11" t="n">
        <v>-183266503</v>
      </c>
      <c r="CZ49" s="11" t="n">
        <v>-117869105</v>
      </c>
      <c r="DA49" s="11" t="n">
        <v>159459531</v>
      </c>
      <c r="DB49" s="11" t="n">
        <v>-21945689</v>
      </c>
      <c r="DC49" s="11" t="n">
        <v>18235013</v>
      </c>
      <c r="DD49" s="11" t="n">
        <v>1420221</v>
      </c>
      <c r="DE49" s="11" t="n">
        <v>-189113431</v>
      </c>
      <c r="DF49" s="11" t="n">
        <v>103324914</v>
      </c>
      <c r="DG49" s="11" t="n">
        <v>-98092797</v>
      </c>
      <c r="DH49" s="11" t="n">
        <v>1231444837</v>
      </c>
      <c r="DI49" s="11" t="n">
        <v>1139769059</v>
      </c>
      <c r="DJ49" s="11" t="n">
        <v>-1088369397</v>
      </c>
      <c r="DK49" s="11" t="n">
        <v>-2032965928</v>
      </c>
      <c r="DL49" s="11" t="n">
        <v>98759171</v>
      </c>
      <c r="DM49" s="11" t="n">
        <v>-1705358771</v>
      </c>
      <c r="DN49" s="11" t="n">
        <v>-1514175213</v>
      </c>
      <c r="DO49" s="11" t="n">
        <v>706109779</v>
      </c>
      <c r="DP49" s="11" t="n">
        <v>-684707800</v>
      </c>
      <c r="DQ49" s="11" t="n">
        <v>-1044267997</v>
      </c>
      <c r="DR49" s="11" t="n">
        <v>-90300</v>
      </c>
      <c r="DS49" s="11" t="n">
        <v>560</v>
      </c>
      <c r="DT49" s="11" t="n">
        <v>-1406980</v>
      </c>
      <c r="DU49" s="11" t="n">
        <v>-19150</v>
      </c>
      <c r="DV49" s="11" t="n">
        <v>-855070</v>
      </c>
      <c r="DW49" s="11" t="n">
        <v>-31820</v>
      </c>
      <c r="DX49" s="11" t="n">
        <v>207950</v>
      </c>
      <c r="DY49" s="11" t="n">
        <v>-3276</v>
      </c>
      <c r="DZ49" s="11" t="n">
        <v>111288288</v>
      </c>
      <c r="EA49" s="11" t="n">
        <v>1504260</v>
      </c>
      <c r="EB49" s="11" t="n">
        <v>69281892</v>
      </c>
      <c r="EC49" s="11" t="n">
        <v>-1539228</v>
      </c>
      <c r="ED49" s="11" t="n">
        <v>-16378200</v>
      </c>
      <c r="EE49" s="11" t="n">
        <v>-639116</v>
      </c>
      <c r="EF49" s="11" t="n">
        <v>-8634</v>
      </c>
      <c r="EG49" s="11" t="n">
        <v>-398634</v>
      </c>
      <c r="EH49" s="11" t="n">
        <v>10700</v>
      </c>
      <c r="EI49" s="11" t="n">
        <v>94026</v>
      </c>
      <c r="EJ49" s="11" t="n">
        <v>-162868</v>
      </c>
      <c r="EK49" s="11" t="n">
        <v>25680620</v>
      </c>
      <c r="EL49" s="11" t="n">
        <v>-63198852</v>
      </c>
      <c r="EM49" s="11" t="n">
        <v>1091912</v>
      </c>
      <c r="EN49" s="11" t="n">
        <v>448512</v>
      </c>
      <c r="EO49" s="11" t="n">
        <v>-856498</v>
      </c>
      <c r="EP49" s="11" t="n">
        <v>-9210</v>
      </c>
      <c r="EQ49" s="11" t="n">
        <v>-38988898</v>
      </c>
      <c r="ER49" s="11" t="n">
        <v>4459158</v>
      </c>
      <c r="ES49" s="11" t="n">
        <v>-9316022</v>
      </c>
      <c r="ET49" s="11" t="n">
        <v>5992</v>
      </c>
      <c r="EU49" s="11" t="n">
        <v>-13492496</v>
      </c>
      <c r="EV49" s="11" t="n">
        <v>-209420</v>
      </c>
      <c r="EW49" s="11" t="n">
        <v>-8025014</v>
      </c>
      <c r="EX49" s="11" t="n">
        <v>-250174</v>
      </c>
      <c r="EY49" s="11" t="n">
        <v>1859350</v>
      </c>
      <c r="EZ49" s="11" t="n">
        <v>-9688</v>
      </c>
      <c r="FA49" s="11" t="n">
        <v>28</v>
      </c>
      <c r="FB49" s="11" t="n">
        <v>-6972</v>
      </c>
      <c r="FC49" s="11" t="n">
        <v>-560</v>
      </c>
      <c r="FD49" s="11" t="n">
        <v>2268</v>
      </c>
      <c r="FE49" s="11" t="n">
        <v>-401644</v>
      </c>
      <c r="FF49" s="11" t="n">
        <v>2724190</v>
      </c>
      <c r="FG49" s="11" t="n">
        <v>856494</v>
      </c>
      <c r="FH49" s="11" t="n">
        <v>-2100734</v>
      </c>
      <c r="FI49" s="11" t="n">
        <v>281171</v>
      </c>
      <c r="FJ49" s="11" t="n">
        <v>20741</v>
      </c>
      <c r="FK49" s="11" t="n">
        <v>-87955</v>
      </c>
      <c r="FL49" s="11" t="n">
        <v>458911</v>
      </c>
      <c r="FM49" s="11" t="n">
        <v>-874056</v>
      </c>
      <c r="FN49" s="11" t="n">
        <v>79079</v>
      </c>
      <c r="FO49" s="11" t="n">
        <v>6895216</v>
      </c>
      <c r="FP49" s="11" t="n">
        <v>92220</v>
      </c>
      <c r="FQ49" s="11" t="n">
        <v>4306170</v>
      </c>
      <c r="FR49" s="11" t="n">
        <v>-111214</v>
      </c>
      <c r="FS49" s="11" t="n">
        <v>-1019346</v>
      </c>
      <c r="FT49" s="11" t="n">
        <v>33330800</v>
      </c>
      <c r="FU49" s="11" t="n">
        <v>-461745088</v>
      </c>
      <c r="FV49" s="11" t="n">
        <v>538310784</v>
      </c>
      <c r="FW49" s="11" t="n">
        <v>155691248</v>
      </c>
      <c r="FX49" s="11" t="n">
        <v>-26991210</v>
      </c>
      <c r="FY49" s="11" t="n">
        <v>7737230</v>
      </c>
      <c r="FZ49" s="11" t="n">
        <v>7009710</v>
      </c>
      <c r="GA49" s="11" t="n">
        <v>328735928</v>
      </c>
      <c r="GB49" s="11" t="n">
        <v>28970082</v>
      </c>
      <c r="GC49" s="11" t="n">
        <v>77069362</v>
      </c>
      <c r="GD49" s="11" t="n">
        <v>-181324</v>
      </c>
      <c r="GE49" s="11" t="n">
        <v>1060626</v>
      </c>
      <c r="GF49" s="11" t="n">
        <v>824226</v>
      </c>
      <c r="GG49" s="11" t="n">
        <v>-961770</v>
      </c>
      <c r="GH49" s="11" t="n">
        <v>127425</v>
      </c>
      <c r="GI49" s="11" t="n">
        <v>8099</v>
      </c>
      <c r="GJ49" s="11" t="n">
        <v>-39669</v>
      </c>
      <c r="GK49" s="11" t="n">
        <v>531849</v>
      </c>
      <c r="GL49" s="11" t="n">
        <v>-443844</v>
      </c>
      <c r="GM49" s="11" t="n">
        <v>137361</v>
      </c>
      <c r="GN49" s="11" t="n">
        <v>-7015582</v>
      </c>
      <c r="GO49" s="11" t="n">
        <v>18140226</v>
      </c>
      <c r="GP49" s="11" t="n">
        <v>-554878</v>
      </c>
      <c r="GQ49" s="11" t="n">
        <v>-137998392</v>
      </c>
      <c r="GR49" s="11" t="n">
        <v>40457382</v>
      </c>
      <c r="GS49" s="11" t="n">
        <v>-93696258</v>
      </c>
      <c r="GT49" s="11" t="n">
        <v>-13061357</v>
      </c>
      <c r="GU49" s="11" t="n">
        <v>1924767</v>
      </c>
      <c r="GV49" s="11" t="n">
        <v>-3943828</v>
      </c>
      <c r="GW49" s="11" t="n">
        <v>-37461405</v>
      </c>
      <c r="GX49" s="11" t="n">
        <v>39732</v>
      </c>
      <c r="GY49" s="11" t="n">
        <v>-48698016</v>
      </c>
      <c r="GZ49" s="11" t="n">
        <v>-429570</v>
      </c>
      <c r="HA49" s="11" t="n">
        <v>-30151944</v>
      </c>
      <c r="HB49" s="11" t="n">
        <v>538446</v>
      </c>
      <c r="HC49" s="11" t="n">
        <v>7185300</v>
      </c>
      <c r="HD49" s="11" t="n">
        <v>-317068</v>
      </c>
      <c r="HE49" s="11" t="n">
        <v>-5762</v>
      </c>
      <c r="HF49" s="11" t="n">
        <v>-189242</v>
      </c>
      <c r="HG49" s="11" t="n">
        <v>-17340</v>
      </c>
      <c r="HH49" s="11" t="n">
        <v>46938</v>
      </c>
      <c r="HI49" s="11" t="n">
        <v>3634226</v>
      </c>
      <c r="HJ49" s="11" t="n">
        <v>-8670760</v>
      </c>
      <c r="HK49" s="11" t="n">
        <v>25549874</v>
      </c>
      <c r="HL49" s="11" t="n">
        <v>-190244</v>
      </c>
      <c r="HM49" s="11" t="n">
        <v>-2326659</v>
      </c>
      <c r="HN49" s="11" t="n">
        <v>265561</v>
      </c>
      <c r="HO49" s="11" t="n">
        <v>534545</v>
      </c>
      <c r="HP49" s="11" t="n">
        <v>15723631</v>
      </c>
      <c r="HQ49" s="11" t="n">
        <v>-1397146</v>
      </c>
      <c r="HR49" s="11" t="n">
        <v>3771939</v>
      </c>
      <c r="HS49" s="11" t="n">
        <v>47200128</v>
      </c>
      <c r="HT49" s="11" t="n">
        <v>646290</v>
      </c>
      <c r="HU49" s="11" t="n">
        <v>29390148</v>
      </c>
      <c r="HV49" s="11" t="n">
        <v>-657726</v>
      </c>
      <c r="HW49" s="11" t="n">
        <v>-6945732</v>
      </c>
      <c r="HX49" s="11" t="n">
        <v>-281820240</v>
      </c>
      <c r="HY49" s="11" t="n">
        <v>-203017248</v>
      </c>
      <c r="HZ49" s="11" t="n">
        <v>166496304</v>
      </c>
      <c r="IA49" s="11" t="n">
        <v>-22745184</v>
      </c>
      <c r="IB49" s="11" t="n">
        <v>172701450</v>
      </c>
      <c r="IC49" s="11" t="n">
        <v>-1647360</v>
      </c>
      <c r="ID49" s="11" t="n">
        <v>-41782680</v>
      </c>
      <c r="IE49" s="11" t="n">
        <v>100843398</v>
      </c>
      <c r="IF49" s="11" t="n">
        <v>-44037756</v>
      </c>
      <c r="IG49" s="11" t="n">
        <v>24817704</v>
      </c>
      <c r="IH49" s="11" t="n">
        <v>1687538</v>
      </c>
      <c r="II49" s="11" t="n">
        <v>-9725884</v>
      </c>
      <c r="IJ49" s="11" t="n">
        <v>25848034</v>
      </c>
      <c r="IK49" s="11" t="n">
        <v>-332484</v>
      </c>
      <c r="IL49" s="11" t="n">
        <v>-1183953</v>
      </c>
      <c r="IM49" s="11" t="n">
        <v>377441</v>
      </c>
      <c r="IN49" s="11" t="n">
        <v>243777</v>
      </c>
      <c r="IO49" s="11" t="n">
        <v>15959291</v>
      </c>
      <c r="IP49" s="11" t="n">
        <v>-1638240</v>
      </c>
      <c r="IQ49" s="11" t="n">
        <v>3808299</v>
      </c>
      <c r="IR49" s="11" t="n">
        <v>65329278</v>
      </c>
      <c r="IS49" s="11" t="n">
        <v>-160284904</v>
      </c>
      <c r="IT49" s="11" t="n">
        <v>2798384</v>
      </c>
      <c r="IU49" s="11" t="n">
        <v>-76869982</v>
      </c>
      <c r="IV49" s="11" t="n">
        <v>-3256708</v>
      </c>
      <c r="IW49" s="11" t="n">
        <v>11283040</v>
      </c>
      <c r="IX49" s="11" t="n">
        <v>97841853</v>
      </c>
      <c r="IY49" s="11" t="n">
        <v>-11400591</v>
      </c>
      <c r="IZ49" s="11" t="n">
        <v>23780204</v>
      </c>
      <c r="JA49" s="11" t="n">
        <v>18292037</v>
      </c>
      <c r="JB49" s="11" t="n">
        <v>-2705264</v>
      </c>
      <c r="JC49" s="11" t="n">
        <v>-63640</v>
      </c>
      <c r="JD49" s="11" t="n">
        <v>-1530226</v>
      </c>
      <c r="JE49" s="11" t="n">
        <v>-145806</v>
      </c>
      <c r="JF49" s="11" t="n">
        <v>341322</v>
      </c>
      <c r="JG49" s="11" t="n">
        <v>48752680</v>
      </c>
      <c r="JH49" s="11" t="n">
        <v>-177438800</v>
      </c>
      <c r="JI49" s="11" t="n">
        <v>215370520</v>
      </c>
      <c r="JJ49" s="11" t="n">
        <v>70885664</v>
      </c>
      <c r="JK49" s="11" t="n">
        <v>-31750995</v>
      </c>
      <c r="JL49" s="11" t="n">
        <v>2438855</v>
      </c>
      <c r="JM49" s="11" t="n">
        <v>7818655</v>
      </c>
      <c r="JN49" s="11" t="n">
        <v>131387255</v>
      </c>
      <c r="JO49" s="11" t="n">
        <v>17708926</v>
      </c>
      <c r="JP49" s="11" t="n">
        <v>30993741</v>
      </c>
      <c r="JQ49" s="11" t="n">
        <v>115536</v>
      </c>
      <c r="JR49" s="11" t="n">
        <v>-673610</v>
      </c>
      <c r="JS49" s="11" t="n">
        <v>-17086</v>
      </c>
      <c r="JT49" s="11" t="n">
        <v>472098</v>
      </c>
      <c r="JU49" s="11" t="n">
        <v>-81199</v>
      </c>
      <c r="JV49" s="11" t="n">
        <v>-6629</v>
      </c>
      <c r="JW49" s="11" t="n">
        <v>25683</v>
      </c>
      <c r="JX49" s="11" t="n">
        <v>26641</v>
      </c>
      <c r="JY49" s="11" t="n">
        <v>182052</v>
      </c>
      <c r="JZ49" s="11" t="n">
        <v>23289</v>
      </c>
      <c r="KA49" s="11" t="n">
        <v>4561375</v>
      </c>
      <c r="KB49" s="11" t="n">
        <v>9505925</v>
      </c>
      <c r="KC49" s="11" t="n">
        <v>-5480499</v>
      </c>
      <c r="KD49" s="11" t="n">
        <v>-54747875</v>
      </c>
      <c r="KE49" s="11" t="n">
        <v>13314490</v>
      </c>
      <c r="KF49" s="11" t="n">
        <v>-38032201</v>
      </c>
      <c r="KG49" s="11" t="n">
        <v>-6419075</v>
      </c>
      <c r="KH49" s="11" t="n">
        <v>2837741</v>
      </c>
      <c r="KI49" s="11" t="n">
        <v>-1798664</v>
      </c>
      <c r="KJ49" s="11" t="n">
        <v>-15322919</v>
      </c>
      <c r="KK49" s="11" t="n">
        <v>-31597480</v>
      </c>
      <c r="KL49" s="11" t="n">
        <v>183258992</v>
      </c>
      <c r="KM49" s="11" t="n">
        <v>-217995176</v>
      </c>
      <c r="KN49" s="11" t="n">
        <v>-67441776</v>
      </c>
      <c r="KO49" s="11" t="n">
        <v>22184115</v>
      </c>
      <c r="KP49" s="11" t="n">
        <v>-3425215</v>
      </c>
      <c r="KQ49" s="11" t="n">
        <v>-5573175</v>
      </c>
      <c r="KR49" s="11" t="n">
        <v>-133185577</v>
      </c>
      <c r="KS49" s="11" t="n">
        <v>-15026568</v>
      </c>
      <c r="KT49" s="11" t="n">
        <v>-31139277</v>
      </c>
      <c r="KU49" s="11" t="n">
        <v>-1230101040</v>
      </c>
      <c r="KV49" s="11" t="n">
        <v>1413053720</v>
      </c>
      <c r="KW49" s="11" t="n">
        <v>387451640</v>
      </c>
      <c r="KX49" s="11" t="n">
        <v>291203360</v>
      </c>
      <c r="KY49" s="11" t="n">
        <v>378390992</v>
      </c>
      <c r="KZ49" s="11" t="n">
        <v>-342947096</v>
      </c>
      <c r="LA49" s="11" t="n">
        <v>-858738915</v>
      </c>
      <c r="LB49" s="11" t="n">
        <v>-55058295</v>
      </c>
      <c r="LC49" s="11" t="n">
        <v>-207234580</v>
      </c>
      <c r="LD49" s="11" t="n">
        <v>-251122387</v>
      </c>
      <c r="LE49" s="11" t="n">
        <v>41167</v>
      </c>
      <c r="LF49" s="11" t="n">
        <v>9509669</v>
      </c>
      <c r="LG49" s="11" t="n">
        <v>-2633811</v>
      </c>
      <c r="LH49" s="11" t="n">
        <v>-55438173</v>
      </c>
      <c r="LI49" s="11" t="n">
        <v>15187704</v>
      </c>
      <c r="LJ49" s="11" t="n">
        <v>-38468481</v>
      </c>
      <c r="LK49" s="11" t="n">
        <v>-6681058</v>
      </c>
      <c r="LL49" s="11" t="n">
        <v>1841898</v>
      </c>
      <c r="LM49" s="11" t="n">
        <v>-1962828</v>
      </c>
      <c r="LN49" s="11" t="n">
        <v>-15583566</v>
      </c>
      <c r="LO49" s="11" t="n">
        <v>372055775</v>
      </c>
      <c r="LP49" s="11" t="n">
        <v>-102030397</v>
      </c>
      <c r="LQ49" s="11" t="n">
        <v>234393796</v>
      </c>
      <c r="LR49" s="11" t="n">
        <v>138601743</v>
      </c>
      <c r="LS49" s="11" t="n">
        <v>-87880772</v>
      </c>
    </row>
    <row r="50" customFormat="false" ht="15" hidden="false" customHeight="true" outlineLevel="0" collapsed="false">
      <c r="A50" s="7" t="s">
        <v>116</v>
      </c>
      <c r="B50" s="11" t="n">
        <v>-2910050</v>
      </c>
      <c r="C50" s="11" t="n">
        <v>613951640</v>
      </c>
      <c r="D50" s="11" t="n">
        <v>-1278590</v>
      </c>
      <c r="E50" s="11" t="n">
        <v>-160173824</v>
      </c>
      <c r="F50" s="11" t="n">
        <v>-19454482</v>
      </c>
      <c r="G50" s="11" t="n">
        <v>-32782634</v>
      </c>
      <c r="H50" s="11" t="n">
        <v>143918546</v>
      </c>
      <c r="I50" s="11" t="n">
        <v>53899768</v>
      </c>
      <c r="J50" s="11" t="n">
        <v>-35862780</v>
      </c>
      <c r="K50" s="11" t="n">
        <v>-17570</v>
      </c>
      <c r="L50" s="11" t="n">
        <v>-5205482</v>
      </c>
      <c r="M50" s="11" t="n">
        <v>1100524</v>
      </c>
      <c r="N50" s="11" t="n">
        <v>-11074187</v>
      </c>
      <c r="O50" s="11" t="n">
        <v>-2214697</v>
      </c>
      <c r="P50" s="11" t="n">
        <v>4485949</v>
      </c>
      <c r="Q50" s="11" t="n">
        <v>19463900</v>
      </c>
      <c r="R50" s="11" t="n">
        <v>3072178424</v>
      </c>
      <c r="S50" s="11" t="n">
        <v>7568012</v>
      </c>
      <c r="T50" s="11" t="n">
        <v>2740396784</v>
      </c>
      <c r="U50" s="11" t="n">
        <v>-1306370096</v>
      </c>
      <c r="V50" s="11" t="n">
        <v>-1610677228</v>
      </c>
      <c r="W50" s="11" t="n">
        <v>-1320054</v>
      </c>
      <c r="X50" s="11" t="n">
        <v>600998</v>
      </c>
      <c r="Y50" s="11" t="n">
        <v>-4667739</v>
      </c>
      <c r="Z50" s="11" t="n">
        <v>-1842009</v>
      </c>
      <c r="AA50" s="11" t="n">
        <v>1645563</v>
      </c>
      <c r="AB50" s="11" t="n">
        <v>95374682</v>
      </c>
      <c r="AC50" s="11" t="n">
        <v>-550899630</v>
      </c>
      <c r="AD50" s="11" t="n">
        <v>-379341210</v>
      </c>
      <c r="AE50" s="11" t="n">
        <v>150498216</v>
      </c>
      <c r="AF50" s="11" t="n">
        <v>-86431727</v>
      </c>
      <c r="AG50" s="11" t="n">
        <v>39621323</v>
      </c>
      <c r="AH50" s="11" t="n">
        <v>50373637</v>
      </c>
      <c r="AI50" s="11" t="n">
        <v>-572630880</v>
      </c>
      <c r="AJ50" s="11" t="n">
        <v>-154579779</v>
      </c>
      <c r="AK50" s="11" t="n">
        <v>-262876209</v>
      </c>
      <c r="AL50" s="11" t="n">
        <v>-271213030</v>
      </c>
      <c r="AM50" s="11" t="n">
        <v>-661870</v>
      </c>
      <c r="AN50" s="11" t="n">
        <v>37834038</v>
      </c>
      <c r="AO50" s="11" t="n">
        <v>726484</v>
      </c>
      <c r="AP50" s="11" t="n">
        <v>-10711767</v>
      </c>
      <c r="AQ50" s="11" t="n">
        <v>-59373127</v>
      </c>
      <c r="AR50" s="11" t="n">
        <v>-19453291</v>
      </c>
      <c r="AS50" s="11" t="n">
        <v>258801890</v>
      </c>
      <c r="AT50" s="11" t="n">
        <v>6945914488</v>
      </c>
      <c r="AU50" s="11" t="n">
        <v>1659862534</v>
      </c>
      <c r="AV50" s="11" t="n">
        <v>5315229778</v>
      </c>
      <c r="AW50" s="11" t="n">
        <v>-886705122</v>
      </c>
      <c r="AX50" s="11" t="n">
        <v>-919207396</v>
      </c>
      <c r="AY50" s="11" t="n">
        <v>53053546</v>
      </c>
      <c r="AZ50" s="11" t="n">
        <v>4743978</v>
      </c>
      <c r="BA50" s="11" t="n">
        <v>2749741</v>
      </c>
      <c r="BB50" s="11" t="n">
        <v>-58820039</v>
      </c>
      <c r="BC50" s="11" t="n">
        <v>-20806317</v>
      </c>
      <c r="BD50" s="11" t="n">
        <v>-212944070</v>
      </c>
      <c r="BE50" s="11" t="n">
        <v>-1015805262</v>
      </c>
      <c r="BF50" s="11" t="n">
        <v>-1396883578</v>
      </c>
      <c r="BG50" s="11" t="n">
        <v>-369980632</v>
      </c>
      <c r="BH50" s="11" t="n">
        <v>-79795171</v>
      </c>
      <c r="BI50" s="11" t="n">
        <v>-360996859</v>
      </c>
      <c r="BJ50" s="11" t="n">
        <v>-116594691</v>
      </c>
      <c r="BK50" s="11" t="n">
        <v>-1198614946</v>
      </c>
      <c r="BL50" s="11" t="n">
        <v>-417550171</v>
      </c>
      <c r="BM50" s="11" t="n">
        <v>-137629393</v>
      </c>
      <c r="BN50" s="11" t="n">
        <v>-6519230</v>
      </c>
      <c r="BO50" s="11" t="n">
        <v>951402322</v>
      </c>
      <c r="BP50" s="11" t="n">
        <v>-93614444</v>
      </c>
      <c r="BQ50" s="11" t="n">
        <v>900091087</v>
      </c>
      <c r="BR50" s="11" t="n">
        <v>-525293623</v>
      </c>
      <c r="BS50" s="11" t="n">
        <v>-657822689</v>
      </c>
      <c r="BT50" s="11" t="n">
        <v>1412380</v>
      </c>
      <c r="BU50" s="11" t="n">
        <v>-245920</v>
      </c>
      <c r="BV50" s="11" t="n">
        <v>2454070</v>
      </c>
      <c r="BW50" s="11" t="n">
        <v>145240</v>
      </c>
      <c r="BX50" s="11" t="n">
        <v>-1137750</v>
      </c>
      <c r="BY50" s="11" t="n">
        <v>15607624</v>
      </c>
      <c r="BZ50" s="11" t="n">
        <v>-163138476</v>
      </c>
      <c r="CA50" s="11" t="n">
        <v>-134999974</v>
      </c>
      <c r="CB50" s="11" t="n">
        <v>23524616</v>
      </c>
      <c r="CC50" s="11" t="n">
        <v>1286348</v>
      </c>
      <c r="CD50" s="11" t="n">
        <v>21900864</v>
      </c>
      <c r="CE50" s="11" t="n">
        <v>8476756</v>
      </c>
      <c r="CF50" s="11" t="n">
        <v>-217792063</v>
      </c>
      <c r="CG50" s="11" t="n">
        <v>-90542026</v>
      </c>
      <c r="CH50" s="11" t="n">
        <v>-106330807</v>
      </c>
      <c r="CI50" s="11" t="n">
        <v>-1074825694</v>
      </c>
      <c r="CJ50" s="11" t="n">
        <v>49431878</v>
      </c>
      <c r="CK50" s="11" t="n">
        <v>-986665279</v>
      </c>
      <c r="CL50" s="11" t="n">
        <v>522569351</v>
      </c>
      <c r="CM50" s="11" t="n">
        <v>649814943</v>
      </c>
      <c r="CN50" s="11" t="n">
        <v>8220235554</v>
      </c>
      <c r="CO50" s="11" t="n">
        <v>-4406254998</v>
      </c>
      <c r="CP50" s="11" t="n">
        <v>10342538758</v>
      </c>
      <c r="CQ50" s="11" t="n">
        <v>13622664424</v>
      </c>
      <c r="CR50" s="11" t="n">
        <v>-7343340963</v>
      </c>
      <c r="CS50" s="11" t="n">
        <v>3520935595</v>
      </c>
      <c r="CT50" s="11" t="n">
        <v>4343251225</v>
      </c>
      <c r="CU50" s="11" t="n">
        <v>7351936336</v>
      </c>
      <c r="CV50" s="11" t="n">
        <v>9841372153</v>
      </c>
      <c r="CW50" s="11" t="n">
        <v>-370339745</v>
      </c>
      <c r="CX50" s="11" t="n">
        <v>29835508</v>
      </c>
      <c r="CY50" s="11" t="n">
        <v>-190843272</v>
      </c>
      <c r="CZ50" s="11" t="n">
        <v>-137159478</v>
      </c>
      <c r="DA50" s="11" t="n">
        <v>46799592</v>
      </c>
      <c r="DB50" s="11" t="n">
        <v>-18611314</v>
      </c>
      <c r="DC50" s="11" t="n">
        <v>20813768</v>
      </c>
      <c r="DD50" s="11" t="n">
        <v>15885522</v>
      </c>
      <c r="DE50" s="11" t="n">
        <v>-218695311</v>
      </c>
      <c r="DF50" s="11" t="n">
        <v>-72418512</v>
      </c>
      <c r="DG50" s="11" t="n">
        <v>-105676959</v>
      </c>
      <c r="DH50" s="11" t="n">
        <v>1337252916</v>
      </c>
      <c r="DI50" s="11" t="n">
        <v>1336084654</v>
      </c>
      <c r="DJ50" s="11" t="n">
        <v>20222296</v>
      </c>
      <c r="DK50" s="11" t="n">
        <v>-2398680630</v>
      </c>
      <c r="DL50" s="11" t="n">
        <v>-2226949848</v>
      </c>
      <c r="DM50" s="11" t="n">
        <v>-2188730832</v>
      </c>
      <c r="DN50" s="11" t="n">
        <v>-1766337043</v>
      </c>
      <c r="DO50" s="11" t="n">
        <v>-724617262</v>
      </c>
      <c r="DP50" s="11" t="n">
        <v>-697273195</v>
      </c>
      <c r="DQ50" s="11" t="n">
        <v>-1641737769</v>
      </c>
      <c r="DR50" s="11" t="n">
        <v>-2764700</v>
      </c>
      <c r="DS50" s="11" t="n">
        <v>950</v>
      </c>
      <c r="DT50" s="11" t="n">
        <v>-2043270</v>
      </c>
      <c r="DU50" s="11" t="n">
        <v>89890</v>
      </c>
      <c r="DV50" s="11" t="n">
        <v>-2028220</v>
      </c>
      <c r="DW50" s="11" t="n">
        <v>-158670</v>
      </c>
      <c r="DX50" s="11" t="n">
        <v>84890</v>
      </c>
      <c r="DY50" s="11" t="n">
        <v>1014300</v>
      </c>
      <c r="DZ50" s="11" t="n">
        <v>583255112</v>
      </c>
      <c r="EA50" s="11" t="n">
        <v>-481884</v>
      </c>
      <c r="EB50" s="11" t="n">
        <v>459051612</v>
      </c>
      <c r="EC50" s="11" t="n">
        <v>-103254548</v>
      </c>
      <c r="ED50" s="11" t="n">
        <v>-69117384</v>
      </c>
      <c r="EE50" s="11" t="n">
        <v>-950042</v>
      </c>
      <c r="EF50" s="11" t="n">
        <v>33144</v>
      </c>
      <c r="EG50" s="11" t="n">
        <v>-901842</v>
      </c>
      <c r="EH50" s="11" t="n">
        <v>-22732</v>
      </c>
      <c r="EI50" s="11" t="n">
        <v>54894</v>
      </c>
      <c r="EJ50" s="11" t="n">
        <v>18607510</v>
      </c>
      <c r="EK50" s="11" t="n">
        <v>-88618402</v>
      </c>
      <c r="EL50" s="11" t="n">
        <v>-109784790</v>
      </c>
      <c r="EM50" s="11" t="n">
        <v>-33172840</v>
      </c>
      <c r="EN50" s="11" t="n">
        <v>-14571846</v>
      </c>
      <c r="EO50" s="11" t="n">
        <v>3384820</v>
      </c>
      <c r="EP50" s="11" t="n">
        <v>2232450</v>
      </c>
      <c r="EQ50" s="11" t="n">
        <v>-102094498</v>
      </c>
      <c r="ER50" s="11" t="n">
        <v>-36610254</v>
      </c>
      <c r="ES50" s="11" t="n">
        <v>-7137170</v>
      </c>
      <c r="ET50" s="11" t="n">
        <v>28400</v>
      </c>
      <c r="EU50" s="11" t="n">
        <v>-20235304</v>
      </c>
      <c r="EV50" s="11" t="n">
        <v>62228</v>
      </c>
      <c r="EW50" s="11" t="n">
        <v>-14474254</v>
      </c>
      <c r="EX50" s="11" t="n">
        <v>148666</v>
      </c>
      <c r="EY50" s="11" t="n">
        <v>-3215722</v>
      </c>
      <c r="EZ50" s="11" t="n">
        <v>-14036</v>
      </c>
      <c r="FA50" s="11" t="n">
        <v>902</v>
      </c>
      <c r="FB50" s="11" t="n">
        <v>-15861</v>
      </c>
      <c r="FC50" s="11" t="n">
        <v>-1681</v>
      </c>
      <c r="FD50" s="11" t="n">
        <v>1977</v>
      </c>
      <c r="FE50" s="11" t="n">
        <v>-611930</v>
      </c>
      <c r="FF50" s="11" t="n">
        <v>4147589</v>
      </c>
      <c r="FG50" s="11" t="n">
        <v>1271205</v>
      </c>
      <c r="FH50" s="11" t="n">
        <v>-2997925</v>
      </c>
      <c r="FI50" s="11" t="n">
        <v>424957</v>
      </c>
      <c r="FJ50" s="11" t="n">
        <v>-8405</v>
      </c>
      <c r="FK50" s="11" t="n">
        <v>106465</v>
      </c>
      <c r="FL50" s="11" t="n">
        <v>939761</v>
      </c>
      <c r="FM50" s="11" t="n">
        <v>-2803527</v>
      </c>
      <c r="FN50" s="11" t="n">
        <v>-179990</v>
      </c>
      <c r="FO50" s="11" t="n">
        <v>13415240</v>
      </c>
      <c r="FP50" s="11" t="n">
        <v>-27780</v>
      </c>
      <c r="FQ50" s="11" t="n">
        <v>10025790</v>
      </c>
      <c r="FR50" s="11" t="n">
        <v>-1115210</v>
      </c>
      <c r="FS50" s="11" t="n">
        <v>469770</v>
      </c>
      <c r="FT50" s="11" t="n">
        <v>-9600944</v>
      </c>
      <c r="FU50" s="11" t="n">
        <v>-306313988</v>
      </c>
      <c r="FV50" s="11" t="n">
        <v>724374060</v>
      </c>
      <c r="FW50" s="11" t="n">
        <v>1184286748</v>
      </c>
      <c r="FX50" s="11" t="n">
        <v>7809510</v>
      </c>
      <c r="FY50" s="11" t="n">
        <v>-2298146</v>
      </c>
      <c r="FZ50" s="11" t="n">
        <v>-2116194</v>
      </c>
      <c r="GA50" s="11" t="n">
        <v>515892208</v>
      </c>
      <c r="GB50" s="11" t="n">
        <v>895795182</v>
      </c>
      <c r="GC50" s="11" t="n">
        <v>-123815722</v>
      </c>
      <c r="GD50" s="11" t="n">
        <v>-412346</v>
      </c>
      <c r="GE50" s="11" t="n">
        <v>2537223</v>
      </c>
      <c r="GF50" s="11" t="n">
        <v>1345215</v>
      </c>
      <c r="GG50" s="11" t="n">
        <v>-1166043</v>
      </c>
      <c r="GH50" s="11" t="n">
        <v>302910</v>
      </c>
      <c r="GI50" s="11" t="n">
        <v>-37064</v>
      </c>
      <c r="GJ50" s="11" t="n">
        <v>16854</v>
      </c>
      <c r="GK50" s="11" t="n">
        <v>1216257</v>
      </c>
      <c r="GL50" s="11" t="n">
        <v>-960282</v>
      </c>
      <c r="GM50" s="11" t="n">
        <v>49827</v>
      </c>
      <c r="GN50" s="11" t="n">
        <v>-11231039</v>
      </c>
      <c r="GO50" s="11" t="n">
        <v>21302445</v>
      </c>
      <c r="GP50" s="11" t="n">
        <v>37236085</v>
      </c>
      <c r="GQ50" s="11" t="n">
        <v>-167716470</v>
      </c>
      <c r="GR50" s="11" t="n">
        <v>-197359443</v>
      </c>
      <c r="GS50" s="11" t="n">
        <v>-181716585</v>
      </c>
      <c r="GT50" s="11" t="n">
        <v>-14639299</v>
      </c>
      <c r="GU50" s="11" t="n">
        <v>-27812736</v>
      </c>
      <c r="GV50" s="11" t="n">
        <v>4217695</v>
      </c>
      <c r="GW50" s="11" t="n">
        <v>-158084217</v>
      </c>
      <c r="GX50" s="11" t="n">
        <v>717350</v>
      </c>
      <c r="GY50" s="11" t="n">
        <v>-226374534</v>
      </c>
      <c r="GZ50" s="11" t="n">
        <v>7687438</v>
      </c>
      <c r="HA50" s="11" t="n">
        <v>-178850834</v>
      </c>
      <c r="HB50" s="11" t="n">
        <v>41619736</v>
      </c>
      <c r="HC50" s="11" t="n">
        <v>26393288</v>
      </c>
      <c r="HD50" s="11" t="n">
        <v>-452376</v>
      </c>
      <c r="HE50" s="11" t="n">
        <v>20682</v>
      </c>
      <c r="HF50" s="11" t="n">
        <v>-464801</v>
      </c>
      <c r="HG50" s="11" t="n">
        <v>-55471</v>
      </c>
      <c r="HH50" s="11" t="n">
        <v>12957</v>
      </c>
      <c r="HI50" s="11" t="n">
        <v>-1678770</v>
      </c>
      <c r="HJ50" s="11" t="n">
        <v>33890409</v>
      </c>
      <c r="HK50" s="11" t="n">
        <v>43751295</v>
      </c>
      <c r="HL50" s="11" t="n">
        <v>12555315</v>
      </c>
      <c r="HM50" s="11" t="n">
        <v>175457</v>
      </c>
      <c r="HN50" s="11" t="n">
        <v>-1794395</v>
      </c>
      <c r="HO50" s="11" t="n">
        <v>-622095</v>
      </c>
      <c r="HP50" s="11" t="n">
        <v>40797281</v>
      </c>
      <c r="HQ50" s="11" t="n">
        <v>13870853</v>
      </c>
      <c r="HR50" s="11" t="n">
        <v>2792680</v>
      </c>
      <c r="HS50" s="11" t="n">
        <v>234387002</v>
      </c>
      <c r="HT50" s="11" t="n">
        <v>-2945364</v>
      </c>
      <c r="HU50" s="11" t="n">
        <v>184724952</v>
      </c>
      <c r="HV50" s="11" t="n">
        <v>-42060458</v>
      </c>
      <c r="HW50" s="11" t="n">
        <v>-27616764</v>
      </c>
      <c r="HX50" s="11" t="n">
        <v>-1582324030</v>
      </c>
      <c r="HY50" s="11" t="n">
        <v>143982518</v>
      </c>
      <c r="HZ50" s="11" t="n">
        <v>-325794334</v>
      </c>
      <c r="IA50" s="11" t="n">
        <v>91292164</v>
      </c>
      <c r="IB50" s="11" t="n">
        <v>1245251004</v>
      </c>
      <c r="IC50" s="11" t="n">
        <v>-279852082</v>
      </c>
      <c r="ID50" s="11" t="n">
        <v>-187585308</v>
      </c>
      <c r="IE50" s="11" t="n">
        <v>-230927362</v>
      </c>
      <c r="IF50" s="11" t="n">
        <v>88913940</v>
      </c>
      <c r="IG50" s="11" t="n">
        <v>-54769144</v>
      </c>
      <c r="IH50" s="11" t="n">
        <v>-4900230</v>
      </c>
      <c r="II50" s="11" t="n">
        <v>35377679</v>
      </c>
      <c r="IJ50" s="11" t="n">
        <v>44648809</v>
      </c>
      <c r="IK50" s="11" t="n">
        <v>13182141</v>
      </c>
      <c r="IL50" s="11" t="n">
        <v>3417402</v>
      </c>
      <c r="IM50" s="11" t="n">
        <v>-1440408</v>
      </c>
      <c r="IN50" s="11" t="n">
        <v>-743022</v>
      </c>
      <c r="IO50" s="11" t="n">
        <v>41537075</v>
      </c>
      <c r="IP50" s="11" t="n">
        <v>14557494</v>
      </c>
      <c r="IQ50" s="11" t="n">
        <v>2895249</v>
      </c>
      <c r="IR50" s="11" t="n">
        <v>-235821115</v>
      </c>
      <c r="IS50" s="11" t="n">
        <v>-308231045</v>
      </c>
      <c r="IT50" s="11" t="n">
        <v>-87082755</v>
      </c>
      <c r="IU50" s="11" t="n">
        <v>76601924</v>
      </c>
      <c r="IV50" s="11" t="n">
        <v>-5681659</v>
      </c>
      <c r="IW50" s="11" t="n">
        <v>-35713385</v>
      </c>
      <c r="IX50" s="11" t="n">
        <v>284278087</v>
      </c>
      <c r="IY50" s="11" t="n">
        <v>96488748</v>
      </c>
      <c r="IZ50" s="11" t="n">
        <v>21139365</v>
      </c>
      <c r="JA50" s="11" t="n">
        <v>-38191639</v>
      </c>
      <c r="JB50" s="11" t="n">
        <v>-2925004</v>
      </c>
      <c r="JC50" s="11" t="n">
        <v>-62822</v>
      </c>
      <c r="JD50" s="11" t="n">
        <v>-1918379</v>
      </c>
      <c r="JE50" s="11" t="n">
        <v>-388959</v>
      </c>
      <c r="JF50" s="11" t="n">
        <v>-1105497</v>
      </c>
      <c r="JG50" s="11" t="n">
        <v>51170402</v>
      </c>
      <c r="JH50" s="11" t="n">
        <v>-123882697</v>
      </c>
      <c r="JI50" s="11" t="n">
        <v>292449023</v>
      </c>
      <c r="JJ50" s="11" t="n">
        <v>456481273</v>
      </c>
      <c r="JK50" s="11" t="n">
        <v>-36221073</v>
      </c>
      <c r="JL50" s="11" t="n">
        <v>-523403</v>
      </c>
      <c r="JM50" s="11" t="n">
        <v>-9535597</v>
      </c>
      <c r="JN50" s="11" t="n">
        <v>208277785</v>
      </c>
      <c r="JO50" s="11" t="n">
        <v>346206719</v>
      </c>
      <c r="JP50" s="11" t="n">
        <v>-49828656</v>
      </c>
      <c r="JQ50" s="11" t="n">
        <v>123948</v>
      </c>
      <c r="JR50" s="11" t="n">
        <v>-685462</v>
      </c>
      <c r="JS50" s="11" t="n">
        <v>19102</v>
      </c>
      <c r="JT50" s="11" t="n">
        <v>749982</v>
      </c>
      <c r="JU50" s="11" t="n">
        <v>-96014</v>
      </c>
      <c r="JV50" s="11" t="n">
        <v>-16072</v>
      </c>
      <c r="JW50" s="11" t="n">
        <v>-30738</v>
      </c>
      <c r="JX50" s="11" t="n">
        <v>103679</v>
      </c>
      <c r="JY50" s="11" t="n">
        <v>750948</v>
      </c>
      <c r="JZ50" s="11" t="n">
        <v>92511</v>
      </c>
      <c r="KA50" s="11" t="n">
        <v>6741992</v>
      </c>
      <c r="KB50" s="11" t="n">
        <v>12058450</v>
      </c>
      <c r="KC50" s="11" t="n">
        <v>6223260</v>
      </c>
      <c r="KD50" s="11" t="n">
        <v>-67725133</v>
      </c>
      <c r="KE50" s="11" t="n">
        <v>-75210418</v>
      </c>
      <c r="KF50" s="11" t="n">
        <v>-72003935</v>
      </c>
      <c r="KG50" s="11" t="n">
        <v>-8466637</v>
      </c>
      <c r="KH50" s="11" t="n">
        <v>-3148778</v>
      </c>
      <c r="KI50" s="11" t="n">
        <v>2183435</v>
      </c>
      <c r="KJ50" s="11" t="n">
        <v>-62819401</v>
      </c>
      <c r="KK50" s="11" t="n">
        <v>-32536226</v>
      </c>
      <c r="KL50" s="11" t="n">
        <v>126407083</v>
      </c>
      <c r="KM50" s="11" t="n">
        <v>-298590565</v>
      </c>
      <c r="KN50" s="11" t="n">
        <v>-473817903</v>
      </c>
      <c r="KO50" s="11" t="n">
        <v>24053970</v>
      </c>
      <c r="KP50" s="11" t="n">
        <v>-2086424</v>
      </c>
      <c r="KQ50" s="11" t="n">
        <v>2120514</v>
      </c>
      <c r="KR50" s="11" t="n">
        <v>-212641433</v>
      </c>
      <c r="KS50" s="11" t="n">
        <v>-358531122</v>
      </c>
      <c r="KT50" s="11" t="n">
        <v>49844457</v>
      </c>
      <c r="KU50" s="11" t="n">
        <v>-833375211</v>
      </c>
      <c r="KV50" s="11" t="n">
        <v>1970531233</v>
      </c>
      <c r="KW50" s="11" t="n">
        <v>3211371577</v>
      </c>
      <c r="KX50" s="11" t="n">
        <v>-7718474</v>
      </c>
      <c r="KY50" s="11" t="n">
        <v>-340298183</v>
      </c>
      <c r="KZ50" s="11" t="n">
        <v>774898631</v>
      </c>
      <c r="LA50" s="11" t="n">
        <v>-1403368821</v>
      </c>
      <c r="LB50" s="11" t="n">
        <v>-2428475244</v>
      </c>
      <c r="LC50" s="11" t="n">
        <v>334360285</v>
      </c>
      <c r="LD50" s="11" t="n">
        <v>550556017</v>
      </c>
      <c r="LE50" s="11" t="n">
        <v>2268182</v>
      </c>
      <c r="LF50" s="11" t="n">
        <v>12440392</v>
      </c>
      <c r="LG50" s="11" t="n">
        <v>11735778</v>
      </c>
      <c r="LH50" s="11" t="n">
        <v>-69147891</v>
      </c>
      <c r="LI50" s="11" t="n">
        <v>-78625920</v>
      </c>
      <c r="LJ50" s="11" t="n">
        <v>-73465431</v>
      </c>
      <c r="LK50" s="11" t="n">
        <v>-9342608</v>
      </c>
      <c r="LL50" s="11" t="n">
        <v>-8528412</v>
      </c>
      <c r="LM50" s="11" t="n">
        <v>1563360</v>
      </c>
      <c r="LN50" s="11" t="n">
        <v>-63861474</v>
      </c>
      <c r="LO50" s="11" t="n">
        <v>456015943</v>
      </c>
      <c r="LP50" s="11" t="n">
        <v>524470222</v>
      </c>
      <c r="LQ50" s="11" t="n">
        <v>517116035</v>
      </c>
      <c r="LR50" s="11" t="n">
        <v>-181350831</v>
      </c>
      <c r="LS50" s="11" t="n">
        <v>-445655530</v>
      </c>
    </row>
    <row r="51" customFormat="false" ht="15" hidden="false" customHeight="true" outlineLevel="0" collapsed="false">
      <c r="A51" s="7" t="s">
        <v>117</v>
      </c>
      <c r="B51" s="11" t="n">
        <v>-3937866</v>
      </c>
      <c r="C51" s="11" t="n">
        <v>100141088</v>
      </c>
      <c r="D51" s="11" t="n">
        <v>-1955574</v>
      </c>
      <c r="E51" s="11" t="n">
        <v>-274092864</v>
      </c>
      <c r="F51" s="11" t="n">
        <v>-316090</v>
      </c>
      <c r="G51" s="11" t="n">
        <v>-353089098</v>
      </c>
      <c r="H51" s="11" t="n">
        <v>172543210</v>
      </c>
      <c r="I51" s="11" t="n">
        <v>19389992</v>
      </c>
      <c r="J51" s="11" t="n">
        <v>-8403471</v>
      </c>
      <c r="K51" s="11" t="n">
        <v>23661</v>
      </c>
      <c r="L51" s="11" t="n">
        <v>-18319107</v>
      </c>
      <c r="M51" s="11" t="n">
        <v>408480</v>
      </c>
      <c r="N51" s="11" t="n">
        <v>-689805</v>
      </c>
      <c r="O51" s="11" t="n">
        <v>-3104712</v>
      </c>
      <c r="P51" s="11" t="n">
        <v>11434197</v>
      </c>
      <c r="Q51" s="11" t="n">
        <v>3571521</v>
      </c>
      <c r="R51" s="11" t="n">
        <v>1050778960</v>
      </c>
      <c r="S51" s="11" t="n">
        <v>-9713225</v>
      </c>
      <c r="T51" s="11" t="n">
        <v>771039903</v>
      </c>
      <c r="U51" s="11" t="n">
        <v>-289256319</v>
      </c>
      <c r="V51" s="11" t="n">
        <v>-332153548</v>
      </c>
      <c r="W51" s="11" t="n">
        <v>-10744317</v>
      </c>
      <c r="X51" s="11" t="n">
        <v>200955</v>
      </c>
      <c r="Y51" s="11" t="n">
        <v>-2464128</v>
      </c>
      <c r="Z51" s="11" t="n">
        <v>-505083</v>
      </c>
      <c r="AA51" s="11" t="n">
        <v>5794815</v>
      </c>
      <c r="AB51" s="11" t="n">
        <v>29902475</v>
      </c>
      <c r="AC51" s="11" t="n">
        <v>1594570851</v>
      </c>
      <c r="AD51" s="11" t="n">
        <v>-1018779443</v>
      </c>
      <c r="AE51" s="11" t="n">
        <v>705667604</v>
      </c>
      <c r="AF51" s="11" t="n">
        <v>-36681765</v>
      </c>
      <c r="AG51" s="11" t="n">
        <v>17648920</v>
      </c>
      <c r="AH51" s="11" t="n">
        <v>2929165</v>
      </c>
      <c r="AI51" s="11" t="n">
        <v>-308609061</v>
      </c>
      <c r="AJ51" s="11" t="n">
        <v>1021851681</v>
      </c>
      <c r="AK51" s="11" t="n">
        <v>-516293189</v>
      </c>
      <c r="AL51" s="11" t="n">
        <v>-51702041</v>
      </c>
      <c r="AM51" s="11" t="n">
        <v>-805557</v>
      </c>
      <c r="AN51" s="11" t="n">
        <v>78898575</v>
      </c>
      <c r="AO51" s="11" t="n">
        <v>-10312160</v>
      </c>
      <c r="AP51" s="11" t="n">
        <v>119275893</v>
      </c>
      <c r="AQ51" s="11" t="n">
        <v>-70488604</v>
      </c>
      <c r="AR51" s="11" t="n">
        <v>-3713207</v>
      </c>
      <c r="AS51" s="11" t="n">
        <v>46161175</v>
      </c>
      <c r="AT51" s="11" t="n">
        <v>1592276464</v>
      </c>
      <c r="AU51" s="11" t="n">
        <v>266391345</v>
      </c>
      <c r="AV51" s="11" t="n">
        <v>1602647049</v>
      </c>
      <c r="AW51" s="11" t="n">
        <v>-472852713</v>
      </c>
      <c r="AX51" s="11" t="n">
        <v>-160152116</v>
      </c>
      <c r="AY51" s="11" t="n">
        <v>95251953</v>
      </c>
      <c r="AZ51" s="11" t="n">
        <v>-5056435</v>
      </c>
      <c r="BA51" s="11" t="n">
        <v>131463648</v>
      </c>
      <c r="BB51" s="11" t="n">
        <v>-70301801</v>
      </c>
      <c r="BC51" s="11" t="n">
        <v>-5810557</v>
      </c>
      <c r="BD51" s="11" t="n">
        <v>-724105015</v>
      </c>
      <c r="BE51" s="11" t="n">
        <v>1227681297</v>
      </c>
      <c r="BF51" s="11" t="n">
        <v>-1449264641</v>
      </c>
      <c r="BG51" s="11" t="n">
        <v>130039772</v>
      </c>
      <c r="BH51" s="11" t="n">
        <v>934214925</v>
      </c>
      <c r="BI51" s="11" t="n">
        <v>-457500060</v>
      </c>
      <c r="BJ51" s="11" t="n">
        <v>-51074975</v>
      </c>
      <c r="BK51" s="11" t="n">
        <v>-1094123607</v>
      </c>
      <c r="BL51" s="11" t="n">
        <v>254367645</v>
      </c>
      <c r="BM51" s="11" t="n">
        <v>-184385353</v>
      </c>
      <c r="BN51" s="11" t="n">
        <v>-2029728</v>
      </c>
      <c r="BO51" s="11" t="n">
        <v>408890782</v>
      </c>
      <c r="BP51" s="11" t="n">
        <v>-27369440</v>
      </c>
      <c r="BQ51" s="11" t="n">
        <v>263593488</v>
      </c>
      <c r="BR51" s="11" t="n">
        <v>-109660662</v>
      </c>
      <c r="BS51" s="11" t="n">
        <v>-158048839</v>
      </c>
      <c r="BT51" s="11" t="n">
        <v>3273414</v>
      </c>
      <c r="BU51" s="11" t="n">
        <v>-21600</v>
      </c>
      <c r="BV51" s="11" t="n">
        <v>-575568</v>
      </c>
      <c r="BW51" s="11" t="n">
        <v>1058658</v>
      </c>
      <c r="BX51" s="11" t="n">
        <v>-2316747</v>
      </c>
      <c r="BY51" s="11" t="n">
        <v>-39788320</v>
      </c>
      <c r="BZ51" s="11" t="n">
        <v>541055286</v>
      </c>
      <c r="CA51" s="11" t="n">
        <v>-390121358</v>
      </c>
      <c r="CB51" s="11" t="n">
        <v>211820111</v>
      </c>
      <c r="CC51" s="11" t="n">
        <v>-10566240</v>
      </c>
      <c r="CD51" s="11" t="n">
        <v>15442240</v>
      </c>
      <c r="CE51" s="11" t="n">
        <v>-29557760</v>
      </c>
      <c r="CF51" s="11" t="n">
        <v>-106387746</v>
      </c>
      <c r="CG51" s="11" t="n">
        <v>345685371</v>
      </c>
      <c r="CH51" s="11" t="n">
        <v>-207602042</v>
      </c>
      <c r="CI51" s="11" t="n">
        <v>-427580162</v>
      </c>
      <c r="CJ51" s="11" t="n">
        <v>13978240</v>
      </c>
      <c r="CK51" s="11" t="n">
        <v>-298261392</v>
      </c>
      <c r="CL51" s="11" t="n">
        <v>116471754</v>
      </c>
      <c r="CM51" s="11" t="n">
        <v>147398153</v>
      </c>
      <c r="CN51" s="11" t="n">
        <v>2949683950</v>
      </c>
      <c r="CO51" s="11" t="n">
        <v>4556762046</v>
      </c>
      <c r="CP51" s="11" t="n">
        <v>-362365278</v>
      </c>
      <c r="CQ51" s="11" t="n">
        <v>3600877624</v>
      </c>
      <c r="CR51" s="11" t="n">
        <v>-2206539120</v>
      </c>
      <c r="CS51" s="11" t="n">
        <v>815332710</v>
      </c>
      <c r="CT51" s="11" t="n">
        <v>899115695</v>
      </c>
      <c r="CU51" s="11" t="n">
        <v>988480134</v>
      </c>
      <c r="CV51" s="11" t="n">
        <v>4082652183</v>
      </c>
      <c r="CW51" s="11" t="n">
        <v>-1105786815</v>
      </c>
      <c r="CX51" s="11" t="n">
        <v>-17992970</v>
      </c>
      <c r="CY51" s="11" t="n">
        <v>602265168</v>
      </c>
      <c r="CZ51" s="11" t="n">
        <v>-410853784</v>
      </c>
      <c r="DA51" s="11" t="n">
        <v>250329049</v>
      </c>
      <c r="DB51" s="11" t="n">
        <v>-7137840</v>
      </c>
      <c r="DC51" s="11" t="n">
        <v>8530190</v>
      </c>
      <c r="DD51" s="11" t="n">
        <v>-14386285</v>
      </c>
      <c r="DE51" s="11" t="n">
        <v>-122538288</v>
      </c>
      <c r="DF51" s="11" t="n">
        <v>382235376</v>
      </c>
      <c r="DG51" s="11" t="n">
        <v>-209821129</v>
      </c>
      <c r="DH51" s="11" t="n">
        <v>-4346510310</v>
      </c>
      <c r="DI51" s="11" t="n">
        <v>2849544830</v>
      </c>
      <c r="DJ51" s="11" t="n">
        <v>-1878436215</v>
      </c>
      <c r="DK51" s="11" t="n">
        <v>3868100280</v>
      </c>
      <c r="DL51" s="11" t="n">
        <v>2404211769</v>
      </c>
      <c r="DM51" s="11" t="n">
        <v>-3247867337</v>
      </c>
      <c r="DN51" s="11" t="n">
        <v>-930194610</v>
      </c>
      <c r="DO51" s="11" t="n">
        <v>2730075075</v>
      </c>
      <c r="DP51" s="11" t="n">
        <v>-1387816810</v>
      </c>
      <c r="DQ51" s="11" t="n">
        <v>-2944106439</v>
      </c>
      <c r="DR51" s="11" t="n">
        <v>-940912</v>
      </c>
      <c r="DS51" s="11" t="n">
        <v>-660</v>
      </c>
      <c r="DT51" s="11" t="n">
        <v>-1389288</v>
      </c>
      <c r="DU51" s="11" t="n">
        <v>-5902</v>
      </c>
      <c r="DV51" s="11" t="n">
        <v>-1348302</v>
      </c>
      <c r="DW51" s="11" t="n">
        <v>-23240</v>
      </c>
      <c r="DX51" s="11" t="n">
        <v>125918</v>
      </c>
      <c r="DY51" s="11" t="n">
        <v>484048</v>
      </c>
      <c r="DZ51" s="11" t="n">
        <v>100821632</v>
      </c>
      <c r="EA51" s="11" t="n">
        <v>225616</v>
      </c>
      <c r="EB51" s="11" t="n">
        <v>118654672</v>
      </c>
      <c r="EC51" s="11" t="n">
        <v>-40636400</v>
      </c>
      <c r="ED51" s="11" t="n">
        <v>-7835168</v>
      </c>
      <c r="EE51" s="11" t="n">
        <v>-643992</v>
      </c>
      <c r="EF51" s="11" t="n">
        <v>-2878</v>
      </c>
      <c r="EG51" s="11" t="n">
        <v>-610398</v>
      </c>
      <c r="EH51" s="11" t="n">
        <v>-40460</v>
      </c>
      <c r="EI51" s="11" t="n">
        <v>59282</v>
      </c>
      <c r="EJ51" s="11" t="n">
        <v>-299288</v>
      </c>
      <c r="EK51" s="11" t="n">
        <v>30722856</v>
      </c>
      <c r="EL51" s="11" t="n">
        <v>-62491240</v>
      </c>
      <c r="EM51" s="11" t="n">
        <v>1923616</v>
      </c>
      <c r="EN51" s="11" t="n">
        <v>420976</v>
      </c>
      <c r="EO51" s="11" t="n">
        <v>-260470</v>
      </c>
      <c r="EP51" s="11" t="n">
        <v>-18954</v>
      </c>
      <c r="EQ51" s="11" t="n">
        <v>-61161590</v>
      </c>
      <c r="ER51" s="11" t="n">
        <v>4651430</v>
      </c>
      <c r="ES51" s="11" t="n">
        <v>-5631710</v>
      </c>
      <c r="ET51" s="11" t="n">
        <v>-7062</v>
      </c>
      <c r="EU51" s="11" t="n">
        <v>1412396</v>
      </c>
      <c r="EV51" s="11" t="n">
        <v>-110197</v>
      </c>
      <c r="EW51" s="11" t="n">
        <v>-2712477</v>
      </c>
      <c r="EX51" s="11" t="n">
        <v>692244</v>
      </c>
      <c r="EY51" s="11" t="n">
        <v>-2463371</v>
      </c>
      <c r="EZ51" s="11" t="n">
        <v>11418</v>
      </c>
      <c r="FA51" s="11" t="n">
        <v>-33</v>
      </c>
      <c r="FB51" s="11" t="n">
        <v>8217</v>
      </c>
      <c r="FC51" s="11" t="n">
        <v>660</v>
      </c>
      <c r="FD51" s="11" t="n">
        <v>-2673</v>
      </c>
      <c r="FE51" s="11" t="n">
        <v>-171569</v>
      </c>
      <c r="FF51" s="11" t="n">
        <v>-6028989</v>
      </c>
      <c r="FG51" s="11" t="n">
        <v>987236</v>
      </c>
      <c r="FH51" s="11" t="n">
        <v>-3448235</v>
      </c>
      <c r="FI51" s="11" t="n">
        <v>140895</v>
      </c>
      <c r="FJ51" s="11" t="n">
        <v>7064</v>
      </c>
      <c r="FK51" s="11" t="n">
        <v>-30199</v>
      </c>
      <c r="FL51" s="11" t="n">
        <v>1058964</v>
      </c>
      <c r="FM51" s="11" t="n">
        <v>-3892944</v>
      </c>
      <c r="FN51" s="11" t="n">
        <v>31796</v>
      </c>
      <c r="FO51" s="11" t="n">
        <v>-1483316</v>
      </c>
      <c r="FP51" s="11" t="n">
        <v>54997</v>
      </c>
      <c r="FQ51" s="11" t="n">
        <v>504861</v>
      </c>
      <c r="FR51" s="11" t="n">
        <v>-51126</v>
      </c>
      <c r="FS51" s="11" t="n">
        <v>1326077</v>
      </c>
      <c r="FT51" s="11" t="n">
        <v>12146620</v>
      </c>
      <c r="FU51" s="11" t="n">
        <v>468761948</v>
      </c>
      <c r="FV51" s="11" t="n">
        <v>-135175084</v>
      </c>
      <c r="FW51" s="11" t="n">
        <v>252196512</v>
      </c>
      <c r="FX51" s="11" t="n">
        <v>-13246096</v>
      </c>
      <c r="FY51" s="11" t="n">
        <v>4593233</v>
      </c>
      <c r="FZ51" s="11" t="n">
        <v>1508311</v>
      </c>
      <c r="GA51" s="11" t="n">
        <v>29851161</v>
      </c>
      <c r="GB51" s="11" t="n">
        <v>333233279</v>
      </c>
      <c r="GC51" s="11" t="n">
        <v>-112153291</v>
      </c>
      <c r="GD51" s="11" t="n">
        <v>-81989</v>
      </c>
      <c r="GE51" s="11" t="n">
        <v>-2542185</v>
      </c>
      <c r="GF51" s="11" t="n">
        <v>-55966</v>
      </c>
      <c r="GG51" s="11" t="n">
        <v>-1582589</v>
      </c>
      <c r="GH51" s="11" t="n">
        <v>66351</v>
      </c>
      <c r="GI51" s="11" t="n">
        <v>4901</v>
      </c>
      <c r="GJ51" s="11" t="n">
        <v>-14620</v>
      </c>
      <c r="GK51" s="11" t="n">
        <v>106671</v>
      </c>
      <c r="GL51" s="11" t="n">
        <v>-1734051</v>
      </c>
      <c r="GM51" s="11" t="n">
        <v>-104581</v>
      </c>
      <c r="GN51" s="11" t="n">
        <v>-5092892</v>
      </c>
      <c r="GO51" s="11" t="n">
        <v>7929981</v>
      </c>
      <c r="GP51" s="11" t="n">
        <v>-980393</v>
      </c>
      <c r="GQ51" s="11" t="n">
        <v>249356713</v>
      </c>
      <c r="GR51" s="11" t="n">
        <v>67906847</v>
      </c>
      <c r="GS51" s="11" t="n">
        <v>-153737323</v>
      </c>
      <c r="GT51" s="11" t="n">
        <v>-6721907</v>
      </c>
      <c r="GU51" s="11" t="n">
        <v>1701547</v>
      </c>
      <c r="GV51" s="11" t="n">
        <v>-1355443</v>
      </c>
      <c r="GW51" s="11" t="n">
        <v>-172938220</v>
      </c>
      <c r="GX51" s="11" t="n">
        <v>183814</v>
      </c>
      <c r="GY51" s="11" t="n">
        <v>-37092588</v>
      </c>
      <c r="GZ51" s="11" t="n">
        <v>2386493</v>
      </c>
      <c r="HA51" s="11" t="n">
        <v>-46202203</v>
      </c>
      <c r="HB51" s="11" t="n">
        <v>16537388</v>
      </c>
      <c r="HC51" s="11" t="n">
        <v>2540467</v>
      </c>
      <c r="HD51" s="11" t="n">
        <v>-297426</v>
      </c>
      <c r="HE51" s="11" t="n">
        <v>521</v>
      </c>
      <c r="HF51" s="11" t="n">
        <v>-295809</v>
      </c>
      <c r="HG51" s="11" t="n">
        <v>7060</v>
      </c>
      <c r="HH51" s="11" t="n">
        <v>26381</v>
      </c>
      <c r="HI51" s="11" t="n">
        <v>3756405</v>
      </c>
      <c r="HJ51" s="11" t="n">
        <v>-15066399</v>
      </c>
      <c r="HK51" s="11" t="n">
        <v>25334172</v>
      </c>
      <c r="HL51" s="11" t="n">
        <v>-1212849</v>
      </c>
      <c r="HM51" s="11" t="n">
        <v>-3709591</v>
      </c>
      <c r="HN51" s="11" t="n">
        <v>44788</v>
      </c>
      <c r="HO51" s="11" t="n">
        <v>335309</v>
      </c>
      <c r="HP51" s="11" t="n">
        <v>24838808</v>
      </c>
      <c r="HQ51" s="11" t="n">
        <v>-2542610</v>
      </c>
      <c r="HR51" s="11" t="n">
        <v>2275872</v>
      </c>
      <c r="HS51" s="11" t="n">
        <v>38778356</v>
      </c>
      <c r="HT51" s="11" t="n">
        <v>-1183645</v>
      </c>
      <c r="HU51" s="11" t="n">
        <v>46948571</v>
      </c>
      <c r="HV51" s="11" t="n">
        <v>-16446202</v>
      </c>
      <c r="HW51" s="11" t="n">
        <v>-2837589</v>
      </c>
      <c r="HX51" s="11" t="n">
        <v>-264614332</v>
      </c>
      <c r="HY51" s="11" t="n">
        <v>273110180</v>
      </c>
      <c r="HZ51" s="11" t="n">
        <v>-170066068</v>
      </c>
      <c r="IA51" s="11" t="n">
        <v>36658720</v>
      </c>
      <c r="IB51" s="11" t="n">
        <v>312029712</v>
      </c>
      <c r="IC51" s="11" t="n">
        <v>-107034009</v>
      </c>
      <c r="ID51" s="11" t="n">
        <v>-20481983</v>
      </c>
      <c r="IE51" s="11" t="n">
        <v>-90069153</v>
      </c>
      <c r="IF51" s="11" t="n">
        <v>64367065</v>
      </c>
      <c r="IG51" s="11" t="n">
        <v>-27991757</v>
      </c>
      <c r="IH51" s="11" t="n">
        <v>1805321</v>
      </c>
      <c r="II51" s="11" t="n">
        <v>-13561203</v>
      </c>
      <c r="IJ51" s="11" t="n">
        <v>25121878</v>
      </c>
      <c r="IK51" s="11" t="n">
        <v>-974023</v>
      </c>
      <c r="IL51" s="11" t="n">
        <v>-1771751</v>
      </c>
      <c r="IM51" s="11" t="n">
        <v>-1153</v>
      </c>
      <c r="IN51" s="11" t="n">
        <v>161834</v>
      </c>
      <c r="IO51" s="11" t="n">
        <v>24663397</v>
      </c>
      <c r="IP51" s="11" t="n">
        <v>-2171575</v>
      </c>
      <c r="IQ51" s="11" t="n">
        <v>2251373</v>
      </c>
      <c r="IR51" s="11" t="n">
        <v>79823836</v>
      </c>
      <c r="IS51" s="11" t="n">
        <v>-163508353</v>
      </c>
      <c r="IT51" s="11" t="n">
        <v>4939861</v>
      </c>
      <c r="IU51" s="11" t="n">
        <v>117455731</v>
      </c>
      <c r="IV51" s="11" t="n">
        <v>5960045</v>
      </c>
      <c r="IW51" s="11" t="n">
        <v>-19477041</v>
      </c>
      <c r="IX51" s="11" t="n">
        <v>160518891</v>
      </c>
      <c r="IY51" s="11" t="n">
        <v>-12003635</v>
      </c>
      <c r="IZ51" s="11" t="n">
        <v>14654189</v>
      </c>
      <c r="JA51" s="11" t="n">
        <v>-29647730</v>
      </c>
      <c r="JB51" s="11" t="n">
        <v>-2476</v>
      </c>
      <c r="JC51" s="11" t="n">
        <v>-3616</v>
      </c>
      <c r="JD51" s="11" t="n">
        <v>-876672</v>
      </c>
      <c r="JE51" s="11" t="n">
        <v>259356</v>
      </c>
      <c r="JF51" s="11" t="n">
        <v>-462170</v>
      </c>
      <c r="JG51" s="11" t="n">
        <v>761834</v>
      </c>
      <c r="JH51" s="11" t="n">
        <v>176284922</v>
      </c>
      <c r="JI51" s="11" t="n">
        <v>-52113760</v>
      </c>
      <c r="JJ51" s="11" t="n">
        <v>93297418</v>
      </c>
      <c r="JK51" s="11" t="n">
        <v>-12290896</v>
      </c>
      <c r="JL51" s="11" t="n">
        <v>3692594</v>
      </c>
      <c r="JM51" s="11" t="n">
        <v>-5950467</v>
      </c>
      <c r="JN51" s="11" t="n">
        <v>13682562</v>
      </c>
      <c r="JO51" s="11" t="n">
        <v>128284181</v>
      </c>
      <c r="JP51" s="11" t="n">
        <v>-45165058</v>
      </c>
      <c r="JQ51" s="11" t="n">
        <v>5858</v>
      </c>
      <c r="JR51" s="11" t="n">
        <v>1414542</v>
      </c>
      <c r="JS51" s="11" t="n">
        <v>-419564</v>
      </c>
      <c r="JT51" s="11" t="n">
        <v>748184</v>
      </c>
      <c r="JU51" s="11" t="n">
        <v>-8304</v>
      </c>
      <c r="JV51" s="11" t="n">
        <v>874</v>
      </c>
      <c r="JW51" s="11" t="n">
        <v>-791</v>
      </c>
      <c r="JX51" s="11" t="n">
        <v>-383706</v>
      </c>
      <c r="JY51" s="11" t="n">
        <v>869583</v>
      </c>
      <c r="JZ51" s="11" t="n">
        <v>-54974</v>
      </c>
      <c r="KA51" s="11" t="n">
        <v>-18162002</v>
      </c>
      <c r="KB51" s="11" t="n">
        <v>5797946</v>
      </c>
      <c r="KC51" s="11" t="n">
        <v>-9473237</v>
      </c>
      <c r="KD51" s="11" t="n">
        <v>99234538</v>
      </c>
      <c r="KE51" s="11" t="n">
        <v>32131733</v>
      </c>
      <c r="KF51" s="11" t="n">
        <v>-62017962</v>
      </c>
      <c r="KG51" s="11" t="n">
        <v>-5509142</v>
      </c>
      <c r="KH51" s="11" t="n">
        <v>10976377</v>
      </c>
      <c r="KI51" s="11" t="n">
        <v>-630494</v>
      </c>
      <c r="KJ51" s="11" t="n">
        <v>-69719956</v>
      </c>
      <c r="KK51" s="11" t="n">
        <v>-778794</v>
      </c>
      <c r="KL51" s="11" t="n">
        <v>-184314874</v>
      </c>
      <c r="KM51" s="11" t="n">
        <v>54493556</v>
      </c>
      <c r="KN51" s="11" t="n">
        <v>-97540006</v>
      </c>
      <c r="KO51" s="11" t="n">
        <v>6568784</v>
      </c>
      <c r="KP51" s="11" t="n">
        <v>-1993618</v>
      </c>
      <c r="KQ51" s="11" t="n">
        <v>2920259</v>
      </c>
      <c r="KR51" s="11" t="n">
        <v>-12194562</v>
      </c>
      <c r="KS51" s="11" t="n">
        <v>-131577877</v>
      </c>
      <c r="KT51" s="11" t="n">
        <v>45355016</v>
      </c>
      <c r="KU51" s="11" t="n">
        <v>1263206048</v>
      </c>
      <c r="KV51" s="11" t="n">
        <v>-375266614</v>
      </c>
      <c r="KW51" s="11" t="n">
        <v>666326162</v>
      </c>
      <c r="KX51" s="11" t="n">
        <v>-424539942</v>
      </c>
      <c r="KY51" s="11" t="n">
        <v>-512719550</v>
      </c>
      <c r="KZ51" s="11" t="n">
        <v>376255798</v>
      </c>
      <c r="LA51" s="11" t="n">
        <v>-68445552</v>
      </c>
      <c r="LB51" s="11" t="n">
        <v>-883499104</v>
      </c>
      <c r="LC51" s="11" t="n">
        <v>298569485</v>
      </c>
      <c r="LD51" s="11" t="n">
        <v>269146341</v>
      </c>
      <c r="LE51" s="11" t="n">
        <v>-8853106</v>
      </c>
      <c r="LF51" s="11" t="n">
        <v>3041468</v>
      </c>
      <c r="LG51" s="11" t="n">
        <v>-4560523</v>
      </c>
      <c r="LH51" s="11" t="n">
        <v>100348184</v>
      </c>
      <c r="LI51" s="11" t="n">
        <v>29481211</v>
      </c>
      <c r="LJ51" s="11" t="n">
        <v>-61820830</v>
      </c>
      <c r="LK51" s="11" t="n">
        <v>-2990566</v>
      </c>
      <c r="LL51" s="11" t="n">
        <v>5269337</v>
      </c>
      <c r="LM51" s="11" t="n">
        <v>-269733</v>
      </c>
      <c r="LN51" s="11" t="n">
        <v>-69685589</v>
      </c>
      <c r="LO51" s="11" t="n">
        <v>-667346770</v>
      </c>
      <c r="LP51" s="11" t="n">
        <v>-177422922</v>
      </c>
      <c r="LQ51" s="11" t="n">
        <v>404725351</v>
      </c>
      <c r="LR51" s="11" t="n">
        <v>-211239187</v>
      </c>
      <c r="LS51" s="11" t="n">
        <v>-457135607</v>
      </c>
    </row>
    <row r="52" customFormat="false" ht="15" hidden="false" customHeight="true" outlineLevel="0" collapsed="false">
      <c r="A52" s="7" t="s">
        <v>118</v>
      </c>
      <c r="B52" s="11" t="n">
        <v>-6445234</v>
      </c>
      <c r="C52" s="11" t="n">
        <v>176470888</v>
      </c>
      <c r="D52" s="11" t="n">
        <v>-3855454</v>
      </c>
      <c r="E52" s="11" t="n">
        <v>-176667184</v>
      </c>
      <c r="F52" s="11" t="n">
        <v>-7495202</v>
      </c>
      <c r="G52" s="11" t="n">
        <v>-522655546</v>
      </c>
      <c r="H52" s="11" t="n">
        <v>307723090</v>
      </c>
      <c r="I52" s="11" t="n">
        <v>-12862024</v>
      </c>
      <c r="J52" s="11" t="n">
        <v>-13360945</v>
      </c>
      <c r="K52" s="11" t="n">
        <v>18237</v>
      </c>
      <c r="L52" s="11" t="n">
        <v>-21472475</v>
      </c>
      <c r="M52" s="11" t="n">
        <v>450192</v>
      </c>
      <c r="N52" s="11" t="n">
        <v>600309</v>
      </c>
      <c r="O52" s="11" t="n">
        <v>-4289288</v>
      </c>
      <c r="P52" s="11" t="n">
        <v>17318965</v>
      </c>
      <c r="Q52" s="11" t="n">
        <v>7493011</v>
      </c>
      <c r="R52" s="11" t="n">
        <v>954148020</v>
      </c>
      <c r="S52" s="11" t="n">
        <v>3211241</v>
      </c>
      <c r="T52" s="11" t="n">
        <v>1067026417</v>
      </c>
      <c r="U52" s="11" t="n">
        <v>-520467809</v>
      </c>
      <c r="V52" s="11" t="n">
        <v>-447531360</v>
      </c>
      <c r="W52" s="11" t="n">
        <v>-13344437</v>
      </c>
      <c r="X52" s="11" t="n">
        <v>248091</v>
      </c>
      <c r="Y52" s="11" t="n">
        <v>-1119774</v>
      </c>
      <c r="Z52" s="11" t="n">
        <v>-1695083</v>
      </c>
      <c r="AA52" s="11" t="n">
        <v>10323583</v>
      </c>
      <c r="AB52" s="11" t="n">
        <v>37310467</v>
      </c>
      <c r="AC52" s="11" t="n">
        <v>1757696159</v>
      </c>
      <c r="AD52" s="11" t="n">
        <v>-1142759563</v>
      </c>
      <c r="AE52" s="11" t="n">
        <v>517571940</v>
      </c>
      <c r="AF52" s="11" t="n">
        <v>-35808771</v>
      </c>
      <c r="AG52" s="11" t="n">
        <v>16506056</v>
      </c>
      <c r="AH52" s="11" t="n">
        <v>19241933</v>
      </c>
      <c r="AI52" s="11" t="n">
        <v>-319164707</v>
      </c>
      <c r="AJ52" s="11" t="n">
        <v>1403227861</v>
      </c>
      <c r="AK52" s="11" t="n">
        <v>-818321957</v>
      </c>
      <c r="AL52" s="11" t="n">
        <v>-90267309</v>
      </c>
      <c r="AM52" s="11" t="n">
        <v>-1024393</v>
      </c>
      <c r="AN52" s="11" t="n">
        <v>6977675</v>
      </c>
      <c r="AO52" s="11" t="n">
        <v>-13743840</v>
      </c>
      <c r="AP52" s="11" t="n">
        <v>170401657</v>
      </c>
      <c r="AQ52" s="11" t="n">
        <v>-126742796</v>
      </c>
      <c r="AR52" s="11" t="n">
        <v>13955757</v>
      </c>
      <c r="AS52" s="11" t="n">
        <v>82044655</v>
      </c>
      <c r="AT52" s="11" t="n">
        <v>2283224284</v>
      </c>
      <c r="AU52" s="11" t="n">
        <v>481279557</v>
      </c>
      <c r="AV52" s="11" t="n">
        <v>2654329997</v>
      </c>
      <c r="AW52" s="11" t="n">
        <v>-839522893</v>
      </c>
      <c r="AX52" s="11" t="n">
        <v>-201973200</v>
      </c>
      <c r="AY52" s="11" t="n">
        <v>32253093</v>
      </c>
      <c r="AZ52" s="11" t="n">
        <v>-7030111</v>
      </c>
      <c r="BA52" s="11" t="n">
        <v>185001884</v>
      </c>
      <c r="BB52" s="11" t="n">
        <v>-124724781</v>
      </c>
      <c r="BC52" s="11" t="n">
        <v>10392415</v>
      </c>
      <c r="BD52" s="11" t="n">
        <v>-384840115</v>
      </c>
      <c r="BE52" s="11" t="n">
        <v>4104965057</v>
      </c>
      <c r="BF52" s="11" t="n">
        <v>-3140941221</v>
      </c>
      <c r="BG52" s="11" t="n">
        <v>368609932</v>
      </c>
      <c r="BH52" s="11" t="n">
        <v>1312673681</v>
      </c>
      <c r="BI52" s="11" t="n">
        <v>-803579788</v>
      </c>
      <c r="BJ52" s="11" t="n">
        <v>43656261</v>
      </c>
      <c r="BK52" s="11" t="n">
        <v>-2142094579</v>
      </c>
      <c r="BL52" s="11" t="n">
        <v>791645981</v>
      </c>
      <c r="BM52" s="11" t="n">
        <v>-413381389</v>
      </c>
      <c r="BN52" s="11" t="n">
        <v>-2378977</v>
      </c>
      <c r="BO52" s="11" t="n">
        <v>315192725</v>
      </c>
      <c r="BP52" s="11" t="n">
        <v>-34795992</v>
      </c>
      <c r="BQ52" s="11" t="n">
        <v>344834476</v>
      </c>
      <c r="BR52" s="11" t="n">
        <v>-202664642</v>
      </c>
      <c r="BS52" s="11" t="n">
        <v>-213626730</v>
      </c>
      <c r="BT52" s="11" t="n">
        <v>3393050</v>
      </c>
      <c r="BU52" s="11" t="n">
        <v>-32664</v>
      </c>
      <c r="BV52" s="11" t="n">
        <v>-577569</v>
      </c>
      <c r="BW52" s="11" t="n">
        <v>1040354</v>
      </c>
      <c r="BX52" s="11" t="n">
        <v>-2792131</v>
      </c>
      <c r="BY52" s="11" t="n">
        <v>-45300600</v>
      </c>
      <c r="BZ52" s="11" t="n">
        <v>568347725</v>
      </c>
      <c r="CA52" s="11" t="n">
        <v>-426890750</v>
      </c>
      <c r="CB52" s="11" t="n">
        <v>65243675</v>
      </c>
      <c r="CC52" s="11" t="n">
        <v>-13182456</v>
      </c>
      <c r="CD52" s="11" t="n">
        <v>17999328</v>
      </c>
      <c r="CE52" s="11" t="n">
        <v>-37905816</v>
      </c>
      <c r="CF52" s="11" t="n">
        <v>-101597078</v>
      </c>
      <c r="CG52" s="11" t="n">
        <v>456585838</v>
      </c>
      <c r="CH52" s="11" t="n">
        <v>-331282586</v>
      </c>
      <c r="CI52" s="11" t="n">
        <v>-346655027</v>
      </c>
      <c r="CJ52" s="11" t="n">
        <v>18942319</v>
      </c>
      <c r="CK52" s="11" t="n">
        <v>-383377061</v>
      </c>
      <c r="CL52" s="11" t="n">
        <v>206328919</v>
      </c>
      <c r="CM52" s="11" t="n">
        <v>199489950</v>
      </c>
      <c r="CN52" s="11" t="n">
        <v>2560648717</v>
      </c>
      <c r="CO52" s="11" t="n">
        <v>546056549</v>
      </c>
      <c r="CP52" s="11" t="n">
        <v>2194784867</v>
      </c>
      <c r="CQ52" s="11" t="n">
        <v>4698237480</v>
      </c>
      <c r="CR52" s="11" t="n">
        <v>-2861742884</v>
      </c>
      <c r="CS52" s="11" t="n">
        <v>1404167050</v>
      </c>
      <c r="CT52" s="11" t="n">
        <v>1216852890</v>
      </c>
      <c r="CU52" s="11" t="n">
        <v>2752296534</v>
      </c>
      <c r="CV52" s="11" t="n">
        <v>5510173290</v>
      </c>
      <c r="CW52" s="11" t="n">
        <v>-1533353610</v>
      </c>
      <c r="CX52" s="11" t="n">
        <v>-22257086</v>
      </c>
      <c r="CY52" s="11" t="n">
        <v>630958069</v>
      </c>
      <c r="CZ52" s="11" t="n">
        <v>-445875804</v>
      </c>
      <c r="DA52" s="11" t="n">
        <v>122332781</v>
      </c>
      <c r="DB52" s="11" t="n">
        <v>-9862695</v>
      </c>
      <c r="DC52" s="11" t="n">
        <v>11116646</v>
      </c>
      <c r="DD52" s="11" t="n">
        <v>-19492957</v>
      </c>
      <c r="DE52" s="11" t="n">
        <v>-117562579</v>
      </c>
      <c r="DF52" s="11" t="n">
        <v>498389933</v>
      </c>
      <c r="DG52" s="11" t="n">
        <v>-329401057</v>
      </c>
      <c r="DH52" s="11" t="n">
        <v>-4695779581</v>
      </c>
      <c r="DI52" s="11" t="n">
        <v>3152649478</v>
      </c>
      <c r="DJ52" s="11" t="n">
        <v>-1205291491</v>
      </c>
      <c r="DK52" s="11" t="n">
        <v>4697149897</v>
      </c>
      <c r="DL52" s="11" t="n">
        <v>8358714013</v>
      </c>
      <c r="DM52" s="11" t="n">
        <v>-6817511261</v>
      </c>
      <c r="DN52" s="11" t="n">
        <v>-948358606</v>
      </c>
      <c r="DO52" s="11" t="n">
        <v>3578510102</v>
      </c>
      <c r="DP52" s="11" t="n">
        <v>-2159117410</v>
      </c>
      <c r="DQ52" s="11" t="n">
        <v>-5267678412</v>
      </c>
      <c r="DR52" s="11" t="n">
        <v>-1675002</v>
      </c>
      <c r="DS52" s="11" t="n">
        <v>5952</v>
      </c>
      <c r="DT52" s="11" t="n">
        <v>-5194940</v>
      </c>
      <c r="DU52" s="11" t="n">
        <v>65290</v>
      </c>
      <c r="DV52" s="11" t="n">
        <v>-2800332</v>
      </c>
      <c r="DW52" s="11" t="n">
        <v>-309960</v>
      </c>
      <c r="DX52" s="11" t="n">
        <v>685130</v>
      </c>
      <c r="DY52" s="11" t="n">
        <v>838998</v>
      </c>
      <c r="DZ52" s="11" t="n">
        <v>188150432</v>
      </c>
      <c r="EA52" s="11" t="n">
        <v>160226</v>
      </c>
      <c r="EB52" s="11" t="n">
        <v>212502162</v>
      </c>
      <c r="EC52" s="11" t="n">
        <v>-71485050</v>
      </c>
      <c r="ED52" s="11" t="n">
        <v>-15416288</v>
      </c>
      <c r="EE52" s="11" t="n">
        <v>-3270692</v>
      </c>
      <c r="EF52" s="11" t="n">
        <v>32134</v>
      </c>
      <c r="EG52" s="11" t="n">
        <v>-2157780</v>
      </c>
      <c r="EH52" s="11" t="n">
        <v>98760</v>
      </c>
      <c r="EI52" s="11" t="n">
        <v>397958</v>
      </c>
      <c r="EJ52" s="11" t="n">
        <v>7830860</v>
      </c>
      <c r="EK52" s="11" t="n">
        <v>344508428</v>
      </c>
      <c r="EL52" s="11" t="n">
        <v>-256524860</v>
      </c>
      <c r="EM52" s="11" t="n">
        <v>29146720</v>
      </c>
      <c r="EN52" s="11" t="n">
        <v>-8551006</v>
      </c>
      <c r="EO52" s="11" t="n">
        <v>2756770</v>
      </c>
      <c r="EP52" s="11" t="n">
        <v>666450</v>
      </c>
      <c r="EQ52" s="11" t="n">
        <v>-158835060</v>
      </c>
      <c r="ER52" s="11" t="n">
        <v>61146722</v>
      </c>
      <c r="ES52" s="11" t="n">
        <v>-32092490</v>
      </c>
      <c r="ET52" s="11" t="n">
        <v>7599</v>
      </c>
      <c r="EU52" s="11" t="n">
        <v>-5188775</v>
      </c>
      <c r="EV52" s="11" t="n">
        <v>18349</v>
      </c>
      <c r="EW52" s="11" t="n">
        <v>-5961087</v>
      </c>
      <c r="EX52" s="11" t="n">
        <v>472164</v>
      </c>
      <c r="EY52" s="11" t="n">
        <v>-3080620</v>
      </c>
      <c r="EZ52" s="11" t="n">
        <v>-5130</v>
      </c>
      <c r="FA52" s="11" t="n">
        <v>231</v>
      </c>
      <c r="FB52" s="11" t="n">
        <v>8478</v>
      </c>
      <c r="FC52" s="11" t="n">
        <v>-3084</v>
      </c>
      <c r="FD52" s="11" t="n">
        <v>14055</v>
      </c>
      <c r="FE52" s="11" t="n">
        <v>-145345</v>
      </c>
      <c r="FF52" s="11" t="n">
        <v>-9813240</v>
      </c>
      <c r="FG52" s="11" t="n">
        <v>2424580</v>
      </c>
      <c r="FH52" s="11" t="n">
        <v>-11676775</v>
      </c>
      <c r="FI52" s="11" t="n">
        <v>201681</v>
      </c>
      <c r="FJ52" s="11" t="n">
        <v>-21800</v>
      </c>
      <c r="FK52" s="11" t="n">
        <v>127585</v>
      </c>
      <c r="FL52" s="11" t="n">
        <v>1892484</v>
      </c>
      <c r="FM52" s="11" t="n">
        <v>-7588575</v>
      </c>
      <c r="FN52" s="11" t="n">
        <v>-376940</v>
      </c>
      <c r="FO52" s="11" t="n">
        <v>3452609</v>
      </c>
      <c r="FP52" s="11" t="n">
        <v>-8464</v>
      </c>
      <c r="FQ52" s="11" t="n">
        <v>3949932</v>
      </c>
      <c r="FR52" s="11" t="n">
        <v>-560811</v>
      </c>
      <c r="FS52" s="11" t="n">
        <v>1473124</v>
      </c>
      <c r="FT52" s="11" t="n">
        <v>-2557459</v>
      </c>
      <c r="FU52" s="11" t="n">
        <v>11316517</v>
      </c>
      <c r="FV52" s="11" t="n">
        <v>168406951</v>
      </c>
      <c r="FW52" s="11" t="n">
        <v>393797520</v>
      </c>
      <c r="FX52" s="11" t="n">
        <v>2898100</v>
      </c>
      <c r="FY52" s="11" t="n">
        <v>-828257</v>
      </c>
      <c r="FZ52" s="11" t="n">
        <v>125804</v>
      </c>
      <c r="GA52" s="11" t="n">
        <v>194502891</v>
      </c>
      <c r="GB52" s="11" t="n">
        <v>445692748</v>
      </c>
      <c r="GC52" s="11" t="n">
        <v>-135819116</v>
      </c>
      <c r="GD52" s="11" t="n">
        <v>-99241</v>
      </c>
      <c r="GE52" s="11" t="n">
        <v>-6518538</v>
      </c>
      <c r="GF52" s="11" t="n">
        <v>1779814</v>
      </c>
      <c r="GG52" s="11" t="n">
        <v>-7380385</v>
      </c>
      <c r="GH52" s="11" t="n">
        <v>129516</v>
      </c>
      <c r="GI52" s="11" t="n">
        <v>-20483</v>
      </c>
      <c r="GJ52" s="11" t="n">
        <v>60436</v>
      </c>
      <c r="GK52" s="11" t="n">
        <v>977370</v>
      </c>
      <c r="GL52" s="11" t="n">
        <v>-5662212</v>
      </c>
      <c r="GM52" s="11" t="n">
        <v>439411</v>
      </c>
      <c r="GN52" s="11" t="n">
        <v>5153771</v>
      </c>
      <c r="GO52" s="11" t="n">
        <v>3522285</v>
      </c>
      <c r="GP52" s="11" t="n">
        <v>16786115</v>
      </c>
      <c r="GQ52" s="11" t="n">
        <v>323786564</v>
      </c>
      <c r="GR52" s="11" t="n">
        <v>719300635</v>
      </c>
      <c r="GS52" s="11" t="n">
        <v>-562992935</v>
      </c>
      <c r="GT52" s="11" t="n">
        <v>-5660533</v>
      </c>
      <c r="GU52" s="11" t="n">
        <v>-18768424</v>
      </c>
      <c r="GV52" s="11" t="n">
        <v>5609605</v>
      </c>
      <c r="GW52" s="11" t="n">
        <v>-389101211</v>
      </c>
      <c r="GX52" s="11" t="n">
        <v>349581</v>
      </c>
      <c r="GY52" s="11" t="n">
        <v>-74569965</v>
      </c>
      <c r="GZ52" s="11" t="n">
        <v>4486185</v>
      </c>
      <c r="HA52" s="11" t="n">
        <v>-83503803</v>
      </c>
      <c r="HB52" s="11" t="n">
        <v>28597128</v>
      </c>
      <c r="HC52" s="11" t="n">
        <v>5968584</v>
      </c>
      <c r="HD52" s="11" t="n">
        <v>-819230</v>
      </c>
      <c r="HE52" s="11" t="n">
        <v>-2315</v>
      </c>
      <c r="HF52" s="11" t="n">
        <v>-287718</v>
      </c>
      <c r="HG52" s="11" t="n">
        <v>-166308</v>
      </c>
      <c r="HH52" s="11" t="n">
        <v>121781</v>
      </c>
      <c r="HI52" s="11" t="n">
        <v>11007025</v>
      </c>
      <c r="HJ52" s="11" t="n">
        <v>-134314220</v>
      </c>
      <c r="HK52" s="11" t="n">
        <v>102491860</v>
      </c>
      <c r="HL52" s="11" t="n">
        <v>-11990245</v>
      </c>
      <c r="HM52" s="11" t="n">
        <v>-4245275</v>
      </c>
      <c r="HN52" s="11" t="n">
        <v>-1944860</v>
      </c>
      <c r="HO52" s="11" t="n">
        <v>1602345</v>
      </c>
      <c r="HP52" s="11" t="n">
        <v>63262188</v>
      </c>
      <c r="HQ52" s="11" t="n">
        <v>-24177251</v>
      </c>
      <c r="HR52" s="11" t="n">
        <v>12801640</v>
      </c>
      <c r="HS52" s="11" t="n">
        <v>76619531</v>
      </c>
      <c r="HT52" s="11" t="n">
        <v>-2213662</v>
      </c>
      <c r="HU52" s="11" t="n">
        <v>86176758</v>
      </c>
      <c r="HV52" s="11" t="n">
        <v>-29243397</v>
      </c>
      <c r="HW52" s="11" t="n">
        <v>-6207080</v>
      </c>
      <c r="HX52" s="11" t="n">
        <v>-511059505</v>
      </c>
      <c r="HY52" s="11" t="n">
        <v>-80598217</v>
      </c>
      <c r="HZ52" s="11" t="n">
        <v>-29805523</v>
      </c>
      <c r="IA52" s="11" t="n">
        <v>15880816</v>
      </c>
      <c r="IB52" s="11" t="n">
        <v>577135724</v>
      </c>
      <c r="IC52" s="11" t="n">
        <v>-194195089</v>
      </c>
      <c r="ID52" s="11" t="n">
        <v>-41860632</v>
      </c>
      <c r="IE52" s="11" t="n">
        <v>-64285293</v>
      </c>
      <c r="IF52" s="11" t="n">
        <v>11332328</v>
      </c>
      <c r="IG52" s="11" t="n">
        <v>-8475832</v>
      </c>
      <c r="IH52" s="11" t="n">
        <v>5695025</v>
      </c>
      <c r="II52" s="11" t="n">
        <v>-138891322</v>
      </c>
      <c r="IJ52" s="11" t="n">
        <v>104981418</v>
      </c>
      <c r="IK52" s="11" t="n">
        <v>-12145331</v>
      </c>
      <c r="IL52" s="11" t="n">
        <v>-2392606</v>
      </c>
      <c r="IM52" s="11" t="n">
        <v>-859461</v>
      </c>
      <c r="IN52" s="11" t="n">
        <v>812262</v>
      </c>
      <c r="IO52" s="11" t="n">
        <v>65065710</v>
      </c>
      <c r="IP52" s="11" t="n">
        <v>-24912118</v>
      </c>
      <c r="IQ52" s="11" t="n">
        <v>13140237</v>
      </c>
      <c r="IR52" s="11" t="n">
        <v>932408985</v>
      </c>
      <c r="IS52" s="11" t="n">
        <v>-698020565</v>
      </c>
      <c r="IT52" s="11" t="n">
        <v>79830105</v>
      </c>
      <c r="IU52" s="11" t="n">
        <v>-164462552</v>
      </c>
      <c r="IV52" s="11" t="n">
        <v>41563809</v>
      </c>
      <c r="IW52" s="11" t="n">
        <v>-17034725</v>
      </c>
      <c r="IX52" s="11" t="n">
        <v>433967779</v>
      </c>
      <c r="IY52" s="11" t="n">
        <v>-166524708</v>
      </c>
      <c r="IZ52" s="11" t="n">
        <v>87508785</v>
      </c>
      <c r="JA52" s="11" t="n">
        <v>10027493</v>
      </c>
      <c r="JB52" s="11" t="n">
        <v>-744620</v>
      </c>
      <c r="JC52" s="11" t="n">
        <v>-16523</v>
      </c>
      <c r="JD52" s="11" t="n">
        <v>-865275</v>
      </c>
      <c r="JE52" s="11" t="n">
        <v>-31194</v>
      </c>
      <c r="JF52" s="11" t="n">
        <v>-670018</v>
      </c>
      <c r="JG52" s="11" t="n">
        <v>13080295</v>
      </c>
      <c r="JH52" s="11" t="n">
        <v>6707815</v>
      </c>
      <c r="JI52" s="11" t="n">
        <v>67566970</v>
      </c>
      <c r="JJ52" s="11" t="n">
        <v>155636450</v>
      </c>
      <c r="JK52" s="11" t="n">
        <v>-15050924</v>
      </c>
      <c r="JL52" s="11" t="n">
        <v>951334</v>
      </c>
      <c r="JM52" s="11" t="n">
        <v>-8316258</v>
      </c>
      <c r="JN52" s="11" t="n">
        <v>78234222</v>
      </c>
      <c r="JO52" s="11" t="n">
        <v>174819334</v>
      </c>
      <c r="JP52" s="11" t="n">
        <v>-54277568</v>
      </c>
      <c r="JQ52" s="11" t="n">
        <v>33790</v>
      </c>
      <c r="JR52" s="11" t="n">
        <v>1414890</v>
      </c>
      <c r="JS52" s="11" t="n">
        <v>-281140</v>
      </c>
      <c r="JT52" s="11" t="n">
        <v>1829560</v>
      </c>
      <c r="JU52" s="11" t="n">
        <v>-7869</v>
      </c>
      <c r="JV52" s="11" t="n">
        <v>-7654</v>
      </c>
      <c r="JW52" s="11" t="n">
        <v>10193</v>
      </c>
      <c r="JX52" s="11" t="n">
        <v>-385968</v>
      </c>
      <c r="JY52" s="11" t="n">
        <v>852879</v>
      </c>
      <c r="JZ52" s="11" t="n">
        <v>329618</v>
      </c>
      <c r="KA52" s="11" t="n">
        <v>-24550135</v>
      </c>
      <c r="KB52" s="11" t="n">
        <v>8004730</v>
      </c>
      <c r="KC52" s="11" t="n">
        <v>-25076185</v>
      </c>
      <c r="KD52" s="11" t="n">
        <v>130920020</v>
      </c>
      <c r="KE52" s="11" t="n">
        <v>279251305</v>
      </c>
      <c r="KF52" s="11" t="n">
        <v>-224777010</v>
      </c>
      <c r="KG52" s="11" t="n">
        <v>-7425154</v>
      </c>
      <c r="KH52" s="11" t="n">
        <v>13245458</v>
      </c>
      <c r="KI52" s="11" t="n">
        <v>3265490</v>
      </c>
      <c r="KJ52" s="11" t="n">
        <v>-155094038</v>
      </c>
      <c r="KK52" s="11" t="n">
        <v>-8336613</v>
      </c>
      <c r="KL52" s="11" t="n">
        <v>-6087365</v>
      </c>
      <c r="KM52" s="11" t="n">
        <v>-69126434</v>
      </c>
      <c r="KN52" s="11" t="n">
        <v>-160072718</v>
      </c>
      <c r="KO52" s="11" t="n">
        <v>9552364</v>
      </c>
      <c r="KP52" s="11" t="n">
        <v>-1184663</v>
      </c>
      <c r="KQ52" s="11" t="n">
        <v>3949396</v>
      </c>
      <c r="KR52" s="11" t="n">
        <v>-80072367</v>
      </c>
      <c r="KS52" s="11" t="n">
        <v>-180532724</v>
      </c>
      <c r="KT52" s="11" t="n">
        <v>55494946</v>
      </c>
      <c r="KU52" s="11" t="n">
        <v>31833784</v>
      </c>
      <c r="KV52" s="11" t="n">
        <v>457836841</v>
      </c>
      <c r="KW52" s="11" t="n">
        <v>1069428058</v>
      </c>
      <c r="KX52" s="11" t="n">
        <v>70347993</v>
      </c>
      <c r="KY52" s="11" t="n">
        <v>169646666</v>
      </c>
      <c r="KZ52" s="11" t="n">
        <v>76597118</v>
      </c>
      <c r="LA52" s="11" t="n">
        <v>-529128132</v>
      </c>
      <c r="LB52" s="11" t="n">
        <v>-1210304696</v>
      </c>
      <c r="LC52" s="11" t="n">
        <v>368865730</v>
      </c>
      <c r="LD52" s="11" t="n">
        <v>145201626</v>
      </c>
      <c r="LE52" s="11" t="n">
        <v>-15564581</v>
      </c>
      <c r="LF52" s="11" t="n">
        <v>6284464</v>
      </c>
      <c r="LG52" s="11" t="n">
        <v>-13219463</v>
      </c>
      <c r="LH52" s="11" t="n">
        <v>133648978</v>
      </c>
      <c r="LI52" s="11" t="n">
        <v>289205351</v>
      </c>
      <c r="LJ52" s="11" t="n">
        <v>-230283638</v>
      </c>
      <c r="LK52" s="11" t="n">
        <v>-4989161</v>
      </c>
      <c r="LL52" s="11" t="n">
        <v>7773712</v>
      </c>
      <c r="LM52" s="11" t="n">
        <v>1098675</v>
      </c>
      <c r="LN52" s="11" t="n">
        <v>-159454387</v>
      </c>
      <c r="LO52" s="11" t="n">
        <v>-878785769</v>
      </c>
      <c r="LP52" s="11" t="n">
        <v>-1946158962</v>
      </c>
      <c r="LQ52" s="11" t="n">
        <v>1532173715</v>
      </c>
      <c r="LR52" s="11" t="n">
        <v>382445857</v>
      </c>
      <c r="LS52" s="11" t="n">
        <v>-1062741610</v>
      </c>
    </row>
    <row r="53" customFormat="false" ht="15" hidden="false" customHeight="true" outlineLevel="0" collapsed="false">
      <c r="A53" s="7" t="s">
        <v>119</v>
      </c>
      <c r="B53" s="11" t="n">
        <v>-17046190</v>
      </c>
      <c r="C53" s="11" t="n">
        <v>405035944</v>
      </c>
      <c r="D53" s="11" t="n">
        <v>-6982882</v>
      </c>
      <c r="E53" s="11" t="n">
        <v>-1802241712</v>
      </c>
      <c r="F53" s="11" t="n">
        <v>14431042</v>
      </c>
      <c r="G53" s="11" t="n">
        <v>-1653561526</v>
      </c>
      <c r="H53" s="11" t="n">
        <v>689582350</v>
      </c>
      <c r="I53" s="11" t="n">
        <v>184915112</v>
      </c>
      <c r="J53" s="11" t="n">
        <v>-31892348</v>
      </c>
      <c r="K53" s="11" t="n">
        <v>-131211</v>
      </c>
      <c r="L53" s="11" t="n">
        <v>17747329</v>
      </c>
      <c r="M53" s="11" t="n">
        <v>-721864</v>
      </c>
      <c r="N53" s="11" t="n">
        <v>16732752</v>
      </c>
      <c r="O53" s="11" t="n">
        <v>-4405480</v>
      </c>
      <c r="P53" s="11" t="n">
        <v>33581061</v>
      </c>
      <c r="Q53" s="11" t="n">
        <v>16182248</v>
      </c>
      <c r="R53" s="11" t="n">
        <v>2950184980</v>
      </c>
      <c r="S53" s="11" t="n">
        <v>-9847300</v>
      </c>
      <c r="T53" s="11" t="n">
        <v>2696121164</v>
      </c>
      <c r="U53" s="11" t="n">
        <v>-1185486172</v>
      </c>
      <c r="V53" s="11" t="n">
        <v>-1143886924</v>
      </c>
      <c r="W53" s="11" t="n">
        <v>21142639</v>
      </c>
      <c r="X53" s="11" t="n">
        <v>-406789</v>
      </c>
      <c r="Y53" s="11" t="n">
        <v>19582575</v>
      </c>
      <c r="Z53" s="11" t="n">
        <v>-7112659</v>
      </c>
      <c r="AA53" s="11" t="n">
        <v>12332943</v>
      </c>
      <c r="AB53" s="11" t="n">
        <v>-61295865</v>
      </c>
      <c r="AC53" s="11" t="n">
        <v>47527523</v>
      </c>
      <c r="AD53" s="11" t="n">
        <v>252168081</v>
      </c>
      <c r="AE53" s="11" t="n">
        <v>3742944212</v>
      </c>
      <c r="AF53" s="11" t="n">
        <v>55858552</v>
      </c>
      <c r="AG53" s="11" t="n">
        <v>-25472496</v>
      </c>
      <c r="AH53" s="11" t="n">
        <v>-36259907</v>
      </c>
      <c r="AI53" s="11" t="n">
        <v>249550088</v>
      </c>
      <c r="AJ53" s="11" t="n">
        <v>3439037649</v>
      </c>
      <c r="AK53" s="11" t="n">
        <v>-1406270069</v>
      </c>
      <c r="AL53" s="11" t="n">
        <v>-212127058</v>
      </c>
      <c r="AM53" s="11" t="n">
        <v>-4095601</v>
      </c>
      <c r="AN53" s="11" t="n">
        <v>594299639</v>
      </c>
      <c r="AO53" s="11" t="n">
        <v>-51124744</v>
      </c>
      <c r="AP53" s="11" t="n">
        <v>567678862</v>
      </c>
      <c r="AQ53" s="11" t="n">
        <v>-281600260</v>
      </c>
      <c r="AR53" s="11" t="n">
        <v>-57525679</v>
      </c>
      <c r="AS53" s="11" t="n">
        <v>184212650</v>
      </c>
      <c r="AT53" s="11" t="n">
        <v>8306343932</v>
      </c>
      <c r="AU53" s="11" t="n">
        <v>1035195810</v>
      </c>
      <c r="AV53" s="11" t="n">
        <v>7088668962</v>
      </c>
      <c r="AW53" s="11" t="n">
        <v>-1890208194</v>
      </c>
      <c r="AX53" s="11" t="n">
        <v>-934257508</v>
      </c>
      <c r="AY53" s="11" t="n">
        <v>676467129</v>
      </c>
      <c r="AZ53" s="11" t="n">
        <v>-24410255</v>
      </c>
      <c r="BA53" s="11" t="n">
        <v>629839439</v>
      </c>
      <c r="BB53" s="11" t="n">
        <v>-281038493</v>
      </c>
      <c r="BC53" s="11" t="n">
        <v>-67993701</v>
      </c>
      <c r="BD53" s="11" t="n">
        <v>-4902138431</v>
      </c>
      <c r="BE53" s="11" t="n">
        <v>2369063477</v>
      </c>
      <c r="BF53" s="11" t="n">
        <v>-5731086713</v>
      </c>
      <c r="BG53" s="11" t="n">
        <v>364879548</v>
      </c>
      <c r="BH53" s="11" t="n">
        <v>4478755206</v>
      </c>
      <c r="BI53" s="11" t="n">
        <v>-1829789292</v>
      </c>
      <c r="BJ53" s="11" t="n">
        <v>-505894999</v>
      </c>
      <c r="BK53" s="11" t="n">
        <v>-4351824774</v>
      </c>
      <c r="BL53" s="11" t="n">
        <v>577850581</v>
      </c>
      <c r="BM53" s="11" t="n">
        <v>-727637713</v>
      </c>
      <c r="BN53" s="11" t="n">
        <v>-6029789</v>
      </c>
      <c r="BO53" s="11" t="n">
        <v>891044991</v>
      </c>
      <c r="BP53" s="11" t="n">
        <v>-86668120</v>
      </c>
      <c r="BQ53" s="11" t="n">
        <v>853864844</v>
      </c>
      <c r="BR53" s="11" t="n">
        <v>-472033456</v>
      </c>
      <c r="BS53" s="11" t="n">
        <v>-525518057</v>
      </c>
      <c r="BT53" s="11" t="n">
        <v>310490</v>
      </c>
      <c r="BU53" s="11" t="n">
        <v>-220088</v>
      </c>
      <c r="BV53" s="11" t="n">
        <v>349347</v>
      </c>
      <c r="BW53" s="11" t="n">
        <v>-1109102</v>
      </c>
      <c r="BX53" s="11" t="n">
        <v>-8511147</v>
      </c>
      <c r="BY53" s="11" t="n">
        <v>28060472</v>
      </c>
      <c r="BZ53" s="11" t="n">
        <v>-7656553</v>
      </c>
      <c r="CA53" s="11" t="n">
        <v>139589978</v>
      </c>
      <c r="CB53" s="11" t="n">
        <v>1230664423</v>
      </c>
      <c r="CC53" s="11" t="n">
        <v>-26144888</v>
      </c>
      <c r="CD53" s="11" t="n">
        <v>1287792</v>
      </c>
      <c r="CE53" s="11" t="n">
        <v>-103152016</v>
      </c>
      <c r="CF53" s="11" t="n">
        <v>129709304</v>
      </c>
      <c r="CG53" s="11" t="n">
        <v>1174797501</v>
      </c>
      <c r="CH53" s="11" t="n">
        <v>-569620762</v>
      </c>
      <c r="CI53" s="11" t="n">
        <v>-1009900681</v>
      </c>
      <c r="CJ53" s="11" t="n">
        <v>45837395</v>
      </c>
      <c r="CK53" s="11" t="n">
        <v>-943000321</v>
      </c>
      <c r="CL53" s="11" t="n">
        <v>463647077</v>
      </c>
      <c r="CM53" s="11" t="n">
        <v>482920239</v>
      </c>
      <c r="CN53" s="11" t="n">
        <v>7742063975</v>
      </c>
      <c r="CO53" s="11" t="n">
        <v>-3658996177</v>
      </c>
      <c r="CP53" s="11" t="n">
        <v>10543735961</v>
      </c>
      <c r="CQ53" s="11" t="n">
        <v>16653548512</v>
      </c>
      <c r="CR53" s="11" t="n">
        <v>-7063120260</v>
      </c>
      <c r="CS53" s="11" t="n">
        <v>3075835080</v>
      </c>
      <c r="CT53" s="11" t="n">
        <v>2946273985</v>
      </c>
      <c r="CU53" s="11" t="n">
        <v>8165420292</v>
      </c>
      <c r="CV53" s="11" t="n">
        <v>13800662329</v>
      </c>
      <c r="CW53" s="11" t="n">
        <v>-2603806145</v>
      </c>
      <c r="CX53" s="11" t="n">
        <v>34501202</v>
      </c>
      <c r="CY53" s="11" t="n">
        <v>-9952853</v>
      </c>
      <c r="CZ53" s="11" t="n">
        <v>161883788</v>
      </c>
      <c r="DA53" s="11" t="n">
        <v>1400624673</v>
      </c>
      <c r="DB53" s="11" t="n">
        <v>-31763947</v>
      </c>
      <c r="DC53" s="11" t="n">
        <v>8491974</v>
      </c>
      <c r="DD53" s="11" t="n">
        <v>-47073597</v>
      </c>
      <c r="DE53" s="11" t="n">
        <v>146590507</v>
      </c>
      <c r="DF53" s="11" t="n">
        <v>1303081686</v>
      </c>
      <c r="DG53" s="11" t="n">
        <v>-565618569</v>
      </c>
      <c r="DH53" s="11" t="n">
        <v>-48701959</v>
      </c>
      <c r="DI53" s="11" t="n">
        <v>-880822338</v>
      </c>
      <c r="DJ53" s="11" t="n">
        <v>-10168483471</v>
      </c>
      <c r="DK53" s="11" t="n">
        <v>482613703</v>
      </c>
      <c r="DL53" s="11" t="n">
        <v>4910512585</v>
      </c>
      <c r="DM53" s="11" t="n">
        <v>-11953529137</v>
      </c>
      <c r="DN53" s="11" t="n">
        <v>822926976</v>
      </c>
      <c r="DO53" s="11" t="n">
        <v>9295287557</v>
      </c>
      <c r="DP53" s="11" t="n">
        <v>-3704623770</v>
      </c>
      <c r="DQ53" s="11" t="n">
        <v>-9138028229</v>
      </c>
      <c r="DR53" s="11" t="n">
        <v>-4198100</v>
      </c>
      <c r="DS53" s="11" t="n">
        <v>3660</v>
      </c>
      <c r="DT53" s="11" t="n">
        <v>-8720960</v>
      </c>
      <c r="DU53" s="11" t="n">
        <v>43910</v>
      </c>
      <c r="DV53" s="11" t="n">
        <v>-6386550</v>
      </c>
      <c r="DW53" s="11" t="n">
        <v>-352600</v>
      </c>
      <c r="DX53" s="11" t="n">
        <v>989010</v>
      </c>
      <c r="DY53" s="11" t="n">
        <v>1632764</v>
      </c>
      <c r="DZ53" s="11" t="n">
        <v>651071776</v>
      </c>
      <c r="EA53" s="11" t="n">
        <v>-4597396</v>
      </c>
      <c r="EB53" s="11" t="n">
        <v>558987020</v>
      </c>
      <c r="EC53" s="11" t="n">
        <v>-161450740</v>
      </c>
      <c r="ED53" s="11" t="n">
        <v>-69040456</v>
      </c>
      <c r="EE53" s="11" t="n">
        <v>-3959456</v>
      </c>
      <c r="EF53" s="11" t="n">
        <v>21086</v>
      </c>
      <c r="EG53" s="11" t="n">
        <v>-2971254</v>
      </c>
      <c r="EH53" s="11" t="n">
        <v>3620</v>
      </c>
      <c r="EI53" s="11" t="n">
        <v>444846</v>
      </c>
      <c r="EJ53" s="11" t="n">
        <v>-2740560</v>
      </c>
      <c r="EK53" s="11" t="n">
        <v>170744144</v>
      </c>
      <c r="EL53" s="11" t="n">
        <v>-390074880</v>
      </c>
      <c r="EM53" s="11" t="n">
        <v>9961040</v>
      </c>
      <c r="EN53" s="11" t="n">
        <v>1147276</v>
      </c>
      <c r="EO53" s="11" t="n">
        <v>2074830</v>
      </c>
      <c r="EP53" s="11" t="n">
        <v>-360950</v>
      </c>
      <c r="EQ53" s="11" t="n">
        <v>-292563790</v>
      </c>
      <c r="ER53" s="11" t="n">
        <v>26658114</v>
      </c>
      <c r="ES53" s="11" t="n">
        <v>-43834130</v>
      </c>
      <c r="ET53" s="11" t="n">
        <v>39162</v>
      </c>
      <c r="EU53" s="11" t="n">
        <v>-20687142</v>
      </c>
      <c r="EV53" s="11" t="n">
        <v>259932</v>
      </c>
      <c r="EW53" s="11" t="n">
        <v>-16069740</v>
      </c>
      <c r="EX53" s="11" t="n">
        <v>425280</v>
      </c>
      <c r="EY53" s="11" t="n">
        <v>-6419898</v>
      </c>
      <c r="EZ53" s="11" t="n">
        <v>-63318</v>
      </c>
      <c r="FA53" s="11" t="n">
        <v>183</v>
      </c>
      <c r="FB53" s="11" t="n">
        <v>-45567</v>
      </c>
      <c r="FC53" s="11" t="n">
        <v>-3660</v>
      </c>
      <c r="FD53" s="11" t="n">
        <v>14823</v>
      </c>
      <c r="FE53" s="11" t="n">
        <v>323595</v>
      </c>
      <c r="FF53" s="11" t="n">
        <v>-1911363</v>
      </c>
      <c r="FG53" s="11" t="n">
        <v>2620980</v>
      </c>
      <c r="FH53" s="11" t="n">
        <v>-18210015</v>
      </c>
      <c r="FI53" s="11" t="n">
        <v>-227352</v>
      </c>
      <c r="FJ53" s="11" t="n">
        <v>-26280</v>
      </c>
      <c r="FK53" s="11" t="n">
        <v>128385</v>
      </c>
      <c r="FL53" s="11" t="n">
        <v>1996680</v>
      </c>
      <c r="FM53" s="11" t="n">
        <v>-13552353</v>
      </c>
      <c r="FN53" s="11" t="n">
        <v>-439020</v>
      </c>
      <c r="FO53" s="11" t="n">
        <v>14119362</v>
      </c>
      <c r="FP53" s="11" t="n">
        <v>-143982</v>
      </c>
      <c r="FQ53" s="11" t="n">
        <v>11464506</v>
      </c>
      <c r="FR53" s="11" t="n">
        <v>-1671498</v>
      </c>
      <c r="FS53" s="11" t="n">
        <v>1852842</v>
      </c>
      <c r="FT53" s="11" t="n">
        <v>-17657370</v>
      </c>
      <c r="FU53" s="11" t="n">
        <v>-262330506</v>
      </c>
      <c r="FV53" s="11" t="n">
        <v>729631638</v>
      </c>
      <c r="FW53" s="11" t="n">
        <v>1335857676</v>
      </c>
      <c r="FX53" s="11" t="n">
        <v>17012376</v>
      </c>
      <c r="FY53" s="11" t="n">
        <v>-9530748</v>
      </c>
      <c r="FZ53" s="11" t="n">
        <v>-11305266</v>
      </c>
      <c r="GA53" s="11" t="n">
        <v>561383820</v>
      </c>
      <c r="GB53" s="11" t="n">
        <v>1119101934</v>
      </c>
      <c r="GC53" s="11" t="n">
        <v>-253890762</v>
      </c>
      <c r="GD53" s="11" t="n">
        <v>166815</v>
      </c>
      <c r="GE53" s="11" t="n">
        <v>-2107467</v>
      </c>
      <c r="GF53" s="11" t="n">
        <v>4022082</v>
      </c>
      <c r="GG53" s="11" t="n">
        <v>-8339961</v>
      </c>
      <c r="GH53" s="11" t="n">
        <v>-113958</v>
      </c>
      <c r="GI53" s="11" t="n">
        <v>-21267</v>
      </c>
      <c r="GJ53" s="11" t="n">
        <v>63156</v>
      </c>
      <c r="GK53" s="11" t="n">
        <v>3016323</v>
      </c>
      <c r="GL53" s="11" t="n">
        <v>-6495246</v>
      </c>
      <c r="GM53" s="11" t="n">
        <v>459507</v>
      </c>
      <c r="GN53" s="11" t="n">
        <v>5734890</v>
      </c>
      <c r="GO53" s="11" t="n">
        <v>-13650255</v>
      </c>
      <c r="GP53" s="11" t="n">
        <v>-5352885</v>
      </c>
      <c r="GQ53" s="11" t="n">
        <v>34177167</v>
      </c>
      <c r="GR53" s="11" t="n">
        <v>354343359</v>
      </c>
      <c r="GS53" s="11" t="n">
        <v>-811511775</v>
      </c>
      <c r="GT53" s="11" t="n">
        <v>10056168</v>
      </c>
      <c r="GU53" s="11" t="n">
        <v>1485546</v>
      </c>
      <c r="GV53" s="11" t="n">
        <v>5850405</v>
      </c>
      <c r="GW53" s="11" t="n">
        <v>-612490317</v>
      </c>
      <c r="GX53" s="11" t="n">
        <v>1054202</v>
      </c>
      <c r="GY53" s="11" t="n">
        <v>-254888682</v>
      </c>
      <c r="GZ53" s="11" t="n">
        <v>13137322</v>
      </c>
      <c r="HA53" s="11" t="n">
        <v>-219282590</v>
      </c>
      <c r="HB53" s="11" t="n">
        <v>64964080</v>
      </c>
      <c r="HC53" s="11" t="n">
        <v>26474792</v>
      </c>
      <c r="HD53" s="11" t="n">
        <v>-1967738</v>
      </c>
      <c r="HE53" s="11" t="n">
        <v>-427</v>
      </c>
      <c r="HF53" s="11" t="n">
        <v>-1412577</v>
      </c>
      <c r="HG53" s="11" t="n">
        <v>-145180</v>
      </c>
      <c r="HH53" s="11" t="n">
        <v>225273</v>
      </c>
      <c r="HI53" s="11" t="n">
        <v>24624925</v>
      </c>
      <c r="HJ53" s="11" t="n">
        <v>-67767653</v>
      </c>
      <c r="HK53" s="11" t="n">
        <v>156361900</v>
      </c>
      <c r="HL53" s="11" t="n">
        <v>-5050345</v>
      </c>
      <c r="HM53" s="11" t="n">
        <v>-17692162</v>
      </c>
      <c r="HN53" s="11" t="n">
        <v>-1782900</v>
      </c>
      <c r="HO53" s="11" t="n">
        <v>2818045</v>
      </c>
      <c r="HP53" s="11" t="n">
        <v>117247180</v>
      </c>
      <c r="HQ53" s="11" t="n">
        <v>-11383743</v>
      </c>
      <c r="HR53" s="11" t="n">
        <v>17528200</v>
      </c>
      <c r="HS53" s="11" t="n">
        <v>262626958</v>
      </c>
      <c r="HT53" s="11" t="n">
        <v>-6263960</v>
      </c>
      <c r="HU53" s="11" t="n">
        <v>225654928</v>
      </c>
      <c r="HV53" s="11" t="n">
        <v>-65808986</v>
      </c>
      <c r="HW53" s="11" t="n">
        <v>-27633852</v>
      </c>
      <c r="HX53" s="11" t="n">
        <v>-1758299078</v>
      </c>
      <c r="HY53" s="11" t="n">
        <v>68897962</v>
      </c>
      <c r="HZ53" s="11" t="n">
        <v>-272578694</v>
      </c>
      <c r="IA53" s="11" t="n">
        <v>85905764</v>
      </c>
      <c r="IB53" s="11" t="n">
        <v>1509126408</v>
      </c>
      <c r="IC53" s="11" t="n">
        <v>-434092746</v>
      </c>
      <c r="ID53" s="11" t="n">
        <v>-187058812</v>
      </c>
      <c r="IE53" s="11" t="n">
        <v>-216941250</v>
      </c>
      <c r="IF53" s="11" t="n">
        <v>81061652</v>
      </c>
      <c r="IG53" s="11" t="n">
        <v>-50207224</v>
      </c>
      <c r="IH53" s="11" t="n">
        <v>11798473</v>
      </c>
      <c r="II53" s="11" t="n">
        <v>-69293149</v>
      </c>
      <c r="IJ53" s="11" t="n">
        <v>159004654</v>
      </c>
      <c r="IK53" s="11" t="n">
        <v>-4540479</v>
      </c>
      <c r="IL53" s="11" t="n">
        <v>-8484788</v>
      </c>
      <c r="IM53" s="11" t="n">
        <v>-835989</v>
      </c>
      <c r="IN53" s="11" t="n">
        <v>1349742</v>
      </c>
      <c r="IO53" s="11" t="n">
        <v>119256881</v>
      </c>
      <c r="IP53" s="11" t="n">
        <v>-11192370</v>
      </c>
      <c r="IQ53" s="11" t="n">
        <v>17868369</v>
      </c>
      <c r="IR53" s="11" t="n">
        <v>460825462</v>
      </c>
      <c r="IS53" s="11" t="n">
        <v>-1052297625</v>
      </c>
      <c r="IT53" s="11" t="n">
        <v>26539405</v>
      </c>
      <c r="IU53" s="11" t="n">
        <v>-30205351</v>
      </c>
      <c r="IV53" s="11" t="n">
        <v>21474761</v>
      </c>
      <c r="IW53" s="11" t="n">
        <v>-47298185</v>
      </c>
      <c r="IX53" s="11" t="n">
        <v>789404466</v>
      </c>
      <c r="IY53" s="11" t="n">
        <v>-71803928</v>
      </c>
      <c r="IZ53" s="11" t="n">
        <v>118502085</v>
      </c>
      <c r="JA53" s="11" t="n">
        <v>-32080279</v>
      </c>
      <c r="JB53" s="11" t="n">
        <v>-2817102</v>
      </c>
      <c r="JC53" s="11" t="n">
        <v>-57279</v>
      </c>
      <c r="JD53" s="11" t="n">
        <v>-1989759</v>
      </c>
      <c r="JE53" s="11" t="n">
        <v>-499224</v>
      </c>
      <c r="JF53" s="11" t="n">
        <v>-1859097</v>
      </c>
      <c r="JG53" s="11" t="n">
        <v>48955461</v>
      </c>
      <c r="JH53" s="11" t="n">
        <v>-104889171</v>
      </c>
      <c r="JI53" s="11" t="n">
        <v>294305064</v>
      </c>
      <c r="JJ53" s="11" t="n">
        <v>520246569</v>
      </c>
      <c r="JK53" s="11" t="n">
        <v>-36710604</v>
      </c>
      <c r="JL53" s="11" t="n">
        <v>-2691504</v>
      </c>
      <c r="JM53" s="11" t="n">
        <v>-21729333</v>
      </c>
      <c r="JN53" s="11" t="n">
        <v>226459440</v>
      </c>
      <c r="JO53" s="11" t="n">
        <v>436677279</v>
      </c>
      <c r="JP53" s="11" t="n">
        <v>-102027576</v>
      </c>
      <c r="JQ53" s="11" t="n">
        <v>105774</v>
      </c>
      <c r="JR53" s="11" t="n">
        <v>-60756</v>
      </c>
      <c r="JS53" s="11" t="n">
        <v>543876</v>
      </c>
      <c r="JT53" s="11" t="n">
        <v>4072116</v>
      </c>
      <c r="JU53" s="11" t="n">
        <v>-75945</v>
      </c>
      <c r="JV53" s="11" t="n">
        <v>-7686</v>
      </c>
      <c r="JW53" s="11" t="n">
        <v>12993</v>
      </c>
      <c r="JX53" s="11" t="n">
        <v>394914</v>
      </c>
      <c r="JY53" s="11" t="n">
        <v>2916288</v>
      </c>
      <c r="JZ53" s="11" t="n">
        <v>362706</v>
      </c>
      <c r="KA53" s="11" t="n">
        <v>-2882469</v>
      </c>
      <c r="KB53" s="11" t="n">
        <v>1598850</v>
      </c>
      <c r="KC53" s="11" t="n">
        <v>-51231285</v>
      </c>
      <c r="KD53" s="11" t="n">
        <v>13902906</v>
      </c>
      <c r="KE53" s="11" t="n">
        <v>140397036</v>
      </c>
      <c r="KF53" s="11" t="n">
        <v>-324977490</v>
      </c>
      <c r="KG53" s="11" t="n">
        <v>-1357416</v>
      </c>
      <c r="KH53" s="11" t="n">
        <v>37137783</v>
      </c>
      <c r="KI53" s="11" t="n">
        <v>3526290</v>
      </c>
      <c r="KJ53" s="11" t="n">
        <v>-245241246</v>
      </c>
      <c r="KK53" s="11" t="n">
        <v>-31008501</v>
      </c>
      <c r="KL53" s="11" t="n">
        <v>107312067</v>
      </c>
      <c r="KM53" s="11" t="n">
        <v>-300227382</v>
      </c>
      <c r="KN53" s="11" t="n">
        <v>-536990415</v>
      </c>
      <c r="KO53" s="11" t="n">
        <v>24083676</v>
      </c>
      <c r="KP53" s="11" t="n">
        <v>-609327</v>
      </c>
      <c r="KQ53" s="11" t="n">
        <v>9545106</v>
      </c>
      <c r="KR53" s="11" t="n">
        <v>-231071823</v>
      </c>
      <c r="KS53" s="11" t="n">
        <v>-450102642</v>
      </c>
      <c r="KT53" s="11" t="n">
        <v>102968697</v>
      </c>
      <c r="KU53" s="11" t="n">
        <v>-710324208</v>
      </c>
      <c r="KV53" s="11" t="n">
        <v>1977852069</v>
      </c>
      <c r="KW53" s="11" t="n">
        <v>3605317473</v>
      </c>
      <c r="KX53" s="11" t="n">
        <v>32616333</v>
      </c>
      <c r="KY53" s="11" t="n">
        <v>-175976871</v>
      </c>
      <c r="KZ53" s="11" t="n">
        <v>655543551</v>
      </c>
      <c r="LA53" s="11" t="n">
        <v>-1522199628</v>
      </c>
      <c r="LB53" s="11" t="n">
        <v>-3018830796</v>
      </c>
      <c r="LC53" s="11" t="n">
        <v>679672485</v>
      </c>
      <c r="LD53" s="11" t="n">
        <v>515729457</v>
      </c>
      <c r="LE53" s="11" t="n">
        <v>-3360501</v>
      </c>
      <c r="LF53" s="11" t="n">
        <v>5286096</v>
      </c>
      <c r="LG53" s="11" t="n">
        <v>-24660303</v>
      </c>
      <c r="LH53" s="11" t="n">
        <v>14242950</v>
      </c>
      <c r="LI53" s="11" t="n">
        <v>143538216</v>
      </c>
      <c r="LJ53" s="11" t="n">
        <v>-330305586</v>
      </c>
      <c r="LK53" s="11" t="n">
        <v>-4039569</v>
      </c>
      <c r="LL53" s="11" t="n">
        <v>18118722</v>
      </c>
      <c r="LM53" s="11" t="n">
        <v>1142595</v>
      </c>
      <c r="LN53" s="11" t="n">
        <v>-249336804</v>
      </c>
      <c r="LO53" s="11" t="n">
        <v>-93256101</v>
      </c>
      <c r="LP53" s="11" t="n">
        <v>-955624497</v>
      </c>
      <c r="LQ53" s="11" t="n">
        <v>2187544815</v>
      </c>
      <c r="LR53" s="11" t="n">
        <v>66983334</v>
      </c>
      <c r="LS53" s="11" t="n">
        <v>-1651537215</v>
      </c>
    </row>
    <row r="54" customFormat="false" ht="15" hidden="false" customHeight="true" outlineLevel="0" collapsed="false">
      <c r="A54" s="7" t="s">
        <v>120</v>
      </c>
      <c r="B54" s="11" t="n">
        <v>-1015170</v>
      </c>
      <c r="C54" s="11" t="n">
        <v>7505832</v>
      </c>
      <c r="D54" s="11" t="n">
        <v>-534486</v>
      </c>
      <c r="E54" s="11" t="n">
        <v>-61936344</v>
      </c>
      <c r="F54" s="11" t="n">
        <v>325422</v>
      </c>
      <c r="G54" s="11" t="n">
        <v>-96889026</v>
      </c>
      <c r="H54" s="11" t="n">
        <v>44859642</v>
      </c>
      <c r="I54" s="11" t="n">
        <v>1949832</v>
      </c>
      <c r="J54" s="11" t="n">
        <v>19222631</v>
      </c>
      <c r="K54" s="11" t="n">
        <v>41547</v>
      </c>
      <c r="L54" s="11" t="n">
        <v>-14913477</v>
      </c>
      <c r="M54" s="11" t="n">
        <v>-370024</v>
      </c>
      <c r="N54" s="11" t="n">
        <v>6671847</v>
      </c>
      <c r="O54" s="11" t="n">
        <v>-1242554</v>
      </c>
      <c r="P54" s="11" t="n">
        <v>6509201</v>
      </c>
      <c r="Q54" s="11" t="n">
        <v>-10427881</v>
      </c>
      <c r="R54" s="11" t="n">
        <v>-1062522960</v>
      </c>
      <c r="S54" s="11" t="n">
        <v>8897825</v>
      </c>
      <c r="T54" s="11" t="n">
        <v>-1883960083</v>
      </c>
      <c r="U54" s="11" t="n">
        <v>858621459</v>
      </c>
      <c r="V54" s="11" t="n">
        <v>-11206072</v>
      </c>
      <c r="W54" s="11" t="n">
        <v>-10386747</v>
      </c>
      <c r="X54" s="11" t="n">
        <v>-181499</v>
      </c>
      <c r="Y54" s="11" t="n">
        <v>-452574</v>
      </c>
      <c r="Z54" s="11" t="n">
        <v>1181729</v>
      </c>
      <c r="AA54" s="11" t="n">
        <v>3506887</v>
      </c>
      <c r="AB54" s="11" t="n">
        <v>-27356115</v>
      </c>
      <c r="AC54" s="11" t="n">
        <v>1830414681</v>
      </c>
      <c r="AD54" s="11" t="n">
        <v>-734825193</v>
      </c>
      <c r="AE54" s="11" t="n">
        <v>368487384</v>
      </c>
      <c r="AF54" s="11" t="n">
        <v>33176807</v>
      </c>
      <c r="AG54" s="11" t="n">
        <v>-15952786</v>
      </c>
      <c r="AH54" s="11" t="n">
        <v>-2797287</v>
      </c>
      <c r="AI54" s="11" t="n">
        <v>176233361</v>
      </c>
      <c r="AJ54" s="11" t="n">
        <v>634060429</v>
      </c>
      <c r="AK54" s="11" t="n">
        <v>-290023541</v>
      </c>
      <c r="AL54" s="11" t="n">
        <v>6490275</v>
      </c>
      <c r="AM54" s="11" t="n">
        <v>-174825</v>
      </c>
      <c r="AN54" s="11" t="n">
        <v>10897035</v>
      </c>
      <c r="AO54" s="11" t="n">
        <v>-3098880</v>
      </c>
      <c r="AP54" s="11" t="n">
        <v>37095825</v>
      </c>
      <c r="AQ54" s="11" t="n">
        <v>-18581460</v>
      </c>
      <c r="AR54" s="11" t="n">
        <v>2342805</v>
      </c>
      <c r="AS54" s="11" t="n">
        <v>-2124525</v>
      </c>
      <c r="AT54" s="11" t="n">
        <v>-476546016</v>
      </c>
      <c r="AU54" s="11" t="n">
        <v>24992613</v>
      </c>
      <c r="AV54" s="11" t="n">
        <v>-893713815</v>
      </c>
      <c r="AW54" s="11" t="n">
        <v>424185831</v>
      </c>
      <c r="AX54" s="11" t="n">
        <v>-4856088</v>
      </c>
      <c r="AY54" s="11" t="n">
        <v>16403493</v>
      </c>
      <c r="AZ54" s="11" t="n">
        <v>-1687599</v>
      </c>
      <c r="BA54" s="11" t="n">
        <v>36216420</v>
      </c>
      <c r="BB54" s="11" t="n">
        <v>-17508513</v>
      </c>
      <c r="BC54" s="11" t="n">
        <v>897699</v>
      </c>
      <c r="BD54" s="11" t="n">
        <v>-185572035</v>
      </c>
      <c r="BE54" s="11" t="n">
        <v>1223220417</v>
      </c>
      <c r="BF54" s="11" t="n">
        <v>-652137681</v>
      </c>
      <c r="BG54" s="11" t="n">
        <v>163866312</v>
      </c>
      <c r="BH54" s="11" t="n">
        <v>283869369</v>
      </c>
      <c r="BI54" s="11" t="n">
        <v>-130980852</v>
      </c>
      <c r="BJ54" s="11" t="n">
        <v>-6703011</v>
      </c>
      <c r="BK54" s="11" t="n">
        <v>-134198343</v>
      </c>
      <c r="BL54" s="11" t="n">
        <v>294849849</v>
      </c>
      <c r="BM54" s="11" t="n">
        <v>-139216209</v>
      </c>
      <c r="BN54" s="11" t="n">
        <v>3576000</v>
      </c>
      <c r="BO54" s="11" t="n">
        <v>-301685678</v>
      </c>
      <c r="BP54" s="11" t="n">
        <v>56312804</v>
      </c>
      <c r="BQ54" s="11" t="n">
        <v>-659768545</v>
      </c>
      <c r="BR54" s="11" t="n">
        <v>343903023</v>
      </c>
      <c r="BS54" s="11" t="n">
        <v>-2746704</v>
      </c>
      <c r="BT54" s="11" t="n">
        <v>2122314</v>
      </c>
      <c r="BU54" s="11" t="n">
        <v>190548</v>
      </c>
      <c r="BV54" s="11" t="n">
        <v>-2667165</v>
      </c>
      <c r="BW54" s="11" t="n">
        <v>974451</v>
      </c>
      <c r="BX54" s="11" t="n">
        <v>-1216848</v>
      </c>
      <c r="BY54" s="11" t="n">
        <v>-49496380</v>
      </c>
      <c r="BZ54" s="11" t="n">
        <v>616577601</v>
      </c>
      <c r="CA54" s="11" t="n">
        <v>-286310993</v>
      </c>
      <c r="CB54" s="11" t="n">
        <v>104288306</v>
      </c>
      <c r="CC54" s="11" t="n">
        <v>-6845068</v>
      </c>
      <c r="CD54" s="11" t="n">
        <v>-2979856</v>
      </c>
      <c r="CE54" s="11" t="n">
        <v>-19015868</v>
      </c>
      <c r="CF54" s="11" t="n">
        <v>76715321</v>
      </c>
      <c r="CG54" s="11" t="n">
        <v>222458647</v>
      </c>
      <c r="CH54" s="11" t="n">
        <v>-116275497</v>
      </c>
      <c r="CI54" s="11" t="n">
        <v>361320178</v>
      </c>
      <c r="CJ54" s="11" t="n">
        <v>-32203804</v>
      </c>
      <c r="CK54" s="11" t="n">
        <v>708385295</v>
      </c>
      <c r="CL54" s="11" t="n">
        <v>-346290273</v>
      </c>
      <c r="CM54" s="11" t="n">
        <v>3574704</v>
      </c>
      <c r="CN54" s="11" t="n">
        <v>-2973021790</v>
      </c>
      <c r="CO54" s="11" t="n">
        <v>6901003946</v>
      </c>
      <c r="CP54" s="11" t="n">
        <v>-5533636938</v>
      </c>
      <c r="CQ54" s="11" t="n">
        <v>-24048496</v>
      </c>
      <c r="CR54" s="11" t="n">
        <v>5213675997</v>
      </c>
      <c r="CS54" s="11" t="n">
        <v>-2356149531</v>
      </c>
      <c r="CT54" s="11" t="n">
        <v>31556848</v>
      </c>
      <c r="CU54" s="11" t="n">
        <v>-4235015334</v>
      </c>
      <c r="CV54" s="11" t="n">
        <v>-115422968</v>
      </c>
      <c r="CW54" s="11" t="n">
        <v>77794920</v>
      </c>
      <c r="CX54" s="11" t="n">
        <v>-38365610</v>
      </c>
      <c r="CY54" s="11" t="n">
        <v>689909553</v>
      </c>
      <c r="CZ54" s="11" t="n">
        <v>-303978049</v>
      </c>
      <c r="DA54" s="11" t="n">
        <v>125072254</v>
      </c>
      <c r="DB54" s="11" t="n">
        <v>13727221</v>
      </c>
      <c r="DC54" s="11" t="n">
        <v>-9676703</v>
      </c>
      <c r="DD54" s="11" t="n">
        <v>-10767892</v>
      </c>
      <c r="DE54" s="11" t="n">
        <v>65247913</v>
      </c>
      <c r="DF54" s="11" t="n">
        <v>238384481</v>
      </c>
      <c r="DG54" s="11" t="n">
        <v>-116862207</v>
      </c>
      <c r="DH54" s="11" t="n">
        <v>-4943966645</v>
      </c>
      <c r="DI54" s="11" t="n">
        <v>1913626885</v>
      </c>
      <c r="DJ54" s="11" t="n">
        <v>-1031675490</v>
      </c>
      <c r="DK54" s="11" t="n">
        <v>4760197120</v>
      </c>
      <c r="DL54" s="11" t="n">
        <v>2434725374</v>
      </c>
      <c r="DM54" s="11" t="n">
        <v>-1935719902</v>
      </c>
      <c r="DN54" s="11" t="n">
        <v>562287885</v>
      </c>
      <c r="DO54" s="11" t="n">
        <v>1756733083</v>
      </c>
      <c r="DP54" s="11" t="n">
        <v>-797301149</v>
      </c>
      <c r="DQ54" s="11" t="n">
        <v>-1414527986</v>
      </c>
      <c r="DR54" s="11" t="n">
        <v>453852</v>
      </c>
      <c r="DS54" s="11" t="n">
        <v>984</v>
      </c>
      <c r="DT54" s="11" t="n">
        <v>-689964</v>
      </c>
      <c r="DU54" s="11" t="n">
        <v>-16998</v>
      </c>
      <c r="DV54" s="11" t="n">
        <v>-124566</v>
      </c>
      <c r="DW54" s="11" t="n">
        <v>-20388</v>
      </c>
      <c r="DX54" s="11" t="n">
        <v>148422</v>
      </c>
      <c r="DY54" s="11" t="n">
        <v>-246228</v>
      </c>
      <c r="DZ54" s="11" t="n">
        <v>-22588512</v>
      </c>
      <c r="EA54" s="11" t="n">
        <v>271164</v>
      </c>
      <c r="EB54" s="11" t="n">
        <v>-42395172</v>
      </c>
      <c r="EC54" s="11" t="n">
        <v>20206140</v>
      </c>
      <c r="ED54" s="11" t="n">
        <v>-225672</v>
      </c>
      <c r="EE54" s="11" t="n">
        <v>-423300</v>
      </c>
      <c r="EF54" s="11" t="n">
        <v>-8634</v>
      </c>
      <c r="EG54" s="11" t="n">
        <v>-159498</v>
      </c>
      <c r="EH54" s="11" t="n">
        <v>32748</v>
      </c>
      <c r="EI54" s="11" t="n">
        <v>80034</v>
      </c>
      <c r="EJ54" s="11" t="n">
        <v>-1258236</v>
      </c>
      <c r="EK54" s="11" t="n">
        <v>58251108</v>
      </c>
      <c r="EL54" s="11" t="n">
        <v>-31732908</v>
      </c>
      <c r="EM54" s="11" t="n">
        <v>7730136</v>
      </c>
      <c r="EN54" s="11" t="n">
        <v>1662240</v>
      </c>
      <c r="EO54" s="11" t="n">
        <v>-744594</v>
      </c>
      <c r="EP54" s="11" t="n">
        <v>-80226</v>
      </c>
      <c r="EQ54" s="11" t="n">
        <v>-7450338</v>
      </c>
      <c r="ER54" s="11" t="n">
        <v>13926318</v>
      </c>
      <c r="ES54" s="11" t="n">
        <v>-6597822</v>
      </c>
      <c r="ET54" s="11" t="n">
        <v>-58</v>
      </c>
      <c r="EU54" s="11" t="n">
        <v>6397364</v>
      </c>
      <c r="EV54" s="11" t="n">
        <v>156437</v>
      </c>
      <c r="EW54" s="11" t="n">
        <v>5341487</v>
      </c>
      <c r="EX54" s="11" t="n">
        <v>-169454</v>
      </c>
      <c r="EY54" s="11" t="n">
        <v>99641</v>
      </c>
      <c r="EZ54" s="11" t="n">
        <v>13782</v>
      </c>
      <c r="FA54" s="11" t="n">
        <v>337</v>
      </c>
      <c r="FB54" s="11" t="n">
        <v>11565</v>
      </c>
      <c r="FC54" s="11" t="n">
        <v>-370</v>
      </c>
      <c r="FD54" s="11" t="n">
        <v>235</v>
      </c>
      <c r="FE54" s="11" t="n">
        <v>1777</v>
      </c>
      <c r="FF54" s="11" t="n">
        <v>-6364497</v>
      </c>
      <c r="FG54" s="11" t="n">
        <v>544994</v>
      </c>
      <c r="FH54" s="11" t="n">
        <v>-2243591</v>
      </c>
      <c r="FI54" s="11" t="n">
        <v>-157117</v>
      </c>
      <c r="FJ54" s="11" t="n">
        <v>13374</v>
      </c>
      <c r="FK54" s="11" t="n">
        <v>-54891</v>
      </c>
      <c r="FL54" s="11" t="n">
        <v>286460</v>
      </c>
      <c r="FM54" s="11" t="n">
        <v>-1774160</v>
      </c>
      <c r="FN54" s="11" t="n">
        <v>50940</v>
      </c>
      <c r="FO54" s="11" t="n">
        <v>-3473644</v>
      </c>
      <c r="FP54" s="11" t="n">
        <v>-84837</v>
      </c>
      <c r="FQ54" s="11" t="n">
        <v>-2903331</v>
      </c>
      <c r="FR54" s="11" t="n">
        <v>94516</v>
      </c>
      <c r="FS54" s="11" t="n">
        <v>-54087</v>
      </c>
      <c r="FT54" s="11" t="n">
        <v>-11608220</v>
      </c>
      <c r="FU54" s="11" t="n">
        <v>331740532</v>
      </c>
      <c r="FV54" s="11" t="n">
        <v>-276385956</v>
      </c>
      <c r="FW54" s="11" t="n">
        <v>-1778192</v>
      </c>
      <c r="FX54" s="11" t="n">
        <v>17804466</v>
      </c>
      <c r="FY54" s="11" t="n">
        <v>-7066043</v>
      </c>
      <c r="FZ54" s="11" t="n">
        <v>137319</v>
      </c>
      <c r="GA54" s="11" t="n">
        <v>-221981621</v>
      </c>
      <c r="GB54" s="11" t="n">
        <v>-6651669</v>
      </c>
      <c r="GC54" s="11" t="n">
        <v>4351901</v>
      </c>
      <c r="GD54" s="11" t="n">
        <v>-24043</v>
      </c>
      <c r="GE54" s="11" t="n">
        <v>-2741121</v>
      </c>
      <c r="GF54" s="11" t="n">
        <v>-299504</v>
      </c>
      <c r="GG54" s="11" t="n">
        <v>-1222057</v>
      </c>
      <c r="GH54" s="11" t="n">
        <v>-46851</v>
      </c>
      <c r="GI54" s="11" t="n">
        <v>-7969</v>
      </c>
      <c r="GJ54" s="11" t="n">
        <v>-29472</v>
      </c>
      <c r="GK54" s="11" t="n">
        <v>-324915</v>
      </c>
      <c r="GL54" s="11" t="n">
        <v>-978735</v>
      </c>
      <c r="GM54" s="11" t="n">
        <v>37915</v>
      </c>
      <c r="GN54" s="11" t="n">
        <v>-11456434</v>
      </c>
      <c r="GO54" s="11" t="n">
        <v>912137</v>
      </c>
      <c r="GP54" s="11" t="n">
        <v>-4071561</v>
      </c>
      <c r="GQ54" s="11" t="n">
        <v>246704891</v>
      </c>
      <c r="GR54" s="11" t="n">
        <v>118112299</v>
      </c>
      <c r="GS54" s="11" t="n">
        <v>-97081571</v>
      </c>
      <c r="GT54" s="11" t="n">
        <v>5574631</v>
      </c>
      <c r="GU54" s="11" t="n">
        <v>6109359</v>
      </c>
      <c r="GV54" s="11" t="n">
        <v>-2467611</v>
      </c>
      <c r="GW54" s="11" t="n">
        <v>-74087300</v>
      </c>
      <c r="GX54" s="11" t="n">
        <v>-84450</v>
      </c>
      <c r="GY54" s="11" t="n">
        <v>9282876</v>
      </c>
      <c r="GZ54" s="11" t="n">
        <v>-1276743</v>
      </c>
      <c r="HA54" s="11" t="n">
        <v>17380815</v>
      </c>
      <c r="HB54" s="11" t="n">
        <v>-8176866</v>
      </c>
      <c r="HC54" s="11" t="n">
        <v>98493</v>
      </c>
      <c r="HD54" s="11" t="n">
        <v>-108258</v>
      </c>
      <c r="HE54" s="11" t="n">
        <v>-5931</v>
      </c>
      <c r="HF54" s="11" t="n">
        <v>14505</v>
      </c>
      <c r="HG54" s="11" t="n">
        <v>-21522</v>
      </c>
      <c r="HH54" s="11" t="n">
        <v>27831</v>
      </c>
      <c r="HI54" s="11" t="n">
        <v>2288625</v>
      </c>
      <c r="HJ54" s="11" t="n">
        <v>-23875197</v>
      </c>
      <c r="HK54" s="11" t="n">
        <v>12847806</v>
      </c>
      <c r="HL54" s="11" t="n">
        <v>-3185487</v>
      </c>
      <c r="HM54" s="11" t="n">
        <v>-1001379</v>
      </c>
      <c r="HN54" s="11" t="n">
        <v>248892</v>
      </c>
      <c r="HO54" s="11" t="n">
        <v>413841</v>
      </c>
      <c r="HP54" s="11" t="n">
        <v>3025038</v>
      </c>
      <c r="HQ54" s="11" t="n">
        <v>-5711034</v>
      </c>
      <c r="HR54" s="11" t="n">
        <v>2669634</v>
      </c>
      <c r="HS54" s="11" t="n">
        <v>-9239364</v>
      </c>
      <c r="HT54" s="11" t="n">
        <v>743127</v>
      </c>
      <c r="HU54" s="11" t="n">
        <v>-17318235</v>
      </c>
      <c r="HV54" s="11" t="n">
        <v>8196024</v>
      </c>
      <c r="HW54" s="11" t="n">
        <v>-95427</v>
      </c>
      <c r="HX54" s="11" t="n">
        <v>57998076</v>
      </c>
      <c r="HY54" s="11" t="n">
        <v>2076396</v>
      </c>
      <c r="HZ54" s="11" t="n">
        <v>-6318924</v>
      </c>
      <c r="IA54" s="11" t="n">
        <v>-286272</v>
      </c>
      <c r="IB54" s="11" t="n">
        <v>-108878418</v>
      </c>
      <c r="IC54" s="11" t="n">
        <v>51956973</v>
      </c>
      <c r="ID54" s="11" t="n">
        <v>-575997</v>
      </c>
      <c r="IE54" s="11" t="n">
        <v>-10002249</v>
      </c>
      <c r="IF54" s="11" t="n">
        <v>-558033</v>
      </c>
      <c r="IG54" s="11" t="n">
        <v>319209</v>
      </c>
      <c r="IH54" s="11" t="n">
        <v>1601517</v>
      </c>
      <c r="II54" s="11" t="n">
        <v>-23787501</v>
      </c>
      <c r="IJ54" s="11" t="n">
        <v>12861276</v>
      </c>
      <c r="IK54" s="11" t="n">
        <v>-3167217</v>
      </c>
      <c r="IL54" s="11" t="n">
        <v>-1088637</v>
      </c>
      <c r="IM54" s="11" t="n">
        <v>386229</v>
      </c>
      <c r="IN54" s="11" t="n">
        <v>238200</v>
      </c>
      <c r="IO54" s="11" t="n">
        <v>3005799</v>
      </c>
      <c r="IP54" s="11" t="n">
        <v>-5690937</v>
      </c>
      <c r="IQ54" s="11" t="n">
        <v>2676729</v>
      </c>
      <c r="IR54" s="11" t="n">
        <v>149680722</v>
      </c>
      <c r="IS54" s="11" t="n">
        <v>-81829131</v>
      </c>
      <c r="IT54" s="11" t="n">
        <v>19831887</v>
      </c>
      <c r="IU54" s="11" t="n">
        <v>13378227</v>
      </c>
      <c r="IV54" s="11" t="n">
        <v>1448811</v>
      </c>
      <c r="IW54" s="11" t="n">
        <v>-2564595</v>
      </c>
      <c r="IX54" s="11" t="n">
        <v>19525977</v>
      </c>
      <c r="IY54" s="11" t="n">
        <v>-35743407</v>
      </c>
      <c r="IZ54" s="11" t="n">
        <v>16953519</v>
      </c>
      <c r="JA54" s="11" t="n">
        <v>-3383688</v>
      </c>
      <c r="JB54" s="11" t="n">
        <v>1189196</v>
      </c>
      <c r="JC54" s="11" t="n">
        <v>29272</v>
      </c>
      <c r="JD54" s="11" t="n">
        <v>991690</v>
      </c>
      <c r="JE54" s="11" t="n">
        <v>-30486</v>
      </c>
      <c r="JF54" s="11" t="n">
        <v>18528</v>
      </c>
      <c r="JG54" s="11" t="n">
        <v>-21196282</v>
      </c>
      <c r="JH54" s="11" t="n">
        <v>135742574</v>
      </c>
      <c r="JI54" s="11" t="n">
        <v>-111792760</v>
      </c>
      <c r="JJ54" s="11" t="n">
        <v>-649682</v>
      </c>
      <c r="JK54" s="11" t="n">
        <v>21017223</v>
      </c>
      <c r="JL54" s="11" t="n">
        <v>-3295157</v>
      </c>
      <c r="JM54" s="11" t="n">
        <v>314252</v>
      </c>
      <c r="JN54" s="11" t="n">
        <v>-89745941</v>
      </c>
      <c r="JO54" s="11" t="n">
        <v>-2656687</v>
      </c>
      <c r="JP54" s="11" t="n">
        <v>1758417</v>
      </c>
      <c r="JQ54" s="11" t="n">
        <v>-45994</v>
      </c>
      <c r="JR54" s="11" t="n">
        <v>1475520</v>
      </c>
      <c r="JS54" s="11" t="n">
        <v>-342146</v>
      </c>
      <c r="JT54" s="11" t="n">
        <v>415658</v>
      </c>
      <c r="JU54" s="11" t="n">
        <v>74675</v>
      </c>
      <c r="JV54" s="11" t="n">
        <v>-9601</v>
      </c>
      <c r="JW54" s="11" t="n">
        <v>10948</v>
      </c>
      <c r="JX54" s="11" t="n">
        <v>-247495</v>
      </c>
      <c r="JY54" s="11" t="n">
        <v>323635</v>
      </c>
      <c r="JZ54" s="11" t="n">
        <v>-5325</v>
      </c>
      <c r="KA54" s="11" t="n">
        <v>-21049679</v>
      </c>
      <c r="KB54" s="11" t="n">
        <v>1774667</v>
      </c>
      <c r="KC54" s="11" t="n">
        <v>-7433834</v>
      </c>
      <c r="KD54" s="11" t="n">
        <v>99654451</v>
      </c>
      <c r="KE54" s="11" t="n">
        <v>48252017</v>
      </c>
      <c r="KF54" s="11" t="n">
        <v>-39261687</v>
      </c>
      <c r="KG54" s="11" t="n">
        <v>1512691</v>
      </c>
      <c r="KH54" s="11" t="n">
        <v>7058957</v>
      </c>
      <c r="KI54" s="11" t="n">
        <v>-1129347</v>
      </c>
      <c r="KJ54" s="11" t="n">
        <v>-29951340</v>
      </c>
      <c r="KK54" s="11" t="n">
        <v>13667002</v>
      </c>
      <c r="KL54" s="11" t="n">
        <v>-135372302</v>
      </c>
      <c r="KM54" s="11" t="n">
        <v>112078244</v>
      </c>
      <c r="KN54" s="11" t="n">
        <v>683310</v>
      </c>
      <c r="KO54" s="11" t="n">
        <v>-14729319</v>
      </c>
      <c r="KP54" s="11" t="n">
        <v>3109165</v>
      </c>
      <c r="KQ54" s="11" t="n">
        <v>-196116</v>
      </c>
      <c r="KR54" s="11" t="n">
        <v>89993503</v>
      </c>
      <c r="KS54" s="11" t="n">
        <v>2678961</v>
      </c>
      <c r="KT54" s="11" t="n">
        <v>-1763727</v>
      </c>
      <c r="KU54" s="11" t="n">
        <v>852841296</v>
      </c>
      <c r="KV54" s="11" t="n">
        <v>-712893578</v>
      </c>
      <c r="KW54" s="11" t="n">
        <v>-4712786</v>
      </c>
      <c r="KX54" s="11" t="n">
        <v>67395166</v>
      </c>
      <c r="KY54" s="11" t="n">
        <v>4040806</v>
      </c>
      <c r="KZ54" s="11" t="n">
        <v>-3005302</v>
      </c>
      <c r="LA54" s="11" t="n">
        <v>574289271</v>
      </c>
      <c r="LB54" s="11" t="n">
        <v>17317035</v>
      </c>
      <c r="LC54" s="11" t="n">
        <v>-11301869</v>
      </c>
      <c r="LD54" s="11" t="n">
        <v>-1352546</v>
      </c>
      <c r="LE54" s="11" t="n">
        <v>-11721887</v>
      </c>
      <c r="LF54" s="11" t="n">
        <v>-402639</v>
      </c>
      <c r="LG54" s="11" t="n">
        <v>-4803436</v>
      </c>
      <c r="LH54" s="11" t="n">
        <v>100115203</v>
      </c>
      <c r="LI54" s="11" t="n">
        <v>48164321</v>
      </c>
      <c r="LJ54" s="11" t="n">
        <v>-39371147</v>
      </c>
      <c r="LK54" s="11" t="n">
        <v>3100598</v>
      </c>
      <c r="LL54" s="11" t="n">
        <v>5008596</v>
      </c>
      <c r="LM54" s="11" t="n">
        <v>-1098532</v>
      </c>
      <c r="LN54" s="11" t="n">
        <v>-30037690</v>
      </c>
      <c r="LO54" s="11" t="n">
        <v>-636558415</v>
      </c>
      <c r="LP54" s="11" t="n">
        <v>-303783619</v>
      </c>
      <c r="LQ54" s="11" t="n">
        <v>250416377</v>
      </c>
      <c r="LR54" s="11" t="n">
        <v>-20990234</v>
      </c>
      <c r="LS54" s="11" t="n">
        <v>-191637494</v>
      </c>
    </row>
    <row r="55" customFormat="false" ht="15" hidden="false" customHeight="true" outlineLevel="0" collapsed="false">
      <c r="A55" s="7" t="s">
        <v>121</v>
      </c>
      <c r="B55" s="11" t="n">
        <v>-3736554</v>
      </c>
      <c r="C55" s="11" t="n">
        <v>-202626312</v>
      </c>
      <c r="D55" s="11" t="n">
        <v>-2498934</v>
      </c>
      <c r="E55" s="11" t="n">
        <v>-56528640</v>
      </c>
      <c r="F55" s="11" t="n">
        <v>4826790</v>
      </c>
      <c r="G55" s="11" t="n">
        <v>-418978002</v>
      </c>
      <c r="H55" s="11" t="n">
        <v>175556634</v>
      </c>
      <c r="I55" s="11" t="n">
        <v>-41533992</v>
      </c>
      <c r="J55" s="11" t="n">
        <v>19194575</v>
      </c>
      <c r="K55" s="11" t="n">
        <v>33877</v>
      </c>
      <c r="L55" s="11" t="n">
        <v>-16502947</v>
      </c>
      <c r="M55" s="11" t="n">
        <v>-549344</v>
      </c>
      <c r="N55" s="11" t="n">
        <v>10594177</v>
      </c>
      <c r="O55" s="11" t="n">
        <v>-2235540</v>
      </c>
      <c r="P55" s="11" t="n">
        <v>13051169</v>
      </c>
      <c r="Q55" s="11" t="n">
        <v>-10999869</v>
      </c>
      <c r="R55" s="11" t="n">
        <v>-1185309916</v>
      </c>
      <c r="S55" s="11" t="n">
        <v>-4994807</v>
      </c>
      <c r="T55" s="11" t="n">
        <v>-1577776119</v>
      </c>
      <c r="U55" s="11" t="n">
        <v>780600455</v>
      </c>
      <c r="V55" s="11" t="n">
        <v>494381432</v>
      </c>
      <c r="W55" s="11" t="n">
        <v>-11549357</v>
      </c>
      <c r="X55" s="11" t="n">
        <v>-323629</v>
      </c>
      <c r="Y55" s="11" t="n">
        <v>3286566</v>
      </c>
      <c r="Z55" s="11" t="n">
        <v>96577</v>
      </c>
      <c r="AA55" s="11" t="n">
        <v>8351803</v>
      </c>
      <c r="AB55" s="11" t="n">
        <v>-29628885</v>
      </c>
      <c r="AC55" s="11" t="n">
        <v>2010742031</v>
      </c>
      <c r="AD55" s="11" t="n">
        <v>-809187787</v>
      </c>
      <c r="AE55" s="11" t="n">
        <v>380885196</v>
      </c>
      <c r="AF55" s="11" t="n">
        <v>47912377</v>
      </c>
      <c r="AG55" s="11" t="n">
        <v>-22922324</v>
      </c>
      <c r="AH55" s="11" t="n">
        <v>-10752903</v>
      </c>
      <c r="AI55" s="11" t="n">
        <v>247082197</v>
      </c>
      <c r="AJ55" s="11" t="n">
        <v>1345660801</v>
      </c>
      <c r="AK55" s="11" t="n">
        <v>-588341129</v>
      </c>
      <c r="AL55" s="11" t="n">
        <v>103903071</v>
      </c>
      <c r="AM55" s="11" t="n">
        <v>-458733</v>
      </c>
      <c r="AN55" s="11" t="n">
        <v>-19467945</v>
      </c>
      <c r="AO55" s="11" t="n">
        <v>-12667200</v>
      </c>
      <c r="AP55" s="11" t="n">
        <v>158208597</v>
      </c>
      <c r="AQ55" s="11" t="n">
        <v>-72021396</v>
      </c>
      <c r="AR55" s="11" t="n">
        <v>25550457</v>
      </c>
      <c r="AS55" s="11" t="n">
        <v>-94364565</v>
      </c>
      <c r="AT55" s="11" t="n">
        <v>-2627612820</v>
      </c>
      <c r="AU55" s="11" t="n">
        <v>-552699015</v>
      </c>
      <c r="AV55" s="11" t="n">
        <v>-3071246007</v>
      </c>
      <c r="AW55" s="11" t="n">
        <v>976151703</v>
      </c>
      <c r="AX55" s="11" t="n">
        <v>230609688</v>
      </c>
      <c r="AY55" s="11" t="n">
        <v>-6079815</v>
      </c>
      <c r="AZ55" s="11" t="n">
        <v>-9064155</v>
      </c>
      <c r="BA55" s="11" t="n">
        <v>157244316</v>
      </c>
      <c r="BB55" s="11" t="n">
        <v>-69719409</v>
      </c>
      <c r="BC55" s="11" t="n">
        <v>22186731</v>
      </c>
      <c r="BD55" s="11" t="n">
        <v>-216784575</v>
      </c>
      <c r="BE55" s="11" t="n">
        <v>4576397805</v>
      </c>
      <c r="BF55" s="11" t="n">
        <v>-2004252705</v>
      </c>
      <c r="BG55" s="11" t="n">
        <v>602938980</v>
      </c>
      <c r="BH55" s="11" t="n">
        <v>1215997005</v>
      </c>
      <c r="BI55" s="11" t="n">
        <v>-502114740</v>
      </c>
      <c r="BJ55" s="11" t="n">
        <v>107797905</v>
      </c>
      <c r="BK55" s="11" t="n">
        <v>-642520311</v>
      </c>
      <c r="BL55" s="11" t="n">
        <v>1106378985</v>
      </c>
      <c r="BM55" s="11" t="n">
        <v>-399891489</v>
      </c>
      <c r="BN55" s="11" t="n">
        <v>3298523</v>
      </c>
      <c r="BO55" s="11" t="n">
        <v>-358894303</v>
      </c>
      <c r="BP55" s="11" t="n">
        <v>49795344</v>
      </c>
      <c r="BQ55" s="11" t="n">
        <v>-518118902</v>
      </c>
      <c r="BR55" s="11" t="n">
        <v>307807840</v>
      </c>
      <c r="BS55" s="11" t="n">
        <v>231664356</v>
      </c>
      <c r="BT55" s="11" t="n">
        <v>2202554</v>
      </c>
      <c r="BU55" s="11" t="n">
        <v>182288</v>
      </c>
      <c r="BV55" s="11" t="n">
        <v>-2735015</v>
      </c>
      <c r="BW55" s="11" t="n">
        <v>927428</v>
      </c>
      <c r="BX55" s="11" t="n">
        <v>-1833929</v>
      </c>
      <c r="BY55" s="11" t="n">
        <v>-53084080</v>
      </c>
      <c r="BZ55" s="11" t="n">
        <v>643550511</v>
      </c>
      <c r="CA55" s="11" t="n">
        <v>-306443828</v>
      </c>
      <c r="CB55" s="11" t="n">
        <v>44848381</v>
      </c>
      <c r="CC55" s="11" t="n">
        <v>-12655408</v>
      </c>
      <c r="CD55" s="11" t="n">
        <v>-3009856</v>
      </c>
      <c r="CE55" s="11" t="n">
        <v>-40488048</v>
      </c>
      <c r="CF55" s="11" t="n">
        <v>109546328</v>
      </c>
      <c r="CG55" s="11" t="n">
        <v>480153926</v>
      </c>
      <c r="CH55" s="11" t="n">
        <v>-236272336</v>
      </c>
      <c r="CI55" s="11" t="n">
        <v>409363705</v>
      </c>
      <c r="CJ55" s="11" t="n">
        <v>-27677965</v>
      </c>
      <c r="CK55" s="11" t="n">
        <v>568054821</v>
      </c>
      <c r="CL55" s="11" t="n">
        <v>-310539539</v>
      </c>
      <c r="CM55" s="11" t="n">
        <v>-217718084</v>
      </c>
      <c r="CN55" s="11" t="n">
        <v>-3168370375</v>
      </c>
      <c r="CO55" s="11" t="n">
        <v>2494278289</v>
      </c>
      <c r="CP55" s="11" t="n">
        <v>-4412425321</v>
      </c>
      <c r="CQ55" s="11" t="n">
        <v>-5062022936</v>
      </c>
      <c r="CR55" s="11" t="n">
        <v>4227955478</v>
      </c>
      <c r="CS55" s="11" t="n">
        <v>-2105162992</v>
      </c>
      <c r="CT55" s="11" t="n">
        <v>-1342827972</v>
      </c>
      <c r="CU55" s="11" t="n">
        <v>-4230779194</v>
      </c>
      <c r="CV55" s="11" t="n">
        <v>-5697762196</v>
      </c>
      <c r="CW55" s="11" t="n">
        <v>1493277188</v>
      </c>
      <c r="CX55" s="11" t="n">
        <v>-41104550</v>
      </c>
      <c r="CY55" s="11" t="n">
        <v>718742083</v>
      </c>
      <c r="CZ55" s="11" t="n">
        <v>-322458102</v>
      </c>
      <c r="DA55" s="11" t="n">
        <v>82221083</v>
      </c>
      <c r="DB55" s="11" t="n">
        <v>8443151</v>
      </c>
      <c r="DC55" s="11" t="n">
        <v>-9379444</v>
      </c>
      <c r="DD55" s="11" t="n">
        <v>-27420399</v>
      </c>
      <c r="DE55" s="11" t="n">
        <v>97771139</v>
      </c>
      <c r="DF55" s="11" t="n">
        <v>496353803</v>
      </c>
      <c r="DG55" s="11" t="n">
        <v>-233869921</v>
      </c>
      <c r="DH55" s="11" t="n">
        <v>-5312427335</v>
      </c>
      <c r="DI55" s="11" t="n">
        <v>2052687940</v>
      </c>
      <c r="DJ55" s="11" t="n">
        <v>-1144652085</v>
      </c>
      <c r="DK55" s="11" t="n">
        <v>5782377613</v>
      </c>
      <c r="DL55" s="11" t="n">
        <v>9388646635</v>
      </c>
      <c r="DM55" s="11" t="n">
        <v>-4873623803</v>
      </c>
      <c r="DN55" s="11" t="n">
        <v>790580616</v>
      </c>
      <c r="DO55" s="11" t="n">
        <v>3778981830</v>
      </c>
      <c r="DP55" s="11" t="n">
        <v>-1630518336</v>
      </c>
      <c r="DQ55" s="11" t="n">
        <v>-2716087578</v>
      </c>
      <c r="DR55" s="11" t="n">
        <v>3134448</v>
      </c>
      <c r="DS55" s="11" t="n">
        <v>7002</v>
      </c>
      <c r="DT55" s="11" t="n">
        <v>-3629586</v>
      </c>
      <c r="DU55" s="11" t="n">
        <v>-85638</v>
      </c>
      <c r="DV55" s="11" t="n">
        <v>-62028</v>
      </c>
      <c r="DW55" s="11" t="n">
        <v>-141426</v>
      </c>
      <c r="DX55" s="11" t="n">
        <v>856002</v>
      </c>
      <c r="DY55" s="11" t="n">
        <v>-1716552</v>
      </c>
      <c r="DZ55" s="11" t="n">
        <v>-244245288</v>
      </c>
      <c r="EA55" s="11" t="n">
        <v>-594984</v>
      </c>
      <c r="EB55" s="11" t="n">
        <v>-354827808</v>
      </c>
      <c r="EC55" s="11" t="n">
        <v>139598280</v>
      </c>
      <c r="ED55" s="11" t="n">
        <v>11578152</v>
      </c>
      <c r="EE55" s="11" t="n">
        <v>-2533326</v>
      </c>
      <c r="EF55" s="11" t="n">
        <v>-48228</v>
      </c>
      <c r="EG55" s="11" t="n">
        <v>-826614</v>
      </c>
      <c r="EH55" s="11" t="n">
        <v>234396</v>
      </c>
      <c r="EI55" s="11" t="n">
        <v>494646</v>
      </c>
      <c r="EJ55" s="11" t="n">
        <v>-5984190</v>
      </c>
      <c r="EK55" s="11" t="n">
        <v>406045338</v>
      </c>
      <c r="EL55" s="11" t="n">
        <v>-172670466</v>
      </c>
      <c r="EM55" s="11" t="n">
        <v>53295048</v>
      </c>
      <c r="EN55" s="11" t="n">
        <v>9682674</v>
      </c>
      <c r="EO55" s="11" t="n">
        <v>-3840888</v>
      </c>
      <c r="EP55" s="11" t="n">
        <v>-153846</v>
      </c>
      <c r="EQ55" s="11" t="n">
        <v>-18772326</v>
      </c>
      <c r="ER55" s="11" t="n">
        <v>96672570</v>
      </c>
      <c r="ES55" s="11" t="n">
        <v>-38645994</v>
      </c>
      <c r="ET55" s="11" t="n">
        <v>-7551</v>
      </c>
      <c r="EU55" s="11" t="n">
        <v>4801411</v>
      </c>
      <c r="EV55" s="11" t="n">
        <v>-20903</v>
      </c>
      <c r="EW55" s="11" t="n">
        <v>9205674</v>
      </c>
      <c r="EX55" s="11" t="n">
        <v>-1148805</v>
      </c>
      <c r="EY55" s="11" t="n">
        <v>6550853</v>
      </c>
      <c r="EZ55" s="11" t="n">
        <v>1982</v>
      </c>
      <c r="FA55" s="11" t="n">
        <v>-253</v>
      </c>
      <c r="FB55" s="11" t="n">
        <v>20415</v>
      </c>
      <c r="FC55" s="11" t="n">
        <v>-2907</v>
      </c>
      <c r="FD55" s="11" t="n">
        <v>16696</v>
      </c>
      <c r="FE55" s="11" t="n">
        <v>155387</v>
      </c>
      <c r="FF55" s="11" t="n">
        <v>-10564847</v>
      </c>
      <c r="FG55" s="11" t="n">
        <v>1546917</v>
      </c>
      <c r="FH55" s="11" t="n">
        <v>-8896910</v>
      </c>
      <c r="FI55" s="11" t="n">
        <v>-251927</v>
      </c>
      <c r="FJ55" s="11" t="n">
        <v>30444</v>
      </c>
      <c r="FK55" s="11" t="n">
        <v>-173271</v>
      </c>
      <c r="FL55" s="11" t="n">
        <v>438093</v>
      </c>
      <c r="FM55" s="11" t="n">
        <v>-2643659</v>
      </c>
      <c r="FN55" s="11" t="n">
        <v>18159</v>
      </c>
      <c r="FO55" s="11" t="n">
        <v>-3217845</v>
      </c>
      <c r="FP55" s="11" t="n">
        <v>10014</v>
      </c>
      <c r="FQ55" s="11" t="n">
        <v>-5896197</v>
      </c>
      <c r="FR55" s="11" t="n">
        <v>965430</v>
      </c>
      <c r="FS55" s="11" t="n">
        <v>-3559623</v>
      </c>
      <c r="FT55" s="11" t="n">
        <v>2540231</v>
      </c>
      <c r="FU55" s="11" t="n">
        <v>-173800413</v>
      </c>
      <c r="FV55" s="11" t="n">
        <v>-124321255</v>
      </c>
      <c r="FW55" s="11" t="n">
        <v>-528197132</v>
      </c>
      <c r="FX55" s="11" t="n">
        <v>-4113705</v>
      </c>
      <c r="FY55" s="11" t="n">
        <v>1149020</v>
      </c>
      <c r="FZ55" s="11" t="n">
        <v>-1166277</v>
      </c>
      <c r="GA55" s="11" t="n">
        <v>-279943485</v>
      </c>
      <c r="GB55" s="11" t="n">
        <v>-775578189</v>
      </c>
      <c r="GC55" s="11" t="n">
        <v>295997525</v>
      </c>
      <c r="GD55" s="11" t="n">
        <v>105187</v>
      </c>
      <c r="GE55" s="11" t="n">
        <v>-7152171</v>
      </c>
      <c r="GF55" s="11" t="n">
        <v>985405</v>
      </c>
      <c r="GG55" s="11" t="n">
        <v>-6180634</v>
      </c>
      <c r="GH55" s="11" t="n">
        <v>-170481</v>
      </c>
      <c r="GI55" s="11" t="n">
        <v>28492</v>
      </c>
      <c r="GJ55" s="11" t="n">
        <v>-97125</v>
      </c>
      <c r="GK55" s="11" t="n">
        <v>-340221</v>
      </c>
      <c r="GL55" s="11" t="n">
        <v>-3413217</v>
      </c>
      <c r="GM55" s="11" t="n">
        <v>764269</v>
      </c>
      <c r="GN55" s="11" t="n">
        <v>-35234</v>
      </c>
      <c r="GO55" s="11" t="n">
        <v>-4841792</v>
      </c>
      <c r="GP55" s="11" t="n">
        <v>-12386934</v>
      </c>
      <c r="GQ55" s="11" t="n">
        <v>329546846</v>
      </c>
      <c r="GR55" s="11" t="n">
        <v>840177034</v>
      </c>
      <c r="GS55" s="11" t="n">
        <v>-400538954</v>
      </c>
      <c r="GT55" s="11" t="n">
        <v>7856840</v>
      </c>
      <c r="GU55" s="11" t="n">
        <v>20043492</v>
      </c>
      <c r="GV55" s="11" t="n">
        <v>-7825944</v>
      </c>
      <c r="GW55" s="11" t="n">
        <v>-117302708</v>
      </c>
      <c r="GX55" s="11" t="n">
        <v>-579519</v>
      </c>
      <c r="GY55" s="11" t="n">
        <v>84597699</v>
      </c>
      <c r="GZ55" s="11" t="n">
        <v>-8244663</v>
      </c>
      <c r="HA55" s="11" t="n">
        <v>134439786</v>
      </c>
      <c r="HB55" s="11" t="n">
        <v>-56483253</v>
      </c>
      <c r="HC55" s="11" t="n">
        <v>-2369739</v>
      </c>
      <c r="HD55" s="11" t="n">
        <v>-482082</v>
      </c>
      <c r="HE55" s="11" t="n">
        <v>-34251</v>
      </c>
      <c r="HF55" s="11" t="n">
        <v>288855</v>
      </c>
      <c r="HG55" s="11" t="n">
        <v>-152325</v>
      </c>
      <c r="HH55" s="11" t="n">
        <v>152970</v>
      </c>
      <c r="HI55" s="11" t="n">
        <v>11858385</v>
      </c>
      <c r="HJ55" s="11" t="n">
        <v>-154002663</v>
      </c>
      <c r="HK55" s="11" t="n">
        <v>69222759</v>
      </c>
      <c r="HL55" s="11" t="n">
        <v>-20359128</v>
      </c>
      <c r="HM55" s="11" t="n">
        <v>-3836259</v>
      </c>
      <c r="HN55" s="11" t="n">
        <v>1171212</v>
      </c>
      <c r="HO55" s="11" t="n">
        <v>2316321</v>
      </c>
      <c r="HP55" s="11" t="n">
        <v>7183665</v>
      </c>
      <c r="HQ55" s="11" t="n">
        <v>-36667935</v>
      </c>
      <c r="HR55" s="11" t="n">
        <v>15532215</v>
      </c>
      <c r="HS55" s="11" t="n">
        <v>-91486965</v>
      </c>
      <c r="HT55" s="11" t="n">
        <v>4405110</v>
      </c>
      <c r="HU55" s="11" t="n">
        <v>-139227813</v>
      </c>
      <c r="HV55" s="11" t="n">
        <v>56742462</v>
      </c>
      <c r="HW55" s="11" t="n">
        <v>3438417</v>
      </c>
      <c r="HX55" s="11" t="n">
        <v>658506495</v>
      </c>
      <c r="HY55" s="11" t="n">
        <v>-899255037</v>
      </c>
      <c r="HZ55" s="11" t="n">
        <v>633628353</v>
      </c>
      <c r="IA55" s="11" t="n">
        <v>-127833492</v>
      </c>
      <c r="IB55" s="11" t="n">
        <v>-958837161</v>
      </c>
      <c r="IC55" s="11" t="n">
        <v>377912604</v>
      </c>
      <c r="ID55" s="11" t="n">
        <v>30904299</v>
      </c>
      <c r="IE55" s="11" t="n">
        <v>406536003</v>
      </c>
      <c r="IF55" s="11" t="n">
        <v>-228338445</v>
      </c>
      <c r="IG55" s="11" t="n">
        <v>103099557</v>
      </c>
      <c r="IH55" s="11" t="n">
        <v>9071565</v>
      </c>
      <c r="II55" s="11" t="n">
        <v>-161419539</v>
      </c>
      <c r="IJ55" s="11" t="n">
        <v>71249211</v>
      </c>
      <c r="IK55" s="11" t="n">
        <v>-21288624</v>
      </c>
      <c r="IL55" s="11" t="n">
        <v>-6033027</v>
      </c>
      <c r="IM55" s="11" t="n">
        <v>2195748</v>
      </c>
      <c r="IN55" s="11" t="n">
        <v>1365993</v>
      </c>
      <c r="IO55" s="11" t="n">
        <v>8312985</v>
      </c>
      <c r="IP55" s="11" t="n">
        <v>-38464455</v>
      </c>
      <c r="IQ55" s="11" t="n">
        <v>15881535</v>
      </c>
      <c r="IR55" s="11" t="n">
        <v>1072701060</v>
      </c>
      <c r="IS55" s="11" t="n">
        <v>-450010200</v>
      </c>
      <c r="IT55" s="11" t="n">
        <v>140556060</v>
      </c>
      <c r="IU55" s="11" t="n">
        <v>-417641844</v>
      </c>
      <c r="IV55" s="11" t="n">
        <v>16296540</v>
      </c>
      <c r="IW55" s="11" t="n">
        <v>47887044</v>
      </c>
      <c r="IX55" s="11" t="n">
        <v>39634008</v>
      </c>
      <c r="IY55" s="11" t="n">
        <v>-255003480</v>
      </c>
      <c r="IZ55" s="11" t="n">
        <v>101783592</v>
      </c>
      <c r="JA55" s="11" t="n">
        <v>98680080</v>
      </c>
      <c r="JB55" s="11" t="n">
        <v>683920</v>
      </c>
      <c r="JC55" s="11" t="n">
        <v>15997</v>
      </c>
      <c r="JD55" s="11" t="n">
        <v>1378140</v>
      </c>
      <c r="JE55" s="11" t="n">
        <v>-76329</v>
      </c>
      <c r="JF55" s="11" t="n">
        <v>1216877</v>
      </c>
      <c r="JG55" s="11" t="n">
        <v>-12065177</v>
      </c>
      <c r="JH55" s="11" t="n">
        <v>-42520460</v>
      </c>
      <c r="JI55" s="11" t="n">
        <v>-55516331</v>
      </c>
      <c r="JJ55" s="11" t="n">
        <v>-180435337</v>
      </c>
      <c r="JK55" s="11" t="n">
        <v>23317498</v>
      </c>
      <c r="JL55" s="11" t="n">
        <v>-2645072</v>
      </c>
      <c r="JM55" s="11" t="n">
        <v>17246772</v>
      </c>
      <c r="JN55" s="11" t="n">
        <v>-116614254</v>
      </c>
      <c r="JO55" s="11" t="n">
        <v>-287932778</v>
      </c>
      <c r="JP55" s="11" t="n">
        <v>118915948</v>
      </c>
      <c r="JQ55" s="11" t="n">
        <v>-27114</v>
      </c>
      <c r="JR55" s="11" t="n">
        <v>1487320</v>
      </c>
      <c r="JS55" s="11" t="n">
        <v>-243262</v>
      </c>
      <c r="JT55" s="11" t="n">
        <v>1192806</v>
      </c>
      <c r="JU55" s="11" t="n">
        <v>89425</v>
      </c>
      <c r="JV55" s="11" t="n">
        <v>-8716</v>
      </c>
      <c r="JW55" s="11" t="n">
        <v>76143</v>
      </c>
      <c r="JX55" s="11" t="n">
        <v>-324195</v>
      </c>
      <c r="JY55" s="11" t="n">
        <v>-242765</v>
      </c>
      <c r="JZ55" s="11" t="n">
        <v>299705</v>
      </c>
      <c r="KA55" s="11" t="n">
        <v>-27923849</v>
      </c>
      <c r="KB55" s="11" t="n">
        <v>2090492</v>
      </c>
      <c r="KC55" s="11" t="n">
        <v>-28195899</v>
      </c>
      <c r="KD55" s="11" t="n">
        <v>135855307</v>
      </c>
      <c r="KE55" s="11" t="n">
        <v>318233749</v>
      </c>
      <c r="KF55" s="11" t="n">
        <v>-161003149</v>
      </c>
      <c r="KG55" s="11" t="n">
        <v>2081656</v>
      </c>
      <c r="KH55" s="11" t="n">
        <v>14575962</v>
      </c>
      <c r="KI55" s="11" t="n">
        <v>-3193152</v>
      </c>
      <c r="KJ55" s="11" t="n">
        <v>-47191510</v>
      </c>
      <c r="KK55" s="11" t="n">
        <v>7724095</v>
      </c>
      <c r="KL55" s="11" t="n">
        <v>53253060</v>
      </c>
      <c r="KM55" s="11" t="n">
        <v>54914845</v>
      </c>
      <c r="KN55" s="11" t="n">
        <v>196162655</v>
      </c>
      <c r="KO55" s="11" t="n">
        <v>-14318919</v>
      </c>
      <c r="KP55" s="11" t="n">
        <v>2146516</v>
      </c>
      <c r="KQ55" s="11" t="n">
        <v>-9154959</v>
      </c>
      <c r="KR55" s="11" t="n">
        <v>116600037</v>
      </c>
      <c r="KS55" s="11" t="n">
        <v>300528099</v>
      </c>
      <c r="KT55" s="11" t="n">
        <v>-119600993</v>
      </c>
      <c r="KU55" s="11" t="n">
        <v>-459228451</v>
      </c>
      <c r="KV55" s="11" t="n">
        <v>-341770836</v>
      </c>
      <c r="KW55" s="11" t="n">
        <v>-1422735801</v>
      </c>
      <c r="KX55" s="11" t="n">
        <v>908600473</v>
      </c>
      <c r="KY55" s="11" t="n">
        <v>1853736551</v>
      </c>
      <c r="KZ55" s="11" t="n">
        <v>-1435332087</v>
      </c>
      <c r="LA55" s="11" t="n">
        <v>761193400</v>
      </c>
      <c r="LB55" s="11" t="n">
        <v>2093167038</v>
      </c>
      <c r="LC55" s="11" t="n">
        <v>-800459232</v>
      </c>
      <c r="LD55" s="11" t="n">
        <v>-1068750274</v>
      </c>
      <c r="LE55" s="11" t="n">
        <v>-18908797</v>
      </c>
      <c r="LF55" s="11" t="n">
        <v>570268</v>
      </c>
      <c r="LG55" s="11" t="n">
        <v>-21248247</v>
      </c>
      <c r="LH55" s="11" t="n">
        <v>138364711</v>
      </c>
      <c r="LI55" s="11" t="n">
        <v>333717497</v>
      </c>
      <c r="LJ55" s="11" t="n">
        <v>-165548129</v>
      </c>
      <c r="LK55" s="11" t="n">
        <v>4197568</v>
      </c>
      <c r="LL55" s="11" t="n">
        <v>16978386</v>
      </c>
      <c r="LM55" s="11" t="n">
        <v>-5228952</v>
      </c>
      <c r="LN55" s="11" t="n">
        <v>-50156950</v>
      </c>
      <c r="LO55" s="11" t="n">
        <v>-870569128</v>
      </c>
      <c r="LP55" s="11" t="n">
        <v>-2219602800</v>
      </c>
      <c r="LQ55" s="11" t="n">
        <v>1045219128</v>
      </c>
      <c r="LR55" s="11" t="n">
        <v>877398472</v>
      </c>
      <c r="LS55" s="11" t="n">
        <v>-288962064</v>
      </c>
    </row>
    <row r="56" customFormat="false" ht="15" hidden="false" customHeight="true" outlineLevel="0" collapsed="false">
      <c r="A56" s="7" t="s">
        <v>122</v>
      </c>
      <c r="B56" s="11" t="n">
        <v>-17222340</v>
      </c>
      <c r="C56" s="11" t="n">
        <v>961003824</v>
      </c>
      <c r="D56" s="11" t="n">
        <v>-7142652</v>
      </c>
      <c r="E56" s="11" t="n">
        <v>-1671479808</v>
      </c>
      <c r="F56" s="11" t="n">
        <v>-7618596</v>
      </c>
      <c r="G56" s="11" t="n">
        <v>-1417947732</v>
      </c>
      <c r="H56" s="11" t="n">
        <v>723239844</v>
      </c>
      <c r="I56" s="11" t="n">
        <v>209443824</v>
      </c>
      <c r="J56" s="11" t="n">
        <v>-36289808</v>
      </c>
      <c r="K56" s="11" t="n">
        <v>-131921</v>
      </c>
      <c r="L56" s="11" t="n">
        <v>16829411</v>
      </c>
      <c r="M56" s="11" t="n">
        <v>-565668</v>
      </c>
      <c r="N56" s="11" t="n">
        <v>15042679</v>
      </c>
      <c r="O56" s="11" t="n">
        <v>-4646603</v>
      </c>
      <c r="P56" s="11" t="n">
        <v>33761332</v>
      </c>
      <c r="Q56" s="11" t="n">
        <v>22411708</v>
      </c>
      <c r="R56" s="11" t="n">
        <v>2582956380</v>
      </c>
      <c r="S56" s="11" t="n">
        <v>47617600</v>
      </c>
      <c r="T56" s="11" t="n">
        <v>2148429244</v>
      </c>
      <c r="U56" s="11" t="n">
        <v>-1264684812</v>
      </c>
      <c r="V56" s="11" t="n">
        <v>-2325203504</v>
      </c>
      <c r="W56" s="11" t="n">
        <v>19783021</v>
      </c>
      <c r="X56" s="11" t="n">
        <v>-176243</v>
      </c>
      <c r="Y56" s="11" t="n">
        <v>17099982</v>
      </c>
      <c r="Z56" s="11" t="n">
        <v>-7467022</v>
      </c>
      <c r="AA56" s="11" t="n">
        <v>12397584</v>
      </c>
      <c r="AB56" s="11" t="n">
        <v>-62344555</v>
      </c>
      <c r="AC56" s="11" t="n">
        <v>74340017</v>
      </c>
      <c r="AD56" s="11" t="n">
        <v>255772299</v>
      </c>
      <c r="AE56" s="11" t="n">
        <v>3481303988</v>
      </c>
      <c r="AF56" s="11" t="n">
        <v>53226899</v>
      </c>
      <c r="AG56" s="11" t="n">
        <v>-25810327</v>
      </c>
      <c r="AH56" s="11" t="n">
        <v>8055716</v>
      </c>
      <c r="AI56" s="11" t="n">
        <v>249142952</v>
      </c>
      <c r="AJ56" s="11" t="n">
        <v>2962570728</v>
      </c>
      <c r="AK56" s="11" t="n">
        <v>-1474291112</v>
      </c>
      <c r="AL56" s="11" t="n">
        <v>-385706868</v>
      </c>
      <c r="AM56" s="11" t="n">
        <v>-4110711</v>
      </c>
      <c r="AN56" s="11" t="n">
        <v>554040621</v>
      </c>
      <c r="AO56" s="11" t="n">
        <v>-44757948</v>
      </c>
      <c r="AP56" s="11" t="n">
        <v>495054189</v>
      </c>
      <c r="AQ56" s="11" t="n">
        <v>-292751133</v>
      </c>
      <c r="AR56" s="11" t="n">
        <v>-65145408</v>
      </c>
      <c r="AS56" s="11" t="n">
        <v>389341920</v>
      </c>
      <c r="AT56" s="11" t="n">
        <v>6518631396</v>
      </c>
      <c r="AU56" s="11" t="n">
        <v>2668110372</v>
      </c>
      <c r="AV56" s="11" t="n">
        <v>4132029096</v>
      </c>
      <c r="AW56" s="11" t="n">
        <v>137982600</v>
      </c>
      <c r="AX56" s="11" t="n">
        <v>-1055543856</v>
      </c>
      <c r="AY56" s="11" t="n">
        <v>628735107</v>
      </c>
      <c r="AZ56" s="11" t="n">
        <v>-16744101</v>
      </c>
      <c r="BA56" s="11" t="n">
        <v>543757302</v>
      </c>
      <c r="BB56" s="11" t="n">
        <v>-294039570</v>
      </c>
      <c r="BC56" s="11" t="n">
        <v>-77008932</v>
      </c>
      <c r="BD56" s="11" t="n">
        <v>-4588982565</v>
      </c>
      <c r="BE56" s="11" t="n">
        <v>2431286271</v>
      </c>
      <c r="BF56" s="11" t="n">
        <v>-5145837051</v>
      </c>
      <c r="BG56" s="11" t="n">
        <v>415225356</v>
      </c>
      <c r="BH56" s="11" t="n">
        <v>3904001937</v>
      </c>
      <c r="BI56" s="11" t="n">
        <v>-2009081457</v>
      </c>
      <c r="BJ56" s="11" t="n">
        <v>-573127248</v>
      </c>
      <c r="BK56" s="11" t="n">
        <v>-3313306476</v>
      </c>
      <c r="BL56" s="11" t="n">
        <v>656894412</v>
      </c>
      <c r="BM56" s="11" t="n">
        <v>-824461836</v>
      </c>
      <c r="BN56" s="11" t="n">
        <v>-5707359</v>
      </c>
      <c r="BO56" s="11" t="n">
        <v>790531853</v>
      </c>
      <c r="BP56" s="11" t="n">
        <v>-81642524</v>
      </c>
      <c r="BQ56" s="11" t="n">
        <v>706254601</v>
      </c>
      <c r="BR56" s="11" t="n">
        <v>-512802309</v>
      </c>
      <c r="BS56" s="11" t="n">
        <v>-893379876</v>
      </c>
      <c r="BT56" s="11" t="n">
        <v>226958</v>
      </c>
      <c r="BU56" s="11" t="n">
        <v>-207824</v>
      </c>
      <c r="BV56" s="11" t="n">
        <v>201595</v>
      </c>
      <c r="BW56" s="11" t="n">
        <v>-1133364</v>
      </c>
      <c r="BX56" s="11" t="n">
        <v>-8557323</v>
      </c>
      <c r="BY56" s="11" t="n">
        <v>25539320</v>
      </c>
      <c r="BZ56" s="11" t="n">
        <v>161697</v>
      </c>
      <c r="CA56" s="11" t="n">
        <v>136591330</v>
      </c>
      <c r="CB56" s="11" t="n">
        <v>1149757129</v>
      </c>
      <c r="CC56" s="11" t="n">
        <v>-22833316</v>
      </c>
      <c r="CD56" s="11" t="n">
        <v>2460320</v>
      </c>
      <c r="CE56" s="11" t="n">
        <v>-89879692</v>
      </c>
      <c r="CF56" s="11" t="n">
        <v>122134451</v>
      </c>
      <c r="CG56" s="11" t="n">
        <v>1027366217</v>
      </c>
      <c r="CH56" s="11" t="n">
        <v>-591462777</v>
      </c>
      <c r="CI56" s="11" t="n">
        <v>-894439243</v>
      </c>
      <c r="CJ56" s="11" t="n">
        <v>42931549</v>
      </c>
      <c r="CK56" s="11" t="n">
        <v>-774052838</v>
      </c>
      <c r="CL56" s="11" t="n">
        <v>515593410</v>
      </c>
      <c r="CM56" s="11" t="n">
        <v>917418468</v>
      </c>
      <c r="CN56" s="11" t="n">
        <v>6848267365</v>
      </c>
      <c r="CO56" s="11" t="n">
        <v>-3467173931</v>
      </c>
      <c r="CP56" s="11" t="n">
        <v>8949409923</v>
      </c>
      <c r="CQ56" s="11" t="n">
        <v>12935141896</v>
      </c>
      <c r="CR56" s="11" t="n">
        <v>-5760111357</v>
      </c>
      <c r="CS56" s="11" t="n">
        <v>3518080761</v>
      </c>
      <c r="CT56" s="11" t="n">
        <v>6403343012</v>
      </c>
      <c r="CU56" s="11" t="n">
        <v>5746241748</v>
      </c>
      <c r="CV56" s="11" t="n">
        <v>7637895980</v>
      </c>
      <c r="CW56" s="11" t="n">
        <v>1722956628</v>
      </c>
      <c r="CX56" s="11" t="n">
        <v>30862310</v>
      </c>
      <c r="CY56" s="11" t="n">
        <v>-812459</v>
      </c>
      <c r="CZ56" s="11" t="n">
        <v>157114208</v>
      </c>
      <c r="DA56" s="11" t="n">
        <v>1304594655</v>
      </c>
      <c r="DB56" s="11" t="n">
        <v>-26669423</v>
      </c>
      <c r="DC56" s="11" t="n">
        <v>10249156</v>
      </c>
      <c r="DD56" s="11" t="n">
        <v>-30963105</v>
      </c>
      <c r="DE56" s="11" t="n">
        <v>135499198</v>
      </c>
      <c r="DF56" s="11" t="n">
        <v>1128170346</v>
      </c>
      <c r="DG56" s="11" t="n">
        <v>-590874042</v>
      </c>
      <c r="DH56" s="11" t="n">
        <v>-113413025</v>
      </c>
      <c r="DI56" s="11" t="n">
        <v>-894147530</v>
      </c>
      <c r="DJ56" s="11" t="n">
        <v>-9542296705</v>
      </c>
      <c r="DK56" s="11" t="n">
        <v>600903037</v>
      </c>
      <c r="DL56" s="11" t="n">
        <v>5045336887</v>
      </c>
      <c r="DM56" s="11" t="n">
        <v>-10781121079</v>
      </c>
      <c r="DN56" s="11" t="n">
        <v>810334239</v>
      </c>
      <c r="DO56" s="11" t="n">
        <v>8132117389</v>
      </c>
      <c r="DP56" s="11" t="n">
        <v>-4065997373</v>
      </c>
      <c r="DQ56" s="11" t="n">
        <v>-7038034736</v>
      </c>
      <c r="DR56" s="11" t="n">
        <v>1665000</v>
      </c>
      <c r="DS56" s="11" t="n">
        <v>2760</v>
      </c>
      <c r="DT56" s="11" t="n">
        <v>-7212000</v>
      </c>
      <c r="DU56" s="11" t="n">
        <v>-193260</v>
      </c>
      <c r="DV56" s="11" t="n">
        <v>-3747540</v>
      </c>
      <c r="DW56" s="11" t="n">
        <v>-72240</v>
      </c>
      <c r="DX56" s="11" t="n">
        <v>1241340</v>
      </c>
      <c r="DY56" s="11" t="n">
        <v>-844536</v>
      </c>
      <c r="DZ56" s="11" t="n">
        <v>240835200</v>
      </c>
      <c r="EA56" s="11" t="n">
        <v>10047336</v>
      </c>
      <c r="EB56" s="11" t="n">
        <v>72029544</v>
      </c>
      <c r="EC56" s="11" t="n">
        <v>73951464</v>
      </c>
      <c r="ED56" s="11" t="n">
        <v>-49018224</v>
      </c>
      <c r="EE56" s="11" t="n">
        <v>-3258912</v>
      </c>
      <c r="EF56" s="11" t="n">
        <v>-81372</v>
      </c>
      <c r="EG56" s="11" t="n">
        <v>-1781460</v>
      </c>
      <c r="EH56" s="11" t="n">
        <v>85944</v>
      </c>
      <c r="EI56" s="11" t="n">
        <v>548388</v>
      </c>
      <c r="EJ56" s="11" t="n">
        <v>-15566112</v>
      </c>
      <c r="EK56" s="11" t="n">
        <v>230067552</v>
      </c>
      <c r="EL56" s="11" t="n">
        <v>-309873888</v>
      </c>
      <c r="EM56" s="11" t="n">
        <v>32769408</v>
      </c>
      <c r="EN56" s="11" t="n">
        <v>14253672</v>
      </c>
      <c r="EO56" s="11" t="n">
        <v>-8147772</v>
      </c>
      <c r="EP56" s="11" t="n">
        <v>-1801140</v>
      </c>
      <c r="EQ56" s="11" t="n">
        <v>-163322916</v>
      </c>
      <c r="ER56" s="11" t="n">
        <v>56627388</v>
      </c>
      <c r="ES56" s="11" t="n">
        <v>-53007708</v>
      </c>
      <c r="ET56" s="11" t="n">
        <v>-6938</v>
      </c>
      <c r="EU56" s="11" t="n">
        <v>-13569650</v>
      </c>
      <c r="EV56" s="11" t="n">
        <v>-461912</v>
      </c>
      <c r="EW56" s="11" t="n">
        <v>-6442298</v>
      </c>
      <c r="EX56" s="11" t="n">
        <v>-601438</v>
      </c>
      <c r="EY56" s="11" t="n">
        <v>5879608</v>
      </c>
      <c r="EZ56" s="11" t="n">
        <v>-52546</v>
      </c>
      <c r="FA56" s="11" t="n">
        <v>-1571</v>
      </c>
      <c r="FB56" s="11" t="n">
        <v>-26295</v>
      </c>
      <c r="FC56" s="11" t="n">
        <v>-1298</v>
      </c>
      <c r="FD56" s="11" t="n">
        <v>14919</v>
      </c>
      <c r="FE56" s="11" t="n">
        <v>425729</v>
      </c>
      <c r="FF56" s="11" t="n">
        <v>-2637209</v>
      </c>
      <c r="FG56" s="11" t="n">
        <v>2016396</v>
      </c>
      <c r="FH56" s="11" t="n">
        <v>-15350861</v>
      </c>
      <c r="FI56" s="11" t="n">
        <v>-291889</v>
      </c>
      <c r="FJ56" s="11" t="n">
        <v>49769</v>
      </c>
      <c r="FK56" s="11" t="n">
        <v>-338080</v>
      </c>
      <c r="FL56" s="11" t="n">
        <v>1074187</v>
      </c>
      <c r="FM56" s="11" t="n">
        <v>-8430621</v>
      </c>
      <c r="FN56" s="11" t="n">
        <v>193301</v>
      </c>
      <c r="FO56" s="11" t="n">
        <v>7886470</v>
      </c>
      <c r="FP56" s="11" t="n">
        <v>276162</v>
      </c>
      <c r="FQ56" s="11" t="n">
        <v>3567864</v>
      </c>
      <c r="FR56" s="11" t="n">
        <v>613220</v>
      </c>
      <c r="FS56" s="11" t="n">
        <v>-3186564</v>
      </c>
      <c r="FT56" s="11" t="n">
        <v>15071570</v>
      </c>
      <c r="FU56" s="11" t="n">
        <v>-344814670</v>
      </c>
      <c r="FV56" s="11" t="n">
        <v>515704530</v>
      </c>
      <c r="FW56" s="11" t="n">
        <v>450964820</v>
      </c>
      <c r="FX56" s="11" t="n">
        <v>-18892866</v>
      </c>
      <c r="FY56" s="11" t="n">
        <v>16886618</v>
      </c>
      <c r="FZ56" s="11" t="n">
        <v>21881256</v>
      </c>
      <c r="GA56" s="11" t="n">
        <v>260117756</v>
      </c>
      <c r="GB56" s="11" t="n">
        <v>64693980</v>
      </c>
      <c r="GC56" s="11" t="n">
        <v>243437956</v>
      </c>
      <c r="GD56" s="11" t="n">
        <v>305789</v>
      </c>
      <c r="GE56" s="11" t="n">
        <v>-2867937</v>
      </c>
      <c r="GF56" s="11" t="n">
        <v>3168870</v>
      </c>
      <c r="GG56" s="11" t="n">
        <v>-7175403</v>
      </c>
      <c r="GH56" s="11" t="n">
        <v>-238767</v>
      </c>
      <c r="GI56" s="11" t="n">
        <v>87188</v>
      </c>
      <c r="GJ56" s="11" t="n">
        <v>-127707</v>
      </c>
      <c r="GK56" s="11" t="n">
        <v>1656606</v>
      </c>
      <c r="GL56" s="11" t="n">
        <v>-4404978</v>
      </c>
      <c r="GM56" s="11" t="n">
        <v>722466</v>
      </c>
      <c r="GN56" s="11" t="n">
        <v>7888982</v>
      </c>
      <c r="GO56" s="11" t="n">
        <v>-13939941</v>
      </c>
      <c r="GP56" s="11" t="n">
        <v>-31198327</v>
      </c>
      <c r="GQ56" s="11" t="n">
        <v>48987093</v>
      </c>
      <c r="GR56" s="11" t="n">
        <v>477719805</v>
      </c>
      <c r="GS56" s="11" t="n">
        <v>-650409717</v>
      </c>
      <c r="GT56" s="11" t="n">
        <v>8635279</v>
      </c>
      <c r="GU56" s="11" t="n">
        <v>27655047</v>
      </c>
      <c r="GV56" s="11" t="n">
        <v>-14717167</v>
      </c>
      <c r="GW56" s="11" t="n">
        <v>-351186432</v>
      </c>
      <c r="GX56" s="11" t="n">
        <v>-335598</v>
      </c>
      <c r="GY56" s="11" t="n">
        <v>-107955150</v>
      </c>
      <c r="GZ56" s="11" t="n">
        <v>-8655252</v>
      </c>
      <c r="HA56" s="11" t="n">
        <v>-36068658</v>
      </c>
      <c r="HB56" s="11" t="n">
        <v>-29920098</v>
      </c>
      <c r="HC56" s="11" t="n">
        <v>21502668</v>
      </c>
      <c r="HD56" s="11" t="n">
        <v>-1632606</v>
      </c>
      <c r="HE56" s="11" t="n">
        <v>-53301</v>
      </c>
      <c r="HF56" s="11" t="n">
        <v>-815145</v>
      </c>
      <c r="HG56" s="11" t="n">
        <v>-64158</v>
      </c>
      <c r="HH56" s="11" t="n">
        <v>285849</v>
      </c>
      <c r="HI56" s="11" t="n">
        <v>24959919</v>
      </c>
      <c r="HJ56" s="11" t="n">
        <v>-86750199</v>
      </c>
      <c r="HK56" s="11" t="n">
        <v>124915956</v>
      </c>
      <c r="HL56" s="11" t="n">
        <v>-12653571</v>
      </c>
      <c r="HM56" s="11" t="n">
        <v>-15294459</v>
      </c>
      <c r="HN56" s="11" t="n">
        <v>3097359</v>
      </c>
      <c r="HO56" s="11" t="n">
        <v>3957060</v>
      </c>
      <c r="HP56" s="11" t="n">
        <v>65778477</v>
      </c>
      <c r="HQ56" s="11" t="n">
        <v>-21506691</v>
      </c>
      <c r="HR56" s="11" t="n">
        <v>21373971</v>
      </c>
      <c r="HS56" s="11" t="n">
        <v>103300794</v>
      </c>
      <c r="HT56" s="11" t="n">
        <v>6415338</v>
      </c>
      <c r="HU56" s="11" t="n">
        <v>32813364</v>
      </c>
      <c r="HV56" s="11" t="n">
        <v>30082020</v>
      </c>
      <c r="HW56" s="11" t="n">
        <v>-20786904</v>
      </c>
      <c r="HX56" s="11" t="n">
        <v>-600497106</v>
      </c>
      <c r="HY56" s="11" t="n">
        <v>-546932274</v>
      </c>
      <c r="HZ56" s="11" t="n">
        <v>467044206</v>
      </c>
      <c r="IA56" s="11" t="n">
        <v>-67970196</v>
      </c>
      <c r="IB56" s="11" t="n">
        <v>156780738</v>
      </c>
      <c r="IC56" s="11" t="n">
        <v>203874642</v>
      </c>
      <c r="ID56" s="11" t="n">
        <v>-125057388</v>
      </c>
      <c r="IE56" s="11" t="n">
        <v>307627056</v>
      </c>
      <c r="IF56" s="11" t="n">
        <v>-131648160</v>
      </c>
      <c r="IG56" s="11" t="n">
        <v>74188416</v>
      </c>
      <c r="IH56" s="11" t="n">
        <v>14802483</v>
      </c>
      <c r="II56" s="11" t="n">
        <v>-91281327</v>
      </c>
      <c r="IJ56" s="11" t="n">
        <v>126593466</v>
      </c>
      <c r="IK56" s="11" t="n">
        <v>-13135941</v>
      </c>
      <c r="IL56" s="11" t="n">
        <v>-10370877</v>
      </c>
      <c r="IM56" s="11" t="n">
        <v>3551292</v>
      </c>
      <c r="IN56" s="11" t="n">
        <v>2162871</v>
      </c>
      <c r="IO56" s="11" t="n">
        <v>66794106</v>
      </c>
      <c r="IP56" s="11" t="n">
        <v>-22540878</v>
      </c>
      <c r="IQ56" s="11" t="n">
        <v>21648726</v>
      </c>
      <c r="IR56" s="11" t="n">
        <v>608999466</v>
      </c>
      <c r="IS56" s="11" t="n">
        <v>-802824651</v>
      </c>
      <c r="IT56" s="11" t="n">
        <v>86100231</v>
      </c>
      <c r="IU56" s="11" t="n">
        <v>-257555013</v>
      </c>
      <c r="IV56" s="11" t="n">
        <v>9487443</v>
      </c>
      <c r="IW56" s="11" t="n">
        <v>23906085</v>
      </c>
      <c r="IX56" s="11" t="n">
        <v>416366685</v>
      </c>
      <c r="IY56" s="11" t="n">
        <v>-149307531</v>
      </c>
      <c r="IZ56" s="11" t="n">
        <v>137961531</v>
      </c>
      <c r="JA56" s="11" t="n">
        <v>56657928</v>
      </c>
      <c r="JB56" s="11" t="n">
        <v>-2285258</v>
      </c>
      <c r="JC56" s="11" t="n">
        <v>-57037</v>
      </c>
      <c r="JD56" s="11" t="n">
        <v>-1148215</v>
      </c>
      <c r="JE56" s="11" t="n">
        <v>3450</v>
      </c>
      <c r="JF56" s="11" t="n">
        <v>1095495</v>
      </c>
      <c r="JG56" s="11" t="n">
        <v>40590367</v>
      </c>
      <c r="JH56" s="11" t="n">
        <v>-123747857</v>
      </c>
      <c r="JI56" s="11" t="n">
        <v>204851008</v>
      </c>
      <c r="JJ56" s="11" t="n">
        <v>205976147</v>
      </c>
      <c r="JK56" s="11" t="n">
        <v>-23482983</v>
      </c>
      <c r="JL56" s="11" t="n">
        <v>5174087</v>
      </c>
      <c r="JM56" s="11" t="n">
        <v>24598888</v>
      </c>
      <c r="JN56" s="11" t="n">
        <v>102739415</v>
      </c>
      <c r="JO56" s="11" t="n">
        <v>44169955</v>
      </c>
      <c r="JP56" s="11" t="n">
        <v>97889445</v>
      </c>
      <c r="JQ56" s="11" t="n">
        <v>85482</v>
      </c>
      <c r="JR56" s="11" t="n">
        <v>-35060</v>
      </c>
      <c r="JS56" s="11" t="n">
        <v>453668</v>
      </c>
      <c r="JT56" s="11" t="n">
        <v>3382836</v>
      </c>
      <c r="JU56" s="11" t="n">
        <v>-43825</v>
      </c>
      <c r="JV56" s="11" t="n">
        <v>11452</v>
      </c>
      <c r="JW56" s="11" t="n">
        <v>125409</v>
      </c>
      <c r="JX56" s="11" t="n">
        <v>227890</v>
      </c>
      <c r="JY56" s="11" t="n">
        <v>1682880</v>
      </c>
      <c r="JZ56" s="11" t="n">
        <v>212370</v>
      </c>
      <c r="KA56" s="11" t="n">
        <v>-4006163</v>
      </c>
      <c r="KB56" s="11" t="n">
        <v>-395350</v>
      </c>
      <c r="KC56" s="11" t="n">
        <v>-52380651</v>
      </c>
      <c r="KD56" s="11" t="n">
        <v>21423562</v>
      </c>
      <c r="KE56" s="11" t="n">
        <v>180022204</v>
      </c>
      <c r="KF56" s="11" t="n">
        <v>-262347874</v>
      </c>
      <c r="KG56" s="11" t="n">
        <v>739393</v>
      </c>
      <c r="KH56" s="11" t="n">
        <v>32731931</v>
      </c>
      <c r="KI56" s="11" t="n">
        <v>-6437411</v>
      </c>
      <c r="KJ56" s="11" t="n">
        <v>-141813350</v>
      </c>
      <c r="KK56" s="11" t="n">
        <v>-26128687</v>
      </c>
      <c r="KL56" s="11" t="n">
        <v>129990401</v>
      </c>
      <c r="KM56" s="11" t="n">
        <v>-205905770</v>
      </c>
      <c r="KN56" s="11" t="n">
        <v>-195656901</v>
      </c>
      <c r="KO56" s="11" t="n">
        <v>16372599</v>
      </c>
      <c r="KP56" s="11" t="n">
        <v>-5178580</v>
      </c>
      <c r="KQ56" s="11" t="n">
        <v>-17408769</v>
      </c>
      <c r="KR56" s="11" t="n">
        <v>-103259950</v>
      </c>
      <c r="KS56" s="11" t="n">
        <v>-35992590</v>
      </c>
      <c r="KT56" s="11" t="n">
        <v>-98410650</v>
      </c>
      <c r="KU56" s="11" t="n">
        <v>-893986176</v>
      </c>
      <c r="KV56" s="11" t="n">
        <v>1315082543</v>
      </c>
      <c r="KW56" s="11" t="n">
        <v>1120179491</v>
      </c>
      <c r="KX56" s="11" t="n">
        <v>502467071</v>
      </c>
      <c r="KY56" s="11" t="n">
        <v>1121448755</v>
      </c>
      <c r="KZ56" s="11" t="n">
        <v>-1020087779</v>
      </c>
      <c r="LA56" s="11" t="n">
        <v>-646865271</v>
      </c>
      <c r="LB56" s="11" t="n">
        <v>-106283595</v>
      </c>
      <c r="LC56" s="11" t="n">
        <v>-654186301</v>
      </c>
      <c r="LD56" s="11" t="n">
        <v>-751714360</v>
      </c>
      <c r="LE56" s="11" t="n">
        <v>-4461539</v>
      </c>
      <c r="LF56" s="11" t="n">
        <v>2515028</v>
      </c>
      <c r="LG56" s="11" t="n">
        <v>-31359225</v>
      </c>
      <c r="LH56" s="11" t="n">
        <v>22646646</v>
      </c>
      <c r="LI56" s="11" t="n">
        <v>189421272</v>
      </c>
      <c r="LJ56" s="11" t="n">
        <v>-265957794</v>
      </c>
      <c r="LK56" s="11" t="n">
        <v>-691696</v>
      </c>
      <c r="LL56" s="11" t="n">
        <v>22622718</v>
      </c>
      <c r="LM56" s="11" t="n">
        <v>-7890936</v>
      </c>
      <c r="LN56" s="11" t="n">
        <v>-144199260</v>
      </c>
      <c r="LO56" s="11" t="n">
        <v>-138502627</v>
      </c>
      <c r="LP56" s="11" t="n">
        <v>-1264221127</v>
      </c>
      <c r="LQ56" s="11" t="n">
        <v>1686164029</v>
      </c>
      <c r="LR56" s="11" t="n">
        <v>536815782</v>
      </c>
      <c r="LS56" s="11" t="n">
        <v>-898291502</v>
      </c>
    </row>
    <row r="57" customFormat="false" ht="15" hidden="false" customHeight="true" outlineLevel="0" collapsed="false">
      <c r="A57" s="7" t="s">
        <v>123</v>
      </c>
      <c r="B57" s="11" t="n">
        <v>-16256766</v>
      </c>
      <c r="C57" s="11" t="n">
        <v>409902216</v>
      </c>
      <c r="D57" s="11" t="n">
        <v>-7890258</v>
      </c>
      <c r="E57" s="11" t="n">
        <v>-1207546608</v>
      </c>
      <c r="F57" s="11" t="n">
        <v>645234</v>
      </c>
      <c r="G57" s="11" t="n">
        <v>-1473107430</v>
      </c>
      <c r="H57" s="11" t="n">
        <v>705238110</v>
      </c>
      <c r="I57" s="11" t="n">
        <v>92512296</v>
      </c>
      <c r="J57" s="11" t="n">
        <v>-30589547</v>
      </c>
      <c r="K57" s="11" t="n">
        <v>-116061</v>
      </c>
      <c r="L57" s="11" t="n">
        <v>13156491</v>
      </c>
      <c r="M57" s="11" t="n">
        <v>-591728</v>
      </c>
      <c r="N57" s="11" t="n">
        <v>15192039</v>
      </c>
      <c r="O57" s="11" t="n">
        <v>-4552312</v>
      </c>
      <c r="P57" s="11" t="n">
        <v>32643979</v>
      </c>
      <c r="Q57" s="11" t="n">
        <v>17773097</v>
      </c>
      <c r="R57" s="11" t="n">
        <v>1940449220</v>
      </c>
      <c r="S57" s="11" t="n">
        <v>13705875</v>
      </c>
      <c r="T57" s="11" t="n">
        <v>2388816971</v>
      </c>
      <c r="U57" s="11" t="n">
        <v>-1212228283</v>
      </c>
      <c r="V57" s="11" t="n">
        <v>-997169336</v>
      </c>
      <c r="W57" s="11" t="n">
        <v>15006501</v>
      </c>
      <c r="X57" s="11" t="n">
        <v>-291803</v>
      </c>
      <c r="Y57" s="11" t="n">
        <v>17890362</v>
      </c>
      <c r="Z57" s="11" t="n">
        <v>-7244341</v>
      </c>
      <c r="AA57" s="11" t="n">
        <v>15183361</v>
      </c>
      <c r="AB57" s="11" t="n">
        <v>-43431155</v>
      </c>
      <c r="AC57" s="11" t="n">
        <v>-63716823</v>
      </c>
      <c r="AD57" s="11" t="n">
        <v>232600379</v>
      </c>
      <c r="AE57" s="11" t="n">
        <v>2499652348</v>
      </c>
      <c r="AF57" s="11" t="n">
        <v>53016479</v>
      </c>
      <c r="AG57" s="11" t="n">
        <v>-25489192</v>
      </c>
      <c r="AH57" s="11" t="n">
        <v>-4662989</v>
      </c>
      <c r="AI57" s="11" t="n">
        <v>246541055</v>
      </c>
      <c r="AJ57" s="11" t="n">
        <v>3044488579</v>
      </c>
      <c r="AK57" s="11" t="n">
        <v>-1442040987</v>
      </c>
      <c r="AL57" s="11" t="n">
        <v>-209641011</v>
      </c>
      <c r="AM57" s="11" t="n">
        <v>-3523647</v>
      </c>
      <c r="AN57" s="11" t="n">
        <v>407984685</v>
      </c>
      <c r="AO57" s="11" t="n">
        <v>-44682720</v>
      </c>
      <c r="AP57" s="11" t="n">
        <v>509124423</v>
      </c>
      <c r="AQ57" s="11" t="n">
        <v>-283341204</v>
      </c>
      <c r="AR57" s="11" t="n">
        <v>-28820517</v>
      </c>
      <c r="AS57" s="11" t="n">
        <v>190595865</v>
      </c>
      <c r="AT57" s="11" t="n">
        <v>5285028108</v>
      </c>
      <c r="AU57" s="11" t="n">
        <v>1118320731</v>
      </c>
      <c r="AV57" s="11" t="n">
        <v>6159435507</v>
      </c>
      <c r="AW57" s="11" t="n">
        <v>-1950242931</v>
      </c>
      <c r="AX57" s="11" t="n">
        <v>-466315224</v>
      </c>
      <c r="AY57" s="11" t="n">
        <v>459751491</v>
      </c>
      <c r="AZ57" s="11" t="n">
        <v>-21826713</v>
      </c>
      <c r="BA57" s="11" t="n">
        <v>566400084</v>
      </c>
      <c r="BB57" s="11" t="n">
        <v>-290380347</v>
      </c>
      <c r="BC57" s="11" t="n">
        <v>-34040103</v>
      </c>
      <c r="BD57" s="11" t="n">
        <v>-3302823045</v>
      </c>
      <c r="BE57" s="11" t="n">
        <v>848028399</v>
      </c>
      <c r="BF57" s="11" t="n">
        <v>-3347613027</v>
      </c>
      <c r="BG57" s="11" t="n">
        <v>180938964</v>
      </c>
      <c r="BH57" s="11" t="n">
        <v>4028719023</v>
      </c>
      <c r="BI57" s="11" t="n">
        <v>-1927144404</v>
      </c>
      <c r="BJ57" s="11" t="n">
        <v>-253131837</v>
      </c>
      <c r="BK57" s="11" t="n">
        <v>-3588541965</v>
      </c>
      <c r="BL57" s="11" t="n">
        <v>285699603</v>
      </c>
      <c r="BM57" s="11" t="n">
        <v>-362139579</v>
      </c>
      <c r="BN57" s="11" t="n">
        <v>-5133593</v>
      </c>
      <c r="BO57" s="11" t="n">
        <v>598023409</v>
      </c>
      <c r="BP57" s="11" t="n">
        <v>-76446552</v>
      </c>
      <c r="BQ57" s="11" t="n">
        <v>762083372</v>
      </c>
      <c r="BR57" s="11" t="n">
        <v>-474444166</v>
      </c>
      <c r="BS57" s="11" t="n">
        <v>-475194348</v>
      </c>
      <c r="BT57" s="11" t="n">
        <v>61038</v>
      </c>
      <c r="BU57" s="11" t="n">
        <v>-190744</v>
      </c>
      <c r="BV57" s="11" t="n">
        <v>341895</v>
      </c>
      <c r="BW57" s="11" t="n">
        <v>-1036130</v>
      </c>
      <c r="BX57" s="11" t="n">
        <v>-7281325</v>
      </c>
      <c r="BY57" s="11" t="n">
        <v>21311240</v>
      </c>
      <c r="BZ57" s="11" t="n">
        <v>-30766983</v>
      </c>
      <c r="CA57" s="11" t="n">
        <v>115059934</v>
      </c>
      <c r="CB57" s="11" t="n">
        <v>842567357</v>
      </c>
      <c r="CC57" s="11" t="n">
        <v>-23224696</v>
      </c>
      <c r="CD57" s="11" t="n">
        <v>2199008</v>
      </c>
      <c r="CE57" s="11" t="n">
        <v>-90773016</v>
      </c>
      <c r="CF57" s="11" t="n">
        <v>122216030</v>
      </c>
      <c r="CG57" s="11" t="n">
        <v>1049267080</v>
      </c>
      <c r="CH57" s="11" t="n">
        <v>-577026470</v>
      </c>
      <c r="CI57" s="11" t="n">
        <v>-673112439</v>
      </c>
      <c r="CJ57" s="11" t="n">
        <v>42116727</v>
      </c>
      <c r="CK57" s="11" t="n">
        <v>-843680221</v>
      </c>
      <c r="CL57" s="11" t="n">
        <v>479099243</v>
      </c>
      <c r="CM57" s="11" t="n">
        <v>443443532</v>
      </c>
      <c r="CN57" s="11" t="n">
        <v>5117339145</v>
      </c>
      <c r="CO57" s="11" t="n">
        <v>-1641593983</v>
      </c>
      <c r="CP57" s="11" t="n">
        <v>6397411559</v>
      </c>
      <c r="CQ57" s="11" t="n">
        <v>10649386088</v>
      </c>
      <c r="CR57" s="11" t="n">
        <v>-6311366436</v>
      </c>
      <c r="CS57" s="11" t="n">
        <v>3242066478</v>
      </c>
      <c r="CT57" s="11" t="n">
        <v>2704947276</v>
      </c>
      <c r="CU57" s="11" t="n">
        <v>6850093530</v>
      </c>
      <c r="CV57" s="11" t="n">
        <v>12266482828</v>
      </c>
      <c r="CW57" s="11" t="n">
        <v>-3365295164</v>
      </c>
      <c r="CX57" s="11" t="n">
        <v>24509430</v>
      </c>
      <c r="CY57" s="11" t="n">
        <v>-34797699</v>
      </c>
      <c r="CZ57" s="11" t="n">
        <v>130160052</v>
      </c>
      <c r="DA57" s="11" t="n">
        <v>949448763</v>
      </c>
      <c r="DB57" s="11" t="n">
        <v>-28542863</v>
      </c>
      <c r="DC57" s="11" t="n">
        <v>9300874</v>
      </c>
      <c r="DD57" s="11" t="n">
        <v>-43260419</v>
      </c>
      <c r="DE57" s="11" t="n">
        <v>138374965</v>
      </c>
      <c r="DF57" s="11" t="n">
        <v>1167116045</v>
      </c>
      <c r="DG57" s="11" t="n">
        <v>-590037455</v>
      </c>
      <c r="DH57" s="11" t="n">
        <v>204775735</v>
      </c>
      <c r="DI57" s="11" t="n">
        <v>-756599030</v>
      </c>
      <c r="DJ57" s="11" t="n">
        <v>-6830420405</v>
      </c>
      <c r="DK57" s="11" t="n">
        <v>-13289375</v>
      </c>
      <c r="DL57" s="11" t="n">
        <v>1764987803</v>
      </c>
      <c r="DM57" s="11" t="n">
        <v>-6964497419</v>
      </c>
      <c r="DN57" s="11" t="n">
        <v>803401350</v>
      </c>
      <c r="DO57" s="11" t="n">
        <v>8315919136</v>
      </c>
      <c r="DP57" s="11" t="n">
        <v>-3927454478</v>
      </c>
      <c r="DQ57" s="11" t="n">
        <v>-7464297230</v>
      </c>
      <c r="DR57" s="11" t="n">
        <v>-3750804</v>
      </c>
      <c r="DS57" s="11" t="n">
        <v>-9684</v>
      </c>
      <c r="DT57" s="11" t="n">
        <v>-2844672</v>
      </c>
      <c r="DU57" s="11" t="n">
        <v>-98538</v>
      </c>
      <c r="DV57" s="11" t="n">
        <v>-4978854</v>
      </c>
      <c r="DW57" s="11" t="n">
        <v>173160</v>
      </c>
      <c r="DX57" s="11" t="n">
        <v>45762</v>
      </c>
      <c r="DY57" s="11" t="n">
        <v>2064636</v>
      </c>
      <c r="DZ57" s="11" t="n">
        <v>350334624</v>
      </c>
      <c r="EA57" s="11" t="n">
        <v>2335692</v>
      </c>
      <c r="EB57" s="11" t="n">
        <v>465417324</v>
      </c>
      <c r="EC57" s="11" t="n">
        <v>-167080500</v>
      </c>
      <c r="ED57" s="11" t="n">
        <v>-22498536</v>
      </c>
      <c r="EE57" s="11" t="n">
        <v>-661344</v>
      </c>
      <c r="EF57" s="11" t="n">
        <v>-48210</v>
      </c>
      <c r="EG57" s="11" t="n">
        <v>-1538982</v>
      </c>
      <c r="EH57" s="11" t="n">
        <v>-336060</v>
      </c>
      <c r="EI57" s="11" t="n">
        <v>-32898</v>
      </c>
      <c r="EJ57" s="11" t="n">
        <v>-7432272</v>
      </c>
      <c r="EK57" s="11" t="n">
        <v>-112057392</v>
      </c>
      <c r="EL57" s="11" t="n">
        <v>-110543040</v>
      </c>
      <c r="EM57" s="11" t="n">
        <v>-12788976</v>
      </c>
      <c r="EN57" s="11" t="n">
        <v>9126636</v>
      </c>
      <c r="EO57" s="11" t="n">
        <v>-4281570</v>
      </c>
      <c r="EP57" s="11" t="n">
        <v>-562566</v>
      </c>
      <c r="EQ57" s="11" t="n">
        <v>-200297790</v>
      </c>
      <c r="ER57" s="11" t="n">
        <v>-24186414</v>
      </c>
      <c r="ES57" s="11" t="n">
        <v>-999810</v>
      </c>
      <c r="ET57" s="11" t="n">
        <v>8556</v>
      </c>
      <c r="EU57" s="11" t="n">
        <v>-8388178</v>
      </c>
      <c r="EV57" s="11" t="n">
        <v>-48889</v>
      </c>
      <c r="EW57" s="11" t="n">
        <v>-12873609</v>
      </c>
      <c r="EX57" s="11" t="n">
        <v>1376148</v>
      </c>
      <c r="EY57" s="11" t="n">
        <v>-7445597</v>
      </c>
      <c r="EZ57" s="11" t="n">
        <v>-28146</v>
      </c>
      <c r="FA57" s="11" t="n">
        <v>-351</v>
      </c>
      <c r="FB57" s="11" t="n">
        <v>-44595</v>
      </c>
      <c r="FC57" s="11" t="n">
        <v>3948</v>
      </c>
      <c r="FD57" s="11" t="n">
        <v>-19119</v>
      </c>
      <c r="FE57" s="11" t="n">
        <v>183289</v>
      </c>
      <c r="FF57" s="11" t="n">
        <v>1370991</v>
      </c>
      <c r="FG57" s="11" t="n">
        <v>656444</v>
      </c>
      <c r="FH57" s="11" t="n">
        <v>-5749205</v>
      </c>
      <c r="FI57" s="11" t="n">
        <v>-273309</v>
      </c>
      <c r="FJ57" s="11" t="n">
        <v>33896</v>
      </c>
      <c r="FK57" s="11" t="n">
        <v>-196201</v>
      </c>
      <c r="FL57" s="11" t="n">
        <v>1232388</v>
      </c>
      <c r="FM57" s="11" t="n">
        <v>-10040424</v>
      </c>
      <c r="FN57" s="11" t="n">
        <v>360524</v>
      </c>
      <c r="FO57" s="11" t="n">
        <v>5416438</v>
      </c>
      <c r="FP57" s="11" t="n">
        <v>32239</v>
      </c>
      <c r="FQ57" s="11" t="n">
        <v>8147967</v>
      </c>
      <c r="FR57" s="11" t="n">
        <v>-1138632</v>
      </c>
      <c r="FS57" s="11" t="n">
        <v>4047119</v>
      </c>
      <c r="FT57" s="11" t="n">
        <v>-657110</v>
      </c>
      <c r="FU57" s="11" t="n">
        <v>161583386</v>
      </c>
      <c r="FV57" s="11" t="n">
        <v>245117762</v>
      </c>
      <c r="FW57" s="11" t="n">
        <v>745752684</v>
      </c>
      <c r="FX57" s="11" t="n">
        <v>1950248</v>
      </c>
      <c r="FY57" s="11" t="n">
        <v>1320821</v>
      </c>
      <c r="FZ57" s="11" t="n">
        <v>4929757</v>
      </c>
      <c r="GA57" s="11" t="n">
        <v>402699237</v>
      </c>
      <c r="GB57" s="11" t="n">
        <v>1001104613</v>
      </c>
      <c r="GC57" s="11" t="n">
        <v>-339920557</v>
      </c>
      <c r="GD57" s="11" t="n">
        <v>116149</v>
      </c>
      <c r="GE57" s="11" t="n">
        <v>1427463</v>
      </c>
      <c r="GF57" s="11" t="n">
        <v>1246358</v>
      </c>
      <c r="GG57" s="11" t="n">
        <v>-1210067</v>
      </c>
      <c r="GH57" s="11" t="n">
        <v>-166227</v>
      </c>
      <c r="GI57" s="11" t="n">
        <v>31835</v>
      </c>
      <c r="GJ57" s="11" t="n">
        <v>-93988</v>
      </c>
      <c r="GK57" s="11" t="n">
        <v>2174979</v>
      </c>
      <c r="GL57" s="11" t="n">
        <v>-2886897</v>
      </c>
      <c r="GM57" s="11" t="n">
        <v>-676891</v>
      </c>
      <c r="GN57" s="11" t="n">
        <v>-3638138</v>
      </c>
      <c r="GO57" s="11" t="n">
        <v>-5407461</v>
      </c>
      <c r="GP57" s="11" t="n">
        <v>-15844967</v>
      </c>
      <c r="GQ57" s="11" t="n">
        <v>-27417611</v>
      </c>
      <c r="GR57" s="11" t="n">
        <v>-232636483</v>
      </c>
      <c r="GS57" s="11" t="n">
        <v>-226363477</v>
      </c>
      <c r="GT57" s="11" t="n">
        <v>8736073</v>
      </c>
      <c r="GU57" s="11" t="n">
        <v>19732585</v>
      </c>
      <c r="GV57" s="11" t="n">
        <v>-8718637</v>
      </c>
      <c r="GW57" s="11" t="n">
        <v>-409909948</v>
      </c>
      <c r="GX57" s="11" t="n">
        <v>688104</v>
      </c>
      <c r="GY57" s="11" t="n">
        <v>-130815102</v>
      </c>
      <c r="GZ57" s="11" t="n">
        <v>9038607</v>
      </c>
      <c r="HA57" s="11" t="n">
        <v>-181671921</v>
      </c>
      <c r="HB57" s="11" t="n">
        <v>67606236</v>
      </c>
      <c r="HC57" s="11" t="n">
        <v>7239675</v>
      </c>
      <c r="HD57" s="11" t="n">
        <v>-859614</v>
      </c>
      <c r="HE57" s="11" t="n">
        <v>5259</v>
      </c>
      <c r="HF57" s="11" t="n">
        <v>-1382445</v>
      </c>
      <c r="HG57" s="11" t="n">
        <v>206316</v>
      </c>
      <c r="HH57" s="11" t="n">
        <v>27087</v>
      </c>
      <c r="HI57" s="11" t="n">
        <v>10291695</v>
      </c>
      <c r="HJ57" s="11" t="n">
        <v>35862249</v>
      </c>
      <c r="HK57" s="11" t="n">
        <v>45234468</v>
      </c>
      <c r="HL57" s="11" t="n">
        <v>3894669</v>
      </c>
      <c r="HM57" s="11" t="n">
        <v>-16770669</v>
      </c>
      <c r="HN57" s="11" t="n">
        <v>2193372</v>
      </c>
      <c r="HO57" s="11" t="n">
        <v>300471</v>
      </c>
      <c r="HP57" s="11" t="n">
        <v>81354096</v>
      </c>
      <c r="HQ57" s="11" t="n">
        <v>7393512</v>
      </c>
      <c r="HR57" s="11" t="n">
        <v>490608</v>
      </c>
      <c r="HS57" s="11" t="n">
        <v>136278042</v>
      </c>
      <c r="HT57" s="11" t="n">
        <v>-4546821</v>
      </c>
      <c r="HU57" s="11" t="n">
        <v>185384763</v>
      </c>
      <c r="HV57" s="11" t="n">
        <v>-67865724</v>
      </c>
      <c r="HW57" s="11" t="n">
        <v>-8112561</v>
      </c>
      <c r="HX57" s="11" t="n">
        <v>-925689738</v>
      </c>
      <c r="HY57" s="11" t="n">
        <v>736468614</v>
      </c>
      <c r="HZ57" s="11" t="n">
        <v>-487402866</v>
      </c>
      <c r="IA57" s="11" t="n">
        <v>108467268</v>
      </c>
      <c r="IB57" s="11" t="n">
        <v>1234683000</v>
      </c>
      <c r="IC57" s="11" t="n">
        <v>-444726603</v>
      </c>
      <c r="ID57" s="11" t="n">
        <v>-58724763</v>
      </c>
      <c r="IE57" s="11" t="n">
        <v>-296277291</v>
      </c>
      <c r="IF57" s="11" t="n">
        <v>191394189</v>
      </c>
      <c r="IG57" s="11" t="n">
        <v>-83030949</v>
      </c>
      <c r="IH57" s="11" t="n">
        <v>4638579</v>
      </c>
      <c r="II57" s="11" t="n">
        <v>42199377</v>
      </c>
      <c r="IJ57" s="11" t="n">
        <v>43920666</v>
      </c>
      <c r="IK57" s="11" t="n">
        <v>4770075</v>
      </c>
      <c r="IL57" s="11" t="n">
        <v>-7718007</v>
      </c>
      <c r="IM57" s="11" t="n">
        <v>844605</v>
      </c>
      <c r="IN57" s="11" t="n">
        <v>116982</v>
      </c>
      <c r="IO57" s="11" t="n">
        <v>80762193</v>
      </c>
      <c r="IP57" s="11" t="n">
        <v>9001041</v>
      </c>
      <c r="IQ57" s="11" t="n">
        <v>239103</v>
      </c>
      <c r="IR57" s="11" t="n">
        <v>-311713446</v>
      </c>
      <c r="IS57" s="11" t="n">
        <v>-281747907</v>
      </c>
      <c r="IT57" s="11" t="n">
        <v>-36093441</v>
      </c>
      <c r="IU57" s="11" t="n">
        <v>388281843</v>
      </c>
      <c r="IV57" s="11" t="n">
        <v>-7809333</v>
      </c>
      <c r="IW57" s="11" t="n">
        <v>-52017939</v>
      </c>
      <c r="IX57" s="11" t="n">
        <v>525550401</v>
      </c>
      <c r="IY57" s="11" t="n">
        <v>67916121</v>
      </c>
      <c r="IZ57" s="11" t="n">
        <v>533511</v>
      </c>
      <c r="JA57" s="11" t="n">
        <v>-97765416</v>
      </c>
      <c r="JB57" s="11" t="n">
        <v>-1240450</v>
      </c>
      <c r="JC57" s="11" t="n">
        <v>-29587</v>
      </c>
      <c r="JD57" s="11" t="n">
        <v>-1947315</v>
      </c>
      <c r="JE57" s="11" t="n">
        <v>98244</v>
      </c>
      <c r="JF57" s="11" t="n">
        <v>-1382447</v>
      </c>
      <c r="JG57" s="11" t="n">
        <v>21918731</v>
      </c>
      <c r="JH57" s="11" t="n">
        <v>42701795</v>
      </c>
      <c r="JI57" s="11" t="n">
        <v>103197128</v>
      </c>
      <c r="JJ57" s="11" t="n">
        <v>275867311</v>
      </c>
      <c r="JK57" s="11" t="n">
        <v>-33390508</v>
      </c>
      <c r="JL57" s="11" t="n">
        <v>4197410</v>
      </c>
      <c r="JM57" s="11" t="n">
        <v>-17847876</v>
      </c>
      <c r="JN57" s="11" t="n">
        <v>165385554</v>
      </c>
      <c r="JO57" s="11" t="n">
        <v>385479128</v>
      </c>
      <c r="JP57" s="11" t="n">
        <v>-136859098</v>
      </c>
      <c r="JQ57" s="11" t="n">
        <v>46442</v>
      </c>
      <c r="JR57" s="11" t="n">
        <v>-59460</v>
      </c>
      <c r="JS57" s="11" t="n">
        <v>249196</v>
      </c>
      <c r="JT57" s="11" t="n">
        <v>1775852</v>
      </c>
      <c r="JU57" s="11" t="n">
        <v>-74325</v>
      </c>
      <c r="JV57" s="11" t="n">
        <v>9622</v>
      </c>
      <c r="JW57" s="11" t="n">
        <v>-9401</v>
      </c>
      <c r="JX57" s="11" t="n">
        <v>386490</v>
      </c>
      <c r="JY57" s="11" t="n">
        <v>2854080</v>
      </c>
      <c r="JZ57" s="11" t="n">
        <v>-418370</v>
      </c>
      <c r="KA57" s="11" t="n">
        <v>2649397</v>
      </c>
      <c r="KB57" s="11" t="n">
        <v>-539626</v>
      </c>
      <c r="KC57" s="11" t="n">
        <v>-21050903</v>
      </c>
      <c r="KD57" s="11" t="n">
        <v>-13525106</v>
      </c>
      <c r="KE57" s="11" t="n">
        <v>-74356192</v>
      </c>
      <c r="KF57" s="11" t="n">
        <v>-92319558</v>
      </c>
      <c r="KG57" s="11" t="n">
        <v>314698</v>
      </c>
      <c r="KH57" s="11" t="n">
        <v>34225816</v>
      </c>
      <c r="KI57" s="11" t="n">
        <v>-4470626</v>
      </c>
      <c r="KJ57" s="11" t="n">
        <v>-165889840</v>
      </c>
      <c r="KK57" s="11" t="n">
        <v>-14056251</v>
      </c>
      <c r="KL57" s="11" t="n">
        <v>-51468595</v>
      </c>
      <c r="KM57" s="11" t="n">
        <v>-102884938</v>
      </c>
      <c r="KN57" s="11" t="n">
        <v>-288416281</v>
      </c>
      <c r="KO57" s="11" t="n">
        <v>20838524</v>
      </c>
      <c r="KP57" s="11" t="n">
        <v>-3567253</v>
      </c>
      <c r="KQ57" s="11" t="n">
        <v>8786045</v>
      </c>
      <c r="KR57" s="11" t="n">
        <v>-165589797</v>
      </c>
      <c r="KS57" s="11" t="n">
        <v>-395408719</v>
      </c>
      <c r="KT57" s="11" t="n">
        <v>137505053</v>
      </c>
      <c r="KU57" s="11" t="n">
        <v>425570672</v>
      </c>
      <c r="KV57" s="11" t="n">
        <v>648589259</v>
      </c>
      <c r="KW57" s="11" t="n">
        <v>1970300063</v>
      </c>
      <c r="KX57" s="11" t="n">
        <v>-740085981</v>
      </c>
      <c r="KY57" s="11" t="n">
        <v>-1517683097</v>
      </c>
      <c r="KZ57" s="11" t="n">
        <v>1113419065</v>
      </c>
      <c r="LA57" s="11" t="n">
        <v>-1069542732</v>
      </c>
      <c r="LB57" s="11" t="n">
        <v>-2654979772</v>
      </c>
      <c r="LC57" s="11" t="n">
        <v>905440094</v>
      </c>
      <c r="LD57" s="11" t="n">
        <v>802889874</v>
      </c>
      <c r="LE57" s="11" t="n">
        <v>2600741</v>
      </c>
      <c r="LF57" s="11" t="n">
        <v>1028192</v>
      </c>
      <c r="LG57" s="11" t="n">
        <v>-9324997</v>
      </c>
      <c r="LH57" s="11" t="n">
        <v>-15271318</v>
      </c>
      <c r="LI57" s="11" t="n">
        <v>-87508436</v>
      </c>
      <c r="LJ57" s="11" t="n">
        <v>-89351638</v>
      </c>
      <c r="LK57" s="11" t="n">
        <v>-2184331</v>
      </c>
      <c r="LL57" s="11" t="n">
        <v>15450023</v>
      </c>
      <c r="LM57" s="11" t="n">
        <v>-1723851</v>
      </c>
      <c r="LN57" s="11" t="n">
        <v>-164218430</v>
      </c>
      <c r="LO57" s="11" t="n">
        <v>88874645</v>
      </c>
      <c r="LP57" s="11" t="n">
        <v>646878417</v>
      </c>
      <c r="LQ57" s="11" t="n">
        <v>574402069</v>
      </c>
      <c r="LR57" s="11" t="n">
        <v>-808002346</v>
      </c>
      <c r="LS57" s="11" t="n">
        <v>-1071276182</v>
      </c>
    </row>
    <row r="58" customFormat="false" ht="15" hidden="false" customHeight="true" outlineLevel="0" collapsed="false">
      <c r="A58" s="7" t="s">
        <v>124</v>
      </c>
      <c r="B58" s="11" t="n">
        <v>2026995</v>
      </c>
      <c r="C58" s="11" t="n">
        <v>142076297</v>
      </c>
      <c r="D58" s="11" t="n">
        <v>2853772</v>
      </c>
      <c r="E58" s="11" t="n">
        <v>36786800</v>
      </c>
      <c r="F58" s="11" t="n">
        <v>9950877</v>
      </c>
      <c r="G58" s="11" t="n">
        <v>-74158010</v>
      </c>
      <c r="H58" s="11" t="n">
        <v>-100000517</v>
      </c>
      <c r="I58" s="11" t="n">
        <v>-90876528</v>
      </c>
      <c r="J58" s="11" t="n">
        <v>5133028</v>
      </c>
      <c r="K58" s="11" t="n">
        <v>-102352</v>
      </c>
      <c r="L58" s="11" t="n">
        <v>8283130</v>
      </c>
      <c r="M58" s="11" t="n">
        <v>-450492</v>
      </c>
      <c r="N58" s="11" t="n">
        <v>12714800</v>
      </c>
      <c r="O58" s="11" t="n">
        <v>576857</v>
      </c>
      <c r="P58" s="11" t="n">
        <v>-861057</v>
      </c>
      <c r="Q58" s="11" t="n">
        <v>-14400768</v>
      </c>
      <c r="R58" s="11" t="n">
        <v>487425358</v>
      </c>
      <c r="S58" s="11" t="n">
        <v>-56774864</v>
      </c>
      <c r="T58" s="11" t="n">
        <v>1078999624</v>
      </c>
      <c r="U58" s="11" t="n">
        <v>293667799</v>
      </c>
      <c r="V58" s="11" t="n">
        <v>169776429</v>
      </c>
      <c r="W58" s="11" t="n">
        <v>13519208</v>
      </c>
      <c r="X58" s="11" t="n">
        <v>-131776</v>
      </c>
      <c r="Y58" s="11" t="n">
        <v>14156384</v>
      </c>
      <c r="Z58" s="11" t="n">
        <v>-4237324</v>
      </c>
      <c r="AA58" s="11" t="n">
        <v>-5801028</v>
      </c>
      <c r="AB58" s="11" t="n">
        <v>-48839078</v>
      </c>
      <c r="AC58" s="11" t="n">
        <v>533793740</v>
      </c>
      <c r="AD58" s="11" t="n">
        <v>419112038</v>
      </c>
      <c r="AE58" s="11" t="n">
        <v>355731792</v>
      </c>
      <c r="AF58" s="11" t="n">
        <v>45937864</v>
      </c>
      <c r="AG58" s="11" t="n">
        <v>-19392845</v>
      </c>
      <c r="AH58" s="11" t="n">
        <v>-24424047</v>
      </c>
      <c r="AI58" s="11" t="n">
        <v>606172194</v>
      </c>
      <c r="AJ58" s="11" t="n">
        <v>601546206</v>
      </c>
      <c r="AK58" s="11" t="n">
        <v>68342007</v>
      </c>
      <c r="AL58" s="11" t="n">
        <v>-51812327</v>
      </c>
      <c r="AM58" s="11" t="n">
        <v>-354922</v>
      </c>
      <c r="AN58" s="11" t="n">
        <v>-10925</v>
      </c>
      <c r="AO58" s="11" t="n">
        <v>1473903</v>
      </c>
      <c r="AP58" s="11" t="n">
        <v>38919350</v>
      </c>
      <c r="AQ58" s="11" t="n">
        <v>39838997</v>
      </c>
      <c r="AR58" s="11" t="n">
        <v>34905003</v>
      </c>
      <c r="AS58" s="11" t="n">
        <v>48068478</v>
      </c>
      <c r="AT58" s="11" t="n">
        <v>939547225</v>
      </c>
      <c r="AU58" s="11" t="n">
        <v>357664806</v>
      </c>
      <c r="AV58" s="11" t="n">
        <v>832374064</v>
      </c>
      <c r="AW58" s="11" t="n">
        <v>236269790</v>
      </c>
      <c r="AX58" s="11" t="n">
        <v>123655553</v>
      </c>
      <c r="AY58" s="11" t="n">
        <v>6425900</v>
      </c>
      <c r="AZ58" s="11" t="n">
        <v>3817458</v>
      </c>
      <c r="BA58" s="11" t="n">
        <v>41809004</v>
      </c>
      <c r="BB58" s="11" t="n">
        <v>38578798</v>
      </c>
      <c r="BC58" s="11" t="n">
        <v>33229900</v>
      </c>
      <c r="BD58" s="11" t="n">
        <v>26802675</v>
      </c>
      <c r="BE58" s="11" t="n">
        <v>705925850</v>
      </c>
      <c r="BF58" s="11" t="n">
        <v>722476725</v>
      </c>
      <c r="BG58" s="11" t="n">
        <v>632981600</v>
      </c>
      <c r="BH58" s="11" t="n">
        <v>244985004</v>
      </c>
      <c r="BI58" s="11" t="n">
        <v>268290756</v>
      </c>
      <c r="BJ58" s="11" t="n">
        <v>237434517</v>
      </c>
      <c r="BK58" s="11" t="n">
        <v>462544004</v>
      </c>
      <c r="BL58" s="11" t="n">
        <v>467869846</v>
      </c>
      <c r="BM58" s="11" t="n">
        <v>64090627</v>
      </c>
      <c r="BN58" s="11" t="n">
        <v>-3515016</v>
      </c>
      <c r="BO58" s="11" t="n">
        <v>211698678</v>
      </c>
      <c r="BP58" s="11" t="n">
        <v>-7782680</v>
      </c>
      <c r="BQ58" s="11" t="n">
        <v>423561720</v>
      </c>
      <c r="BR58" s="11" t="n">
        <v>115630769</v>
      </c>
      <c r="BS58" s="11" t="n">
        <v>66381511</v>
      </c>
      <c r="BT58" s="11" t="n">
        <v>1450908</v>
      </c>
      <c r="BU58" s="11" t="n">
        <v>-153304</v>
      </c>
      <c r="BV58" s="11" t="n">
        <v>261120</v>
      </c>
      <c r="BW58" s="11" t="n">
        <v>-1910642</v>
      </c>
      <c r="BX58" s="11" t="n">
        <v>-1913278</v>
      </c>
      <c r="BY58" s="11" t="n">
        <v>6020542</v>
      </c>
      <c r="BZ58" s="11" t="n">
        <v>159108900</v>
      </c>
      <c r="CA58" s="11" t="n">
        <v>162801533</v>
      </c>
      <c r="CB58" s="11" t="n">
        <v>142631467</v>
      </c>
      <c r="CC58" s="11" t="n">
        <v>-17895080</v>
      </c>
      <c r="CD58" s="11" t="n">
        <v>-9273521</v>
      </c>
      <c r="CE58" s="11" t="n">
        <v>-7131399</v>
      </c>
      <c r="CF58" s="11" t="n">
        <v>238823470</v>
      </c>
      <c r="CG58" s="11" t="n">
        <v>235482530</v>
      </c>
      <c r="CH58" s="11" t="n">
        <v>26856920</v>
      </c>
      <c r="CI58" s="11" t="n">
        <v>-260141892</v>
      </c>
      <c r="CJ58" s="11" t="n">
        <v>-17044128</v>
      </c>
      <c r="CK58" s="11" t="n">
        <v>-449425392</v>
      </c>
      <c r="CL58" s="11" t="n">
        <v>-123304386</v>
      </c>
      <c r="CM58" s="11" t="n">
        <v>-69973878</v>
      </c>
      <c r="CN58" s="11" t="n">
        <v>1602502084</v>
      </c>
      <c r="CO58" s="11" t="n">
        <v>-4279748904</v>
      </c>
      <c r="CP58" s="11" t="n">
        <v>-1131440515</v>
      </c>
      <c r="CQ58" s="11" t="n">
        <v>-698498783</v>
      </c>
      <c r="CR58" s="11" t="n">
        <v>-3048911920</v>
      </c>
      <c r="CS58" s="11" t="n">
        <v>-833698682</v>
      </c>
      <c r="CT58" s="11" t="n">
        <v>-476811278</v>
      </c>
      <c r="CU58" s="11" t="n">
        <v>73858592</v>
      </c>
      <c r="CV58" s="11" t="n">
        <v>-55556072</v>
      </c>
      <c r="CW58" s="11" t="n">
        <v>-26741879</v>
      </c>
      <c r="CX58" s="11" t="n">
        <v>18381212</v>
      </c>
      <c r="CY58" s="11" t="n">
        <v>166186056</v>
      </c>
      <c r="CZ58" s="11" t="n">
        <v>192301072</v>
      </c>
      <c r="DA58" s="11" t="n">
        <v>170482700</v>
      </c>
      <c r="DB58" s="11" t="n">
        <v>-20867408</v>
      </c>
      <c r="DC58" s="11" t="n">
        <v>3886802</v>
      </c>
      <c r="DD58" s="11" t="n">
        <v>6225542</v>
      </c>
      <c r="DE58" s="11" t="n">
        <v>253452124</v>
      </c>
      <c r="DF58" s="11" t="n">
        <v>249827396</v>
      </c>
      <c r="DG58" s="11" t="n">
        <v>29081102</v>
      </c>
      <c r="DH58" s="11" t="n">
        <v>-1326124256</v>
      </c>
      <c r="DI58" s="11" t="n">
        <v>-1264541109</v>
      </c>
      <c r="DJ58" s="11" t="n">
        <v>-1099546613</v>
      </c>
      <c r="DK58" s="11" t="n">
        <v>2440862794</v>
      </c>
      <c r="DL58" s="11" t="n">
        <v>2358491306</v>
      </c>
      <c r="DM58" s="11" t="n">
        <v>225142397</v>
      </c>
      <c r="DN58" s="11" t="n">
        <v>1715995532</v>
      </c>
      <c r="DO58" s="11" t="n">
        <v>1697414188</v>
      </c>
      <c r="DP58" s="11" t="n">
        <v>195783271</v>
      </c>
      <c r="DQ58" s="11" t="n">
        <v>-72387330</v>
      </c>
      <c r="DR58" s="11" t="n">
        <v>-276512</v>
      </c>
      <c r="DS58" s="11" t="n">
        <v>-4057</v>
      </c>
      <c r="DT58" s="11" t="n">
        <v>966850</v>
      </c>
      <c r="DU58" s="11" t="n">
        <v>-4152</v>
      </c>
      <c r="DV58" s="11" t="n">
        <v>553100</v>
      </c>
      <c r="DW58" s="11" t="n">
        <v>-7138</v>
      </c>
      <c r="DX58" s="11" t="n">
        <v>-17277</v>
      </c>
      <c r="DY58" s="11" t="n">
        <v>104933</v>
      </c>
      <c r="DZ58" s="11" t="n">
        <v>72786790</v>
      </c>
      <c r="EA58" s="11" t="n">
        <v>1066424</v>
      </c>
      <c r="EB58" s="11" t="n">
        <v>28651684</v>
      </c>
      <c r="EC58" s="11" t="n">
        <v>-14141862</v>
      </c>
      <c r="ED58" s="11" t="n">
        <v>-13607879</v>
      </c>
      <c r="EE58" s="11" t="n">
        <v>1434840</v>
      </c>
      <c r="EF58" s="11" t="n">
        <v>14071</v>
      </c>
      <c r="EG58" s="11" t="n">
        <v>630274</v>
      </c>
      <c r="EH58" s="11" t="n">
        <v>-210199</v>
      </c>
      <c r="EI58" s="11" t="n">
        <v>-206212</v>
      </c>
      <c r="EJ58" s="11" t="n">
        <v>-4821790</v>
      </c>
      <c r="EK58" s="11" t="n">
        <v>45410300</v>
      </c>
      <c r="EL58" s="11" t="n">
        <v>47569390</v>
      </c>
      <c r="EM58" s="11" t="n">
        <v>43033360</v>
      </c>
      <c r="EN58" s="11" t="n">
        <v>2563364</v>
      </c>
      <c r="EO58" s="11" t="n">
        <v>-239878</v>
      </c>
      <c r="EP58" s="11" t="n">
        <v>-270963</v>
      </c>
      <c r="EQ58" s="11" t="n">
        <v>27547984</v>
      </c>
      <c r="ER58" s="11" t="n">
        <v>25429286</v>
      </c>
      <c r="ES58" s="11" t="n">
        <v>532331</v>
      </c>
      <c r="ET58" s="11" t="n">
        <v>-24236</v>
      </c>
      <c r="EU58" s="11" t="n">
        <v>3578328</v>
      </c>
      <c r="EV58" s="11" t="n">
        <v>-71968</v>
      </c>
      <c r="EW58" s="11" t="n">
        <v>3135120</v>
      </c>
      <c r="EX58" s="11" t="n">
        <v>60616</v>
      </c>
      <c r="EY58" s="11" t="n">
        <v>-161212</v>
      </c>
      <c r="EZ58" s="11" t="n">
        <v>-32242</v>
      </c>
      <c r="FA58" s="11" t="n">
        <v>-692</v>
      </c>
      <c r="FB58" s="11" t="n">
        <v>-2480</v>
      </c>
      <c r="FC58" s="11" t="n">
        <v>1515</v>
      </c>
      <c r="FD58" s="11" t="n">
        <v>-851</v>
      </c>
      <c r="FE58" s="11" t="n">
        <v>197912</v>
      </c>
      <c r="FF58" s="11" t="n">
        <v>-3804600</v>
      </c>
      <c r="FG58" s="11" t="n">
        <v>-304322</v>
      </c>
      <c r="FH58" s="11" t="n">
        <v>340112</v>
      </c>
      <c r="FI58" s="11" t="n">
        <v>-96880</v>
      </c>
      <c r="FJ58" s="11" t="n">
        <v>2768</v>
      </c>
      <c r="FK58" s="11" t="n">
        <v>2076</v>
      </c>
      <c r="FL58" s="11" t="n">
        <v>-202180</v>
      </c>
      <c r="FM58" s="11" t="n">
        <v>126580</v>
      </c>
      <c r="FN58" s="11" t="n">
        <v>-7949</v>
      </c>
      <c r="FO58" s="11" t="n">
        <v>-7737622</v>
      </c>
      <c r="FP58" s="11" t="n">
        <v>-66160</v>
      </c>
      <c r="FQ58" s="11" t="n">
        <v>-3701032</v>
      </c>
      <c r="FR58" s="11" t="n">
        <v>1216517</v>
      </c>
      <c r="FS58" s="11" t="n">
        <v>1253895</v>
      </c>
      <c r="FT58" s="11" t="n">
        <v>32744816</v>
      </c>
      <c r="FU58" s="11" t="n">
        <v>-454483704</v>
      </c>
      <c r="FV58" s="11" t="n">
        <v>-198965198</v>
      </c>
      <c r="FW58" s="11" t="n">
        <v>-133662736</v>
      </c>
      <c r="FX58" s="11" t="n">
        <v>-19548416</v>
      </c>
      <c r="FY58" s="11" t="n">
        <v>3446936</v>
      </c>
      <c r="FZ58" s="11" t="n">
        <v>4163480</v>
      </c>
      <c r="GA58" s="11" t="n">
        <v>-166622732</v>
      </c>
      <c r="GB58" s="11" t="n">
        <v>-137582956</v>
      </c>
      <c r="GC58" s="11" t="n">
        <v>-11228059</v>
      </c>
      <c r="GD58" s="11" t="n">
        <v>132914</v>
      </c>
      <c r="GE58" s="11" t="n">
        <v>-4131844</v>
      </c>
      <c r="GF58" s="11" t="n">
        <v>1134694</v>
      </c>
      <c r="GG58" s="11" t="n">
        <v>1939792</v>
      </c>
      <c r="GH58" s="11" t="n">
        <v>-98904</v>
      </c>
      <c r="GI58" s="11" t="n">
        <v>30599</v>
      </c>
      <c r="GJ58" s="11" t="n">
        <v>38125</v>
      </c>
      <c r="GK58" s="11" t="n">
        <v>-106870</v>
      </c>
      <c r="GL58" s="11" t="n">
        <v>258262</v>
      </c>
      <c r="GM58" s="11" t="n">
        <v>-121097</v>
      </c>
      <c r="GN58" s="11" t="n">
        <v>9678584</v>
      </c>
      <c r="GO58" s="11" t="n">
        <v>-8219658</v>
      </c>
      <c r="GP58" s="11" t="n">
        <v>-10505008</v>
      </c>
      <c r="GQ58" s="11" t="n">
        <v>172894604</v>
      </c>
      <c r="GR58" s="11" t="n">
        <v>185312416</v>
      </c>
      <c r="GS58" s="11" t="n">
        <v>30278656</v>
      </c>
      <c r="GT58" s="11" t="n">
        <v>3888244</v>
      </c>
      <c r="GU58" s="11" t="n">
        <v>5040788</v>
      </c>
      <c r="GV58" s="11" t="n">
        <v>-60703</v>
      </c>
      <c r="GW58" s="11" t="n">
        <v>15599922</v>
      </c>
      <c r="GX58" s="11" t="n">
        <v>55285</v>
      </c>
      <c r="GY58" s="11" t="n">
        <v>-24715290</v>
      </c>
      <c r="GZ58" s="11" t="n">
        <v>307192</v>
      </c>
      <c r="HA58" s="11" t="n">
        <v>-8828700</v>
      </c>
      <c r="HB58" s="11" t="n">
        <v>5617082</v>
      </c>
      <c r="HC58" s="11" t="n">
        <v>5203177</v>
      </c>
      <c r="HD58" s="11" t="n">
        <v>-169315</v>
      </c>
      <c r="HE58" s="11" t="n">
        <v>3677</v>
      </c>
      <c r="HF58" s="11" t="n">
        <v>-18950</v>
      </c>
      <c r="HG58" s="11" t="n">
        <v>80987</v>
      </c>
      <c r="HH58" s="11" t="n">
        <v>72887</v>
      </c>
      <c r="HI58" s="11" t="n">
        <v>-703010</v>
      </c>
      <c r="HJ58" s="11" t="n">
        <v>-18567000</v>
      </c>
      <c r="HK58" s="11" t="n">
        <v>-19002640</v>
      </c>
      <c r="HL58" s="11" t="n">
        <v>-16649135</v>
      </c>
      <c r="HM58" s="11" t="n">
        <v>481900</v>
      </c>
      <c r="HN58" s="11" t="n">
        <v>76414</v>
      </c>
      <c r="HO58" s="11" t="n">
        <v>58935</v>
      </c>
      <c r="HP58" s="11" t="n">
        <v>-11007800</v>
      </c>
      <c r="HQ58" s="11" t="n">
        <v>-9856150</v>
      </c>
      <c r="HR58" s="11" t="n">
        <v>-216649</v>
      </c>
      <c r="HS58" s="11" t="n">
        <v>23931935</v>
      </c>
      <c r="HT58" s="11" t="n">
        <v>96642</v>
      </c>
      <c r="HU58" s="11" t="n">
        <v>9078920</v>
      </c>
      <c r="HV58" s="11" t="n">
        <v>-4959098</v>
      </c>
      <c r="HW58" s="11" t="n">
        <v>-4695263</v>
      </c>
      <c r="HX58" s="11" t="n">
        <v>-176182220</v>
      </c>
      <c r="HY58" s="11" t="n">
        <v>-236958780</v>
      </c>
      <c r="HZ58" s="11" t="n">
        <v>-214562650</v>
      </c>
      <c r="IA58" s="11" t="n">
        <v>-153338285</v>
      </c>
      <c r="IB58" s="11" t="n">
        <v>65880344</v>
      </c>
      <c r="IC58" s="11" t="n">
        <v>-37374356</v>
      </c>
      <c r="ID58" s="11" t="n">
        <v>-35184818</v>
      </c>
      <c r="IE58" s="11" t="n">
        <v>-130499224</v>
      </c>
      <c r="IF58" s="11" t="n">
        <v>-104660564</v>
      </c>
      <c r="IG58" s="11" t="n">
        <v>-10321292</v>
      </c>
      <c r="IH58" s="11" t="n">
        <v>-1887685</v>
      </c>
      <c r="II58" s="11" t="n">
        <v>-19601830</v>
      </c>
      <c r="IJ58" s="11" t="n">
        <v>-19870235</v>
      </c>
      <c r="IK58" s="11" t="n">
        <v>-17171900</v>
      </c>
      <c r="IL58" s="11" t="n">
        <v>636964</v>
      </c>
      <c r="IM58" s="11" t="n">
        <v>-471400</v>
      </c>
      <c r="IN58" s="11" t="n">
        <v>-439693</v>
      </c>
      <c r="IO58" s="11" t="n">
        <v>-11599884</v>
      </c>
      <c r="IP58" s="11" t="n">
        <v>-10360134</v>
      </c>
      <c r="IQ58" s="11" t="n">
        <v>-340083</v>
      </c>
      <c r="IR58" s="11" t="n">
        <v>125614180</v>
      </c>
      <c r="IS58" s="11" t="n">
        <v>129356670</v>
      </c>
      <c r="IT58" s="11" t="n">
        <v>114321265</v>
      </c>
      <c r="IU58" s="11" t="n">
        <v>21001480</v>
      </c>
      <c r="IV58" s="11" t="n">
        <v>44431070</v>
      </c>
      <c r="IW58" s="11" t="n">
        <v>26641415</v>
      </c>
      <c r="IX58" s="11" t="n">
        <v>-75017848</v>
      </c>
      <c r="IY58" s="11" t="n">
        <v>-67834520</v>
      </c>
      <c r="IZ58" s="11" t="n">
        <v>-1581926</v>
      </c>
      <c r="JA58" s="11" t="n">
        <v>15193332</v>
      </c>
      <c r="JB58" s="11" t="n">
        <v>-1450830</v>
      </c>
      <c r="JC58" s="11" t="n">
        <v>12536</v>
      </c>
      <c r="JD58" s="11" t="n">
        <v>-147000</v>
      </c>
      <c r="JE58" s="11" t="n">
        <v>504451</v>
      </c>
      <c r="JF58" s="11" t="n">
        <v>423821</v>
      </c>
      <c r="JG58" s="11" t="n">
        <v>2457312</v>
      </c>
      <c r="JH58" s="11" t="n">
        <v>-165972600</v>
      </c>
      <c r="JI58" s="11" t="n">
        <v>-78108378</v>
      </c>
      <c r="JJ58" s="11" t="n">
        <v>-52924548</v>
      </c>
      <c r="JK58" s="11" t="n">
        <v>1185120</v>
      </c>
      <c r="JL58" s="11" t="n">
        <v>1529304</v>
      </c>
      <c r="JM58" s="11" t="n">
        <v>1175136</v>
      </c>
      <c r="JN58" s="11" t="n">
        <v>-65622420</v>
      </c>
      <c r="JO58" s="11" t="n">
        <v>-53846820</v>
      </c>
      <c r="JP58" s="11" t="n">
        <v>-4415493</v>
      </c>
      <c r="JQ58" s="11" t="n">
        <v>58102</v>
      </c>
      <c r="JR58" s="11" t="n">
        <v>-47100</v>
      </c>
      <c r="JS58" s="11" t="n">
        <v>580397</v>
      </c>
      <c r="JT58" s="11" t="n">
        <v>614767</v>
      </c>
      <c r="JU58" s="11" t="n">
        <v>-5480</v>
      </c>
      <c r="JV58" s="11" t="n">
        <v>15187</v>
      </c>
      <c r="JW58" s="11" t="n">
        <v>11661</v>
      </c>
      <c r="JX58" s="11" t="n">
        <v>42430</v>
      </c>
      <c r="JY58" s="11" t="n">
        <v>48530</v>
      </c>
      <c r="JZ58" s="11" t="n">
        <v>-44206</v>
      </c>
      <c r="KA58" s="11" t="n">
        <v>-6567000</v>
      </c>
      <c r="KB58" s="11" t="n">
        <v>-4111074</v>
      </c>
      <c r="KC58" s="11" t="n">
        <v>-3160740</v>
      </c>
      <c r="KD58" s="11" t="n">
        <v>68932200</v>
      </c>
      <c r="KE58" s="11" t="n">
        <v>72046500</v>
      </c>
      <c r="KF58" s="11" t="n">
        <v>11925039</v>
      </c>
      <c r="KG58" s="11" t="n">
        <v>2104260</v>
      </c>
      <c r="KH58" s="11" t="n">
        <v>1616100</v>
      </c>
      <c r="KI58" s="11" t="n">
        <v>-1083</v>
      </c>
      <c r="KJ58" s="11" t="n">
        <v>6122010</v>
      </c>
      <c r="KK58" s="11" t="n">
        <v>7962772</v>
      </c>
      <c r="KL58" s="11" t="n">
        <v>174621960</v>
      </c>
      <c r="KM58" s="11" t="n">
        <v>88227917</v>
      </c>
      <c r="KN58" s="11" t="n">
        <v>60248317</v>
      </c>
      <c r="KO58" s="11" t="n">
        <v>-2315632</v>
      </c>
      <c r="KP58" s="11" t="n">
        <v>2006302</v>
      </c>
      <c r="KQ58" s="11" t="n">
        <v>1805530</v>
      </c>
      <c r="KR58" s="11" t="n">
        <v>69655112</v>
      </c>
      <c r="KS58" s="11" t="n">
        <v>57115552</v>
      </c>
      <c r="KT58" s="11" t="n">
        <v>4825183</v>
      </c>
      <c r="KU58" s="11" t="n">
        <v>-1206690384</v>
      </c>
      <c r="KV58" s="11" t="n">
        <v>-578126124</v>
      </c>
      <c r="KW58" s="11" t="n">
        <v>-392516712</v>
      </c>
      <c r="KX58" s="11" t="n">
        <v>692003004</v>
      </c>
      <c r="KY58" s="11" t="n">
        <v>522308964</v>
      </c>
      <c r="KZ58" s="11" t="n">
        <v>25141257</v>
      </c>
      <c r="LA58" s="11" t="n">
        <v>472161288</v>
      </c>
      <c r="LB58" s="11" t="n">
        <v>387759432</v>
      </c>
      <c r="LC58" s="11" t="n">
        <v>32189418</v>
      </c>
      <c r="LD58" s="11" t="n">
        <v>-17996844</v>
      </c>
      <c r="LE58" s="11" t="n">
        <v>-7251664</v>
      </c>
      <c r="LF58" s="11" t="n">
        <v>-347835</v>
      </c>
      <c r="LG58" s="11" t="n">
        <v>961313</v>
      </c>
      <c r="LH58" s="11" t="n">
        <v>72720854</v>
      </c>
      <c r="LI58" s="11" t="n">
        <v>75949294</v>
      </c>
      <c r="LJ58" s="11" t="n">
        <v>13283203</v>
      </c>
      <c r="LK58" s="11" t="n">
        <v>1928284</v>
      </c>
      <c r="LL58" s="11" t="n">
        <v>1364732</v>
      </c>
      <c r="LM58" s="11" t="n">
        <v>321083</v>
      </c>
      <c r="LN58" s="11" t="n">
        <v>6509862</v>
      </c>
      <c r="LO58" s="11" t="n">
        <v>-473785668</v>
      </c>
      <c r="LP58" s="11" t="n">
        <v>-503142180</v>
      </c>
      <c r="LQ58" s="11" t="n">
        <v>-86940981</v>
      </c>
      <c r="LR58" s="11" t="n">
        <v>83462502</v>
      </c>
      <c r="LS58" s="11" t="n">
        <v>44625696</v>
      </c>
    </row>
    <row r="59" customFormat="false" ht="15" hidden="false" customHeight="true" outlineLevel="0" collapsed="false">
      <c r="A59" s="7" t="s">
        <v>125</v>
      </c>
      <c r="B59" s="11" t="n">
        <v>739751</v>
      </c>
      <c r="C59" s="11" t="n">
        <v>-62418511</v>
      </c>
      <c r="D59" s="11" t="n">
        <v>82232</v>
      </c>
      <c r="E59" s="11" t="n">
        <v>57871744</v>
      </c>
      <c r="F59" s="11" t="n">
        <v>6208521</v>
      </c>
      <c r="G59" s="11" t="n">
        <v>20663990</v>
      </c>
      <c r="H59" s="11" t="n">
        <v>-46684781</v>
      </c>
      <c r="I59" s="11" t="n">
        <v>-16515572</v>
      </c>
      <c r="J59" s="11" t="n">
        <v>-3037526</v>
      </c>
      <c r="K59" s="11" t="n">
        <v>-78578</v>
      </c>
      <c r="L59" s="11" t="n">
        <v>4933050</v>
      </c>
      <c r="M59" s="11" t="n">
        <v>-53660</v>
      </c>
      <c r="N59" s="11" t="n">
        <v>6691412</v>
      </c>
      <c r="O59" s="11" t="n">
        <v>-227385</v>
      </c>
      <c r="P59" s="11" t="n">
        <v>401297</v>
      </c>
      <c r="Q59" s="11" t="n">
        <v>6967890</v>
      </c>
      <c r="R59" s="11" t="n">
        <v>-178609706</v>
      </c>
      <c r="S59" s="11" t="n">
        <v>30020806</v>
      </c>
      <c r="T59" s="11" t="n">
        <v>-479756792</v>
      </c>
      <c r="U59" s="11" t="n">
        <v>-172508321</v>
      </c>
      <c r="V59" s="11" t="n">
        <v>-101675889</v>
      </c>
      <c r="W59" s="11" t="n">
        <v>6695632</v>
      </c>
      <c r="X59" s="11" t="n">
        <v>653518</v>
      </c>
      <c r="Y59" s="11" t="n">
        <v>2938804</v>
      </c>
      <c r="Z59" s="11" t="n">
        <v>-4984238</v>
      </c>
      <c r="AA59" s="11" t="n">
        <v>-1709712</v>
      </c>
      <c r="AB59" s="11" t="n">
        <v>-45599590</v>
      </c>
      <c r="AC59" s="11" t="n">
        <v>385680028</v>
      </c>
      <c r="AD59" s="11" t="n">
        <v>293530110</v>
      </c>
      <c r="AE59" s="11" t="n">
        <v>141528568</v>
      </c>
      <c r="AF59" s="11" t="n">
        <v>57658052</v>
      </c>
      <c r="AG59" s="11" t="n">
        <v>-5294795</v>
      </c>
      <c r="AH59" s="11" t="n">
        <v>2169967</v>
      </c>
      <c r="AI59" s="11" t="n">
        <v>415935122</v>
      </c>
      <c r="AJ59" s="11" t="n">
        <v>160601194</v>
      </c>
      <c r="AK59" s="11" t="n">
        <v>-30401927</v>
      </c>
      <c r="AL59" s="11" t="n">
        <v>20050723</v>
      </c>
      <c r="AM59" s="11" t="n">
        <v>197524</v>
      </c>
      <c r="AN59" s="11" t="n">
        <v>-15157809</v>
      </c>
      <c r="AO59" s="11" t="n">
        <v>-340701</v>
      </c>
      <c r="AP59" s="11" t="n">
        <v>-2069038</v>
      </c>
      <c r="AQ59" s="11" t="n">
        <v>18013339</v>
      </c>
      <c r="AR59" s="11" t="n">
        <v>7061893</v>
      </c>
      <c r="AS59" s="11" t="n">
        <v>-18895500</v>
      </c>
      <c r="AT59" s="11" t="n">
        <v>-289614263</v>
      </c>
      <c r="AU59" s="11" t="n">
        <v>-139532472</v>
      </c>
      <c r="AV59" s="11" t="n">
        <v>-385510352</v>
      </c>
      <c r="AW59" s="11" t="n">
        <v>-254548066</v>
      </c>
      <c r="AX59" s="11" t="n">
        <v>-148217017</v>
      </c>
      <c r="AY59" s="11" t="n">
        <v>-17137544</v>
      </c>
      <c r="AZ59" s="11" t="n">
        <v>-1695636</v>
      </c>
      <c r="BA59" s="11" t="n">
        <v>-5747576</v>
      </c>
      <c r="BB59" s="11" t="n">
        <v>14467892</v>
      </c>
      <c r="BC59" s="11" t="n">
        <v>5194904</v>
      </c>
      <c r="BD59" s="11" t="n">
        <v>100561695</v>
      </c>
      <c r="BE59" s="11" t="n">
        <v>261550138</v>
      </c>
      <c r="BF59" s="11" t="n">
        <v>452617637</v>
      </c>
      <c r="BG59" s="11" t="n">
        <v>214050644</v>
      </c>
      <c r="BH59" s="11" t="n">
        <v>-7847808</v>
      </c>
      <c r="BI59" s="11" t="n">
        <v>129679638</v>
      </c>
      <c r="BJ59" s="11" t="n">
        <v>51662031</v>
      </c>
      <c r="BK59" s="11" t="n">
        <v>372604932</v>
      </c>
      <c r="BL59" s="11" t="n">
        <v>151071834</v>
      </c>
      <c r="BM59" s="11" t="n">
        <v>-43504275</v>
      </c>
      <c r="BN59" s="11" t="n">
        <v>1318770</v>
      </c>
      <c r="BO59" s="11" t="n">
        <v>-71468616</v>
      </c>
      <c r="BP59" s="11" t="n">
        <v>2853406</v>
      </c>
      <c r="BQ59" s="11" t="n">
        <v>-172872888</v>
      </c>
      <c r="BR59" s="11" t="n">
        <v>-67802209</v>
      </c>
      <c r="BS59" s="11" t="n">
        <v>-39874199</v>
      </c>
      <c r="BT59" s="11" t="n">
        <v>292902</v>
      </c>
      <c r="BU59" s="11" t="n">
        <v>50518</v>
      </c>
      <c r="BV59" s="11" t="n">
        <v>-1566924</v>
      </c>
      <c r="BW59" s="11" t="n">
        <v>-1852702</v>
      </c>
      <c r="BX59" s="11" t="n">
        <v>-857282</v>
      </c>
      <c r="BY59" s="11" t="n">
        <v>-3371490</v>
      </c>
      <c r="BZ59" s="11" t="n">
        <v>123312408</v>
      </c>
      <c r="CA59" s="11" t="n">
        <v>115463235</v>
      </c>
      <c r="CB59" s="11" t="n">
        <v>55315173</v>
      </c>
      <c r="CC59" s="11" t="n">
        <v>3231892</v>
      </c>
      <c r="CD59" s="11" t="n">
        <v>-1411375</v>
      </c>
      <c r="CE59" s="11" t="n">
        <v>-327433</v>
      </c>
      <c r="CF59" s="11" t="n">
        <v>162303538</v>
      </c>
      <c r="CG59" s="11" t="n">
        <v>65000702</v>
      </c>
      <c r="CH59" s="11" t="n">
        <v>-11942488</v>
      </c>
      <c r="CI59" s="11" t="n">
        <v>86399370</v>
      </c>
      <c r="CJ59" s="11" t="n">
        <v>6488280</v>
      </c>
      <c r="CK59" s="11" t="n">
        <v>188268480</v>
      </c>
      <c r="CL59" s="11" t="n">
        <v>80637840</v>
      </c>
      <c r="CM59" s="11" t="n">
        <v>47325330</v>
      </c>
      <c r="CN59" s="11" t="n">
        <v>-538563110</v>
      </c>
      <c r="CO59" s="11" t="n">
        <v>1122880344</v>
      </c>
      <c r="CP59" s="11" t="n">
        <v>72031757</v>
      </c>
      <c r="CQ59" s="11" t="n">
        <v>47642755</v>
      </c>
      <c r="CR59" s="11" t="n">
        <v>1257879776</v>
      </c>
      <c r="CS59" s="11" t="n">
        <v>508058428</v>
      </c>
      <c r="CT59" s="11" t="n">
        <v>298576210</v>
      </c>
      <c r="CU59" s="11" t="n">
        <v>-891040480</v>
      </c>
      <c r="CV59" s="11" t="n">
        <v>-511242776</v>
      </c>
      <c r="CW59" s="11" t="n">
        <v>5010247</v>
      </c>
      <c r="CX59" s="11" t="n">
        <v>-1868630</v>
      </c>
      <c r="CY59" s="11" t="n">
        <v>144472092</v>
      </c>
      <c r="CZ59" s="11" t="n">
        <v>139289846</v>
      </c>
      <c r="DA59" s="11" t="n">
        <v>66676000</v>
      </c>
      <c r="DB59" s="11" t="n">
        <v>14921168</v>
      </c>
      <c r="DC59" s="11" t="n">
        <v>12204184</v>
      </c>
      <c r="DD59" s="11" t="n">
        <v>6030670</v>
      </c>
      <c r="DE59" s="11" t="n">
        <v>168681440</v>
      </c>
      <c r="DF59" s="11" t="n">
        <v>66155572</v>
      </c>
      <c r="DG59" s="11" t="n">
        <v>-14066414</v>
      </c>
      <c r="DH59" s="11" t="n">
        <v>-876269020</v>
      </c>
      <c r="DI59" s="11" t="n">
        <v>-866693495</v>
      </c>
      <c r="DJ59" s="11" t="n">
        <v>-414588755</v>
      </c>
      <c r="DK59" s="11" t="n">
        <v>1689818474</v>
      </c>
      <c r="DL59" s="11" t="n">
        <v>786882142</v>
      </c>
      <c r="DM59" s="11" t="n">
        <v>-21219629</v>
      </c>
      <c r="DN59" s="11" t="n">
        <v>1197631896</v>
      </c>
      <c r="DO59" s="11" t="n">
        <v>482524188</v>
      </c>
      <c r="DP59" s="11" t="n">
        <v>-89383671</v>
      </c>
      <c r="DQ59" s="11" t="n">
        <v>144951906</v>
      </c>
      <c r="DR59" s="11" t="n">
        <v>-403653</v>
      </c>
      <c r="DS59" s="11" t="n">
        <v>-4022</v>
      </c>
      <c r="DT59" s="11" t="n">
        <v>470606</v>
      </c>
      <c r="DU59" s="11" t="n">
        <v>5312</v>
      </c>
      <c r="DV59" s="11" t="n">
        <v>328302</v>
      </c>
      <c r="DW59" s="11" t="n">
        <v>-29601</v>
      </c>
      <c r="DX59" s="11" t="n">
        <v>37806</v>
      </c>
      <c r="DY59" s="11" t="n">
        <v>384238</v>
      </c>
      <c r="DZ59" s="11" t="n">
        <v>-8130334</v>
      </c>
      <c r="EA59" s="11" t="n">
        <v>2939531</v>
      </c>
      <c r="EB59" s="11" t="n">
        <v>-16425852</v>
      </c>
      <c r="EC59" s="11" t="n">
        <v>-22976382</v>
      </c>
      <c r="ED59" s="11" t="n">
        <v>-12201882</v>
      </c>
      <c r="EE59" s="11" t="n">
        <v>366960</v>
      </c>
      <c r="EF59" s="11" t="n">
        <v>34346</v>
      </c>
      <c r="EG59" s="11" t="n">
        <v>148844</v>
      </c>
      <c r="EH59" s="11" t="n">
        <v>-257114</v>
      </c>
      <c r="EI59" s="11" t="n">
        <v>-85592</v>
      </c>
      <c r="EJ59" s="11" t="n">
        <v>-3534098</v>
      </c>
      <c r="EK59" s="11" t="n">
        <v>12537748</v>
      </c>
      <c r="EL59" s="11" t="n">
        <v>27383642</v>
      </c>
      <c r="EM59" s="11" t="n">
        <v>13464296</v>
      </c>
      <c r="EN59" s="11" t="n">
        <v>2606962</v>
      </c>
      <c r="EO59" s="11" t="n">
        <v>86801</v>
      </c>
      <c r="EP59" s="11" t="n">
        <v>435890</v>
      </c>
      <c r="EQ59" s="11" t="n">
        <v>19891872</v>
      </c>
      <c r="ER59" s="11" t="n">
        <v>8385684</v>
      </c>
      <c r="ES59" s="11" t="n">
        <v>-3046758</v>
      </c>
      <c r="ET59" s="11" t="n">
        <v>-26362</v>
      </c>
      <c r="EU59" s="11" t="n">
        <v>759394</v>
      </c>
      <c r="EV59" s="11" t="n">
        <v>-51092</v>
      </c>
      <c r="EW59" s="11" t="n">
        <v>2303184</v>
      </c>
      <c r="EX59" s="11" t="n">
        <v>-2529</v>
      </c>
      <c r="EY59" s="11" t="n">
        <v>63735</v>
      </c>
      <c r="EZ59" s="11" t="n">
        <v>-23168</v>
      </c>
      <c r="FA59" s="11" t="n">
        <v>-856</v>
      </c>
      <c r="FB59" s="11" t="n">
        <v>1508</v>
      </c>
      <c r="FC59" s="11" t="n">
        <v>1908</v>
      </c>
      <c r="FD59" s="11" t="n">
        <v>-1834</v>
      </c>
      <c r="FE59" s="11" t="n">
        <v>69560</v>
      </c>
      <c r="FF59" s="11" t="n">
        <v>-2067572</v>
      </c>
      <c r="FG59" s="11" t="n">
        <v>-52740</v>
      </c>
      <c r="FH59" s="11" t="n">
        <v>-3182</v>
      </c>
      <c r="FI59" s="11" t="n">
        <v>-71864</v>
      </c>
      <c r="FJ59" s="11" t="n">
        <v>3780</v>
      </c>
      <c r="FK59" s="11" t="n">
        <v>-5624</v>
      </c>
      <c r="FL59" s="11" t="n">
        <v>-166842</v>
      </c>
      <c r="FM59" s="11" t="n">
        <v>163878</v>
      </c>
      <c r="FN59" s="11" t="n">
        <v>4437</v>
      </c>
      <c r="FO59" s="11" t="n">
        <v>-191888</v>
      </c>
      <c r="FP59" s="11" t="n">
        <v>-143342</v>
      </c>
      <c r="FQ59" s="11" t="n">
        <v>-1119656</v>
      </c>
      <c r="FR59" s="11" t="n">
        <v>1502962</v>
      </c>
      <c r="FS59" s="11" t="n">
        <v>736218</v>
      </c>
      <c r="FT59" s="11" t="n">
        <v>4501062</v>
      </c>
      <c r="FU59" s="11" t="n">
        <v>15488456</v>
      </c>
      <c r="FV59" s="11" t="n">
        <v>-43276498</v>
      </c>
      <c r="FW59" s="11" t="n">
        <v>-21671706</v>
      </c>
      <c r="FX59" s="11" t="n">
        <v>-14693440</v>
      </c>
      <c r="FY59" s="11" t="n">
        <v>2926631</v>
      </c>
      <c r="FZ59" s="11" t="n">
        <v>1080303</v>
      </c>
      <c r="GA59" s="11" t="n">
        <v>-131202732</v>
      </c>
      <c r="GB59" s="11" t="n">
        <v>-67028556</v>
      </c>
      <c r="GC59" s="11" t="n">
        <v>3704316</v>
      </c>
      <c r="GD59" s="11" t="n">
        <v>-119744</v>
      </c>
      <c r="GE59" s="11" t="n">
        <v>-994976</v>
      </c>
      <c r="GF59" s="11" t="n">
        <v>1306976</v>
      </c>
      <c r="GG59" s="11" t="n">
        <v>660368</v>
      </c>
      <c r="GH59" s="11" t="n">
        <v>-44556</v>
      </c>
      <c r="GI59" s="11" t="n">
        <v>38428</v>
      </c>
      <c r="GJ59" s="11" t="n">
        <v>33878</v>
      </c>
      <c r="GK59" s="11" t="n">
        <v>-167012</v>
      </c>
      <c r="GL59" s="11" t="n">
        <v>35780</v>
      </c>
      <c r="GM59" s="11" t="n">
        <v>-157846</v>
      </c>
      <c r="GN59" s="11" t="n">
        <v>13673596</v>
      </c>
      <c r="GO59" s="11" t="n">
        <v>-3651500</v>
      </c>
      <c r="GP59" s="11" t="n">
        <v>-1966254</v>
      </c>
      <c r="GQ59" s="11" t="n">
        <v>118902884</v>
      </c>
      <c r="GR59" s="11" t="n">
        <v>59069596</v>
      </c>
      <c r="GS59" s="11" t="n">
        <v>1323766</v>
      </c>
      <c r="GT59" s="11" t="n">
        <v>3029402</v>
      </c>
      <c r="GU59" s="11" t="n">
        <v>3136906</v>
      </c>
      <c r="GV59" s="11" t="n">
        <v>-402077</v>
      </c>
      <c r="GW59" s="11" t="n">
        <v>14190972</v>
      </c>
      <c r="GX59" s="11" t="n">
        <v>-1234</v>
      </c>
      <c r="GY59" s="11" t="n">
        <v>4484611</v>
      </c>
      <c r="GZ59" s="11" t="n">
        <v>-41927</v>
      </c>
      <c r="HA59" s="11" t="n">
        <v>7769532</v>
      </c>
      <c r="HB59" s="11" t="n">
        <v>9026844</v>
      </c>
      <c r="HC59" s="11" t="n">
        <v>4878117</v>
      </c>
      <c r="HD59" s="11" t="n">
        <v>43246</v>
      </c>
      <c r="HE59" s="11" t="n">
        <v>-434</v>
      </c>
      <c r="HF59" s="11" t="n">
        <v>76412</v>
      </c>
      <c r="HG59" s="11" t="n">
        <v>90034</v>
      </c>
      <c r="HH59" s="11" t="n">
        <v>48490</v>
      </c>
      <c r="HI59" s="11" t="n">
        <v>107898</v>
      </c>
      <c r="HJ59" s="11" t="n">
        <v>-5410790</v>
      </c>
      <c r="HK59" s="11" t="n">
        <v>-10852975</v>
      </c>
      <c r="HL59" s="11" t="n">
        <v>-5267212</v>
      </c>
      <c r="HM59" s="11" t="n">
        <v>-136346</v>
      </c>
      <c r="HN59" s="11" t="n">
        <v>-115717</v>
      </c>
      <c r="HO59" s="11" t="n">
        <v>-68122</v>
      </c>
      <c r="HP59" s="11" t="n">
        <v>-7911540</v>
      </c>
      <c r="HQ59" s="11" t="n">
        <v>-3239814</v>
      </c>
      <c r="HR59" s="11" t="n">
        <v>1203177</v>
      </c>
      <c r="HS59" s="11" t="n">
        <v>-4244054</v>
      </c>
      <c r="HT59" s="11" t="n">
        <v>30924</v>
      </c>
      <c r="HU59" s="11" t="n">
        <v>-7345616</v>
      </c>
      <c r="HV59" s="11" t="n">
        <v>-8522428</v>
      </c>
      <c r="HW59" s="11" t="n">
        <v>-4606186</v>
      </c>
      <c r="HX59" s="11" t="n">
        <v>31813891</v>
      </c>
      <c r="HY59" s="11" t="n">
        <v>-25999228</v>
      </c>
      <c r="HZ59" s="11" t="n">
        <v>-73451402</v>
      </c>
      <c r="IA59" s="11" t="n">
        <v>-37309208</v>
      </c>
      <c r="IB59" s="11" t="n">
        <v>-54874096</v>
      </c>
      <c r="IC59" s="11" t="n">
        <v>-63349850</v>
      </c>
      <c r="ID59" s="11" t="n">
        <v>-34256621</v>
      </c>
      <c r="IE59" s="11" t="n">
        <v>-74921112</v>
      </c>
      <c r="IF59" s="11" t="n">
        <v>-36357180</v>
      </c>
      <c r="IG59" s="11" t="n">
        <v>4798662</v>
      </c>
      <c r="IH59" s="11" t="n">
        <v>408898</v>
      </c>
      <c r="II59" s="11" t="n">
        <v>-5371268</v>
      </c>
      <c r="IJ59" s="11" t="n">
        <v>-10979122</v>
      </c>
      <c r="IK59" s="11" t="n">
        <v>-5344456</v>
      </c>
      <c r="IL59" s="11" t="n">
        <v>-668584</v>
      </c>
      <c r="IM59" s="11" t="n">
        <v>-741104</v>
      </c>
      <c r="IN59" s="11" t="n">
        <v>-404846</v>
      </c>
      <c r="IO59" s="11" t="n">
        <v>-8216712</v>
      </c>
      <c r="IP59" s="11" t="n">
        <v>-3420612</v>
      </c>
      <c r="IQ59" s="11" t="n">
        <v>1183806</v>
      </c>
      <c r="IR59" s="11" t="n">
        <v>37758686</v>
      </c>
      <c r="IS59" s="11" t="n">
        <v>75223939</v>
      </c>
      <c r="IT59" s="11" t="n">
        <v>36468028</v>
      </c>
      <c r="IU59" s="11" t="n">
        <v>25701480</v>
      </c>
      <c r="IV59" s="11" t="n">
        <v>14478144</v>
      </c>
      <c r="IW59" s="11" t="n">
        <v>4020816</v>
      </c>
      <c r="IX59" s="11" t="n">
        <v>-54562284</v>
      </c>
      <c r="IY59" s="11" t="n">
        <v>-22243902</v>
      </c>
      <c r="IZ59" s="11" t="n">
        <v>8382309</v>
      </c>
      <c r="JA59" s="11" t="n">
        <v>5780376</v>
      </c>
      <c r="JB59" s="11" t="n">
        <v>290562</v>
      </c>
      <c r="JC59" s="11" t="n">
        <v>-2582</v>
      </c>
      <c r="JD59" s="11" t="n">
        <v>500376</v>
      </c>
      <c r="JE59" s="11" t="n">
        <v>589538</v>
      </c>
      <c r="JF59" s="11" t="n">
        <v>318388</v>
      </c>
      <c r="JG59" s="11" t="n">
        <v>-488758</v>
      </c>
      <c r="JH59" s="11" t="n">
        <v>10971672</v>
      </c>
      <c r="JI59" s="11" t="n">
        <v>-17010335</v>
      </c>
      <c r="JJ59" s="11" t="n">
        <v>-8469121</v>
      </c>
      <c r="JK59" s="11" t="n">
        <v>744192</v>
      </c>
      <c r="JL59" s="11" t="n">
        <v>1142827</v>
      </c>
      <c r="JM59" s="11" t="n">
        <v>610823</v>
      </c>
      <c r="JN59" s="11" t="n">
        <v>-51554508</v>
      </c>
      <c r="JO59" s="11" t="n">
        <v>-26607036</v>
      </c>
      <c r="JP59" s="11" t="n">
        <v>1455861</v>
      </c>
      <c r="JQ59" s="11" t="n">
        <v>-11704</v>
      </c>
      <c r="JR59" s="11" t="n">
        <v>456372</v>
      </c>
      <c r="JS59" s="11" t="n">
        <v>539140</v>
      </c>
      <c r="JT59" s="11" t="n">
        <v>259598</v>
      </c>
      <c r="JU59" s="11" t="n">
        <v>16100</v>
      </c>
      <c r="JV59" s="11" t="n">
        <v>18956</v>
      </c>
      <c r="JW59" s="11" t="n">
        <v>10518</v>
      </c>
      <c r="JX59" s="11" t="n">
        <v>2492</v>
      </c>
      <c r="JY59" s="11" t="n">
        <v>-53024</v>
      </c>
      <c r="JZ59" s="11" t="n">
        <v>-64058</v>
      </c>
      <c r="KA59" s="11" t="n">
        <v>-325724</v>
      </c>
      <c r="KB59" s="11" t="n">
        <v>-1592080</v>
      </c>
      <c r="KC59" s="11" t="n">
        <v>-777814</v>
      </c>
      <c r="KD59" s="11" t="n">
        <v>47075350</v>
      </c>
      <c r="KE59" s="11" t="n">
        <v>23104514</v>
      </c>
      <c r="KF59" s="11" t="n">
        <v>516905</v>
      </c>
      <c r="KG59" s="11" t="n">
        <v>1662514</v>
      </c>
      <c r="KH59" s="11" t="n">
        <v>777242</v>
      </c>
      <c r="KI59" s="11" t="n">
        <v>-170989</v>
      </c>
      <c r="KJ59" s="11" t="n">
        <v>5595654</v>
      </c>
      <c r="KK59" s="11" t="n">
        <v>-1598710</v>
      </c>
      <c r="KL59" s="11" t="n">
        <v>-8698632</v>
      </c>
      <c r="KM59" s="11" t="n">
        <v>20856874</v>
      </c>
      <c r="KN59" s="11" t="n">
        <v>10432130</v>
      </c>
      <c r="KO59" s="11" t="n">
        <v>2830432</v>
      </c>
      <c r="KP59" s="11" t="n">
        <v>3058376</v>
      </c>
      <c r="KQ59" s="11" t="n">
        <v>1659110</v>
      </c>
      <c r="KR59" s="11" t="n">
        <v>53566720</v>
      </c>
      <c r="KS59" s="11" t="n">
        <v>27496808</v>
      </c>
      <c r="KT59" s="11" t="n">
        <v>-1687906</v>
      </c>
      <c r="KU59" s="11" t="n">
        <v>74999648</v>
      </c>
      <c r="KV59" s="11" t="n">
        <v>-128676691</v>
      </c>
      <c r="KW59" s="11" t="n">
        <v>-64146225</v>
      </c>
      <c r="KX59" s="11" t="n">
        <v>278316284</v>
      </c>
      <c r="KY59" s="11" t="n">
        <v>140376724</v>
      </c>
      <c r="KZ59" s="11" t="n">
        <v>-2803658</v>
      </c>
      <c r="LA59" s="11" t="n">
        <v>371291696</v>
      </c>
      <c r="LB59" s="11" t="n">
        <v>191400688</v>
      </c>
      <c r="LC59" s="11" t="n">
        <v>-10824671</v>
      </c>
      <c r="LD59" s="11" t="n">
        <v>15322956</v>
      </c>
      <c r="LE59" s="11" t="n">
        <v>2861404</v>
      </c>
      <c r="LF59" s="11" t="n">
        <v>2126292</v>
      </c>
      <c r="LG59" s="11" t="n">
        <v>1008130</v>
      </c>
      <c r="LH59" s="11" t="n">
        <v>48899284</v>
      </c>
      <c r="LI59" s="11" t="n">
        <v>24156908</v>
      </c>
      <c r="LJ59" s="11" t="n">
        <v>722654</v>
      </c>
      <c r="LK59" s="11" t="n">
        <v>1709456</v>
      </c>
      <c r="LL59" s="11" t="n">
        <v>1184668</v>
      </c>
      <c r="LM59" s="11" t="n">
        <v>278044</v>
      </c>
      <c r="LN59" s="11" t="n">
        <v>5813316</v>
      </c>
      <c r="LO59" s="11" t="n">
        <v>-330058078</v>
      </c>
      <c r="LP59" s="11" t="n">
        <v>-162104234</v>
      </c>
      <c r="LQ59" s="11" t="n">
        <v>-4172597</v>
      </c>
      <c r="LR59" s="11" t="n">
        <v>16216392</v>
      </c>
      <c r="LS59" s="11" t="n">
        <v>39805350</v>
      </c>
    </row>
    <row r="60" customFormat="false" ht="15" hidden="false" customHeight="true" outlineLevel="0" collapsed="false">
      <c r="A60" s="7" t="s">
        <v>126</v>
      </c>
      <c r="B60" s="11" t="n">
        <v>846016</v>
      </c>
      <c r="C60" s="11" t="n">
        <v>29431056</v>
      </c>
      <c r="D60" s="11" t="n">
        <v>-360496</v>
      </c>
      <c r="E60" s="11" t="n">
        <v>16382980</v>
      </c>
      <c r="F60" s="11" t="n">
        <v>-239920</v>
      </c>
      <c r="G60" s="11" t="n">
        <v>157634440</v>
      </c>
      <c r="H60" s="11" t="n">
        <v>-55619056</v>
      </c>
      <c r="I60" s="11" t="n">
        <v>40227484</v>
      </c>
      <c r="J60" s="11" t="n">
        <v>858792</v>
      </c>
      <c r="K60" s="11" t="n">
        <v>-109400</v>
      </c>
      <c r="L60" s="11" t="n">
        <v>3501394</v>
      </c>
      <c r="M60" s="11" t="n">
        <v>-376824</v>
      </c>
      <c r="N60" s="11" t="n">
        <v>13411492</v>
      </c>
      <c r="O60" s="11" t="n">
        <v>-355800</v>
      </c>
      <c r="P60" s="11" t="n">
        <v>2999486</v>
      </c>
      <c r="Q60" s="11" t="n">
        <v>-3439848</v>
      </c>
      <c r="R60" s="11" t="n">
        <v>105175494</v>
      </c>
      <c r="S60" s="11" t="n">
        <v>-12865344</v>
      </c>
      <c r="T60" s="11" t="n">
        <v>306541692</v>
      </c>
      <c r="U60" s="11" t="n">
        <v>44081472</v>
      </c>
      <c r="V60" s="11" t="n">
        <v>63510618</v>
      </c>
      <c r="W60" s="11" t="n">
        <v>626536</v>
      </c>
      <c r="X60" s="11" t="n">
        <v>129544</v>
      </c>
      <c r="Y60" s="11" t="n">
        <v>14669248</v>
      </c>
      <c r="Z60" s="11" t="n">
        <v>-7040600</v>
      </c>
      <c r="AA60" s="11" t="n">
        <v>3923784</v>
      </c>
      <c r="AB60" s="11" t="n">
        <v>-6304190</v>
      </c>
      <c r="AC60" s="11" t="n">
        <v>-392687700</v>
      </c>
      <c r="AD60" s="11" t="n">
        <v>223299754</v>
      </c>
      <c r="AE60" s="11" t="n">
        <v>-108404276</v>
      </c>
      <c r="AF60" s="11" t="n">
        <v>66408620</v>
      </c>
      <c r="AG60" s="11" t="n">
        <v>-24672384</v>
      </c>
      <c r="AH60" s="11" t="n">
        <v>17067106</v>
      </c>
      <c r="AI60" s="11" t="n">
        <v>815407972</v>
      </c>
      <c r="AJ60" s="11" t="n">
        <v>-78826268</v>
      </c>
      <c r="AK60" s="11" t="n">
        <v>-180275126</v>
      </c>
      <c r="AL60" s="11" t="n">
        <v>-11441784</v>
      </c>
      <c r="AM60" s="11" t="n">
        <v>380872</v>
      </c>
      <c r="AN60" s="11" t="n">
        <v>-355430</v>
      </c>
      <c r="AO60" s="11" t="n">
        <v>2113000</v>
      </c>
      <c r="AP60" s="11" t="n">
        <v>-48053708</v>
      </c>
      <c r="AQ60" s="11" t="n">
        <v>21360584</v>
      </c>
      <c r="AR60" s="11" t="n">
        <v>-12078858</v>
      </c>
      <c r="AS60" s="11" t="n">
        <v>8374248</v>
      </c>
      <c r="AT60" s="11" t="n">
        <v>209203890</v>
      </c>
      <c r="AU60" s="11" t="n">
        <v>70261920</v>
      </c>
      <c r="AV60" s="11" t="n">
        <v>460213332</v>
      </c>
      <c r="AW60" s="11" t="n">
        <v>-9121200</v>
      </c>
      <c r="AX60" s="11" t="n">
        <v>123851838</v>
      </c>
      <c r="AY60" s="11" t="n">
        <v>-7224080</v>
      </c>
      <c r="AZ60" s="11" t="n">
        <v>-792360</v>
      </c>
      <c r="BA60" s="11" t="n">
        <v>-50490032</v>
      </c>
      <c r="BB60" s="11" t="n">
        <v>15937448</v>
      </c>
      <c r="BC60" s="11" t="n">
        <v>-12963280</v>
      </c>
      <c r="BD60" s="11" t="n">
        <v>40817150</v>
      </c>
      <c r="BE60" s="11" t="n">
        <v>-864327540</v>
      </c>
      <c r="BF60" s="11" t="n">
        <v>390277890</v>
      </c>
      <c r="BG60" s="11" t="n">
        <v>-217004920</v>
      </c>
      <c r="BH60" s="11" t="n">
        <v>-380078540</v>
      </c>
      <c r="BI60" s="11" t="n">
        <v>132855920</v>
      </c>
      <c r="BJ60" s="11" t="n">
        <v>-97046290</v>
      </c>
      <c r="BK60" s="11" t="n">
        <v>820861332</v>
      </c>
      <c r="BL60" s="11" t="n">
        <v>34320572</v>
      </c>
      <c r="BM60" s="11" t="n">
        <v>-221589038</v>
      </c>
      <c r="BN60" s="11" t="n">
        <v>-1092936</v>
      </c>
      <c r="BO60" s="11" t="n">
        <v>46993146</v>
      </c>
      <c r="BP60" s="11" t="n">
        <v>-2951376</v>
      </c>
      <c r="BQ60" s="11" t="n">
        <v>132601812</v>
      </c>
      <c r="BR60" s="11" t="n">
        <v>16871208</v>
      </c>
      <c r="BS60" s="11" t="n">
        <v>28304718</v>
      </c>
      <c r="BT60" s="11" t="n">
        <v>-1530348</v>
      </c>
      <c r="BU60" s="11" t="n">
        <v>-103592</v>
      </c>
      <c r="BV60" s="11" t="n">
        <v>176136</v>
      </c>
      <c r="BW60" s="11" t="n">
        <v>-2602000</v>
      </c>
      <c r="BX60" s="11" t="n">
        <v>211588</v>
      </c>
      <c r="BY60" s="11" t="n">
        <v>8586730</v>
      </c>
      <c r="BZ60" s="11" t="n">
        <v>-193244712</v>
      </c>
      <c r="CA60" s="11" t="n">
        <v>88255256</v>
      </c>
      <c r="CB60" s="11" t="n">
        <v>-48730442</v>
      </c>
      <c r="CC60" s="11" t="n">
        <v>-12092788</v>
      </c>
      <c r="CD60" s="11" t="n">
        <v>-8625576</v>
      </c>
      <c r="CE60" s="11" t="n">
        <v>-2111438</v>
      </c>
      <c r="CF60" s="11" t="n">
        <v>318409808</v>
      </c>
      <c r="CG60" s="11" t="n">
        <v>-21109628</v>
      </c>
      <c r="CH60" s="11" t="n">
        <v>-70652464</v>
      </c>
      <c r="CI60" s="11" t="n">
        <v>-54377772</v>
      </c>
      <c r="CJ60" s="11" t="n">
        <v>-4551408</v>
      </c>
      <c r="CK60" s="11" t="n">
        <v>-141011592</v>
      </c>
      <c r="CL60" s="11" t="n">
        <v>-11476776</v>
      </c>
      <c r="CM60" s="11" t="n">
        <v>-32546748</v>
      </c>
      <c r="CN60" s="11" t="n">
        <v>342539940</v>
      </c>
      <c r="CO60" s="11" t="n">
        <v>-534352212</v>
      </c>
      <c r="CP60" s="11" t="n">
        <v>-345938730</v>
      </c>
      <c r="CQ60" s="11" t="n">
        <v>-8850858</v>
      </c>
      <c r="CR60" s="11" t="n">
        <v>-932994408</v>
      </c>
      <c r="CS60" s="11" t="n">
        <v>-101250240</v>
      </c>
      <c r="CT60" s="11" t="n">
        <v>-205761372</v>
      </c>
      <c r="CU60" s="11" t="n">
        <v>-784304484</v>
      </c>
      <c r="CV60" s="11" t="n">
        <v>296874120</v>
      </c>
      <c r="CW60" s="11" t="n">
        <v>205186806</v>
      </c>
      <c r="CX60" s="11" t="n">
        <v>-1218860</v>
      </c>
      <c r="CY60" s="11" t="n">
        <v>-206210328</v>
      </c>
      <c r="CZ60" s="11" t="n">
        <v>113389532</v>
      </c>
      <c r="DA60" s="11" t="n">
        <v>-56099840</v>
      </c>
      <c r="DB60" s="11" t="n">
        <v>-14099032</v>
      </c>
      <c r="DC60" s="11" t="n">
        <v>9747928</v>
      </c>
      <c r="DD60" s="11" t="n">
        <v>-3966020</v>
      </c>
      <c r="DE60" s="11" t="n">
        <v>337561976</v>
      </c>
      <c r="DF60" s="11" t="n">
        <v>-22054088</v>
      </c>
      <c r="DG60" s="11" t="n">
        <v>-79707308</v>
      </c>
      <c r="DH60" s="11" t="n">
        <v>1310950620</v>
      </c>
      <c r="DI60" s="11" t="n">
        <v>-706516490</v>
      </c>
      <c r="DJ60" s="11" t="n">
        <v>353586090</v>
      </c>
      <c r="DK60" s="11" t="n">
        <v>2426103192</v>
      </c>
      <c r="DL60" s="11" t="n">
        <v>-517710348</v>
      </c>
      <c r="DM60" s="11" t="n">
        <v>-375350098</v>
      </c>
      <c r="DN60" s="11" t="n">
        <v>2311876388</v>
      </c>
      <c r="DO60" s="11" t="n">
        <v>-175602432</v>
      </c>
      <c r="DP60" s="11" t="n">
        <v>-528914902</v>
      </c>
      <c r="DQ60" s="11" t="n">
        <v>588010484</v>
      </c>
      <c r="DR60" s="11" t="n">
        <v>-194540</v>
      </c>
      <c r="DS60" s="11" t="n">
        <v>-5804</v>
      </c>
      <c r="DT60" s="11" t="n">
        <v>406265</v>
      </c>
      <c r="DU60" s="11" t="n">
        <v>-13372</v>
      </c>
      <c r="DV60" s="11" t="n">
        <v>730482</v>
      </c>
      <c r="DW60" s="11" t="n">
        <v>-39756</v>
      </c>
      <c r="DX60" s="11" t="n">
        <v>199855</v>
      </c>
      <c r="DY60" s="11" t="n">
        <v>-284804</v>
      </c>
      <c r="DZ60" s="11" t="n">
        <v>17900315</v>
      </c>
      <c r="EA60" s="11" t="n">
        <v>-520352</v>
      </c>
      <c r="EB60" s="11" t="n">
        <v>61659662</v>
      </c>
      <c r="EC60" s="11" t="n">
        <v>-14172536</v>
      </c>
      <c r="ED60" s="11" t="n">
        <v>16202765</v>
      </c>
      <c r="EE60" s="11" t="n">
        <v>-60720</v>
      </c>
      <c r="EF60" s="11" t="n">
        <v>4052</v>
      </c>
      <c r="EG60" s="11" t="n">
        <v>770168</v>
      </c>
      <c r="EH60" s="11" t="n">
        <v>-364628</v>
      </c>
      <c r="EI60" s="11" t="n">
        <v>190816</v>
      </c>
      <c r="EJ60" s="11" t="n">
        <v>-143735</v>
      </c>
      <c r="EK60" s="11" t="n">
        <v>-61551890</v>
      </c>
      <c r="EL60" s="11" t="n">
        <v>25938935</v>
      </c>
      <c r="EM60" s="11" t="n">
        <v>-15447460</v>
      </c>
      <c r="EN60" s="11" t="n">
        <v>2284390</v>
      </c>
      <c r="EO60" s="11" t="n">
        <v>-867832</v>
      </c>
      <c r="EP60" s="11" t="n">
        <v>579153</v>
      </c>
      <c r="EQ60" s="11" t="n">
        <v>40616022</v>
      </c>
      <c r="ER60" s="11" t="n">
        <v>2504182</v>
      </c>
      <c r="ES60" s="11" t="n">
        <v>-11248561</v>
      </c>
      <c r="ET60" s="11" t="n">
        <v>-31048</v>
      </c>
      <c r="EU60" s="11" t="n">
        <v>1217540</v>
      </c>
      <c r="EV60" s="11" t="n">
        <v>-100224</v>
      </c>
      <c r="EW60" s="11" t="n">
        <v>3825464</v>
      </c>
      <c r="EX60" s="11" t="n">
        <v>-122172</v>
      </c>
      <c r="EY60" s="11" t="n">
        <v>892600</v>
      </c>
      <c r="EZ60" s="11" t="n">
        <v>-28514</v>
      </c>
      <c r="FA60" s="11" t="n">
        <v>-856</v>
      </c>
      <c r="FB60" s="11" t="n">
        <v>-2452</v>
      </c>
      <c r="FC60" s="11" t="n">
        <v>2700</v>
      </c>
      <c r="FD60" s="11" t="n">
        <v>-5266</v>
      </c>
      <c r="FE60" s="11" t="n">
        <v>125612</v>
      </c>
      <c r="FF60" s="11" t="n">
        <v>-3417092</v>
      </c>
      <c r="FG60" s="11" t="n">
        <v>6321</v>
      </c>
      <c r="FH60" s="11" t="n">
        <v>-613245</v>
      </c>
      <c r="FI60" s="11" t="n">
        <v>-113384</v>
      </c>
      <c r="FJ60" s="11" t="n">
        <v>12084</v>
      </c>
      <c r="FK60" s="11" t="n">
        <v>-41608</v>
      </c>
      <c r="FL60" s="11" t="n">
        <v>-323022</v>
      </c>
      <c r="FM60" s="11" t="n">
        <v>578338</v>
      </c>
      <c r="FN60" s="11" t="n">
        <v>56901</v>
      </c>
      <c r="FO60" s="11" t="n">
        <v>-1074374</v>
      </c>
      <c r="FP60" s="11" t="n">
        <v>-63680</v>
      </c>
      <c r="FQ60" s="11" t="n">
        <v>-4240268</v>
      </c>
      <c r="FR60" s="11" t="n">
        <v>2083036</v>
      </c>
      <c r="FS60" s="11" t="n">
        <v>-1279158</v>
      </c>
      <c r="FT60" s="11" t="n">
        <v>5965312</v>
      </c>
      <c r="FU60" s="11" t="n">
        <v>33906108</v>
      </c>
      <c r="FV60" s="11" t="n">
        <v>-77458169</v>
      </c>
      <c r="FW60" s="11" t="n">
        <v>19274665</v>
      </c>
      <c r="FX60" s="11" t="n">
        <v>-21533824</v>
      </c>
      <c r="FY60" s="11" t="n">
        <v>6974688</v>
      </c>
      <c r="FZ60" s="11" t="n">
        <v>-5959904</v>
      </c>
      <c r="GA60" s="11" t="n">
        <v>-239968346</v>
      </c>
      <c r="GB60" s="11" t="n">
        <v>35703094</v>
      </c>
      <c r="GC60" s="11" t="n">
        <v>54851863</v>
      </c>
      <c r="GD60" s="11" t="n">
        <v>-28862</v>
      </c>
      <c r="GE60" s="11" t="n">
        <v>-3809348</v>
      </c>
      <c r="GF60" s="11" t="n">
        <v>1819598</v>
      </c>
      <c r="GG60" s="11" t="n">
        <v>-992536</v>
      </c>
      <c r="GH60" s="11" t="n">
        <v>-111876</v>
      </c>
      <c r="GI60" s="11" t="n">
        <v>51892</v>
      </c>
      <c r="GJ60" s="11" t="n">
        <v>-24466</v>
      </c>
      <c r="GK60" s="11" t="n">
        <v>-204236</v>
      </c>
      <c r="GL60" s="11" t="n">
        <v>618164</v>
      </c>
      <c r="GM60" s="11" t="n">
        <v>-242062</v>
      </c>
      <c r="GN60" s="11" t="n">
        <v>20240020</v>
      </c>
      <c r="GO60" s="11" t="n">
        <v>-8022227</v>
      </c>
      <c r="GP60" s="11" t="n">
        <v>4993123</v>
      </c>
      <c r="GQ60" s="11" t="n">
        <v>217214522</v>
      </c>
      <c r="GR60" s="11" t="n">
        <v>-37017718</v>
      </c>
      <c r="GS60" s="11" t="n">
        <v>-38913711</v>
      </c>
      <c r="GT60" s="11" t="n">
        <v>5294174</v>
      </c>
      <c r="GU60" s="11" t="n">
        <v>2197294</v>
      </c>
      <c r="GV60" s="11" t="n">
        <v>-2176957</v>
      </c>
      <c r="GW60" s="11" t="n">
        <v>33263920</v>
      </c>
      <c r="GX60" s="11" t="n">
        <v>166076</v>
      </c>
      <c r="GY60" s="11" t="n">
        <v>-5576185</v>
      </c>
      <c r="GZ60" s="11" t="n">
        <v>666728</v>
      </c>
      <c r="HA60" s="11" t="n">
        <v>-20929138</v>
      </c>
      <c r="HB60" s="11" t="n">
        <v>5449504</v>
      </c>
      <c r="HC60" s="11" t="n">
        <v>-5480415</v>
      </c>
      <c r="HD60" s="11" t="n">
        <v>180460</v>
      </c>
      <c r="HE60" s="11" t="n">
        <v>8476</v>
      </c>
      <c r="HF60" s="11" t="n">
        <v>-808</v>
      </c>
      <c r="HG60" s="11" t="n">
        <v>128644</v>
      </c>
      <c r="HH60" s="11" t="n">
        <v>7108</v>
      </c>
      <c r="HI60" s="11" t="n">
        <v>-1009065</v>
      </c>
      <c r="HJ60" s="11" t="n">
        <v>22768960</v>
      </c>
      <c r="HK60" s="11" t="n">
        <v>-10240855</v>
      </c>
      <c r="HL60" s="11" t="n">
        <v>5716420</v>
      </c>
      <c r="HM60" s="11" t="n">
        <v>1064914</v>
      </c>
      <c r="HN60" s="11" t="n">
        <v>238328</v>
      </c>
      <c r="HO60" s="11" t="n">
        <v>308239</v>
      </c>
      <c r="HP60" s="11" t="n">
        <v>-16185390</v>
      </c>
      <c r="HQ60" s="11" t="n">
        <v>-922424</v>
      </c>
      <c r="HR60" s="11" t="n">
        <v>4478417</v>
      </c>
      <c r="HS60" s="11" t="n">
        <v>7117780</v>
      </c>
      <c r="HT60" s="11" t="n">
        <v>531864</v>
      </c>
      <c r="HU60" s="11" t="n">
        <v>21997984</v>
      </c>
      <c r="HV60" s="11" t="n">
        <v>-4120888</v>
      </c>
      <c r="HW60" s="11" t="n">
        <v>5808812</v>
      </c>
      <c r="HX60" s="11" t="n">
        <v>-46432930</v>
      </c>
      <c r="HY60" s="11" t="n">
        <v>158386350</v>
      </c>
      <c r="HZ60" s="11" t="n">
        <v>-95194590</v>
      </c>
      <c r="IA60" s="11" t="n">
        <v>39845480</v>
      </c>
      <c r="IB60" s="11" t="n">
        <v>155339284</v>
      </c>
      <c r="IC60" s="11" t="n">
        <v>-33995920</v>
      </c>
      <c r="ID60" s="11" t="n">
        <v>40871246</v>
      </c>
      <c r="IE60" s="11" t="n">
        <v>-202506492</v>
      </c>
      <c r="IF60" s="11" t="n">
        <v>-6113746</v>
      </c>
      <c r="IG60" s="11" t="n">
        <v>54619378</v>
      </c>
      <c r="IH60" s="11" t="n">
        <v>214660</v>
      </c>
      <c r="II60" s="11" t="n">
        <v>23937880</v>
      </c>
      <c r="IJ60" s="11" t="n">
        <v>-9991300</v>
      </c>
      <c r="IK60" s="11" t="n">
        <v>6007280</v>
      </c>
      <c r="IL60" s="11" t="n">
        <v>1125296</v>
      </c>
      <c r="IM60" s="11" t="n">
        <v>-622304</v>
      </c>
      <c r="IN60" s="11" t="n">
        <v>273700</v>
      </c>
      <c r="IO60" s="11" t="n">
        <v>-17019792</v>
      </c>
      <c r="IP60" s="11" t="n">
        <v>-969768</v>
      </c>
      <c r="IQ60" s="11" t="n">
        <v>4675932</v>
      </c>
      <c r="IR60" s="11" t="n">
        <v>-160935730</v>
      </c>
      <c r="IS60" s="11" t="n">
        <v>68049280</v>
      </c>
      <c r="IT60" s="11" t="n">
        <v>-40390240</v>
      </c>
      <c r="IU60" s="11" t="n">
        <v>97821390</v>
      </c>
      <c r="IV60" s="11" t="n">
        <v>-329480</v>
      </c>
      <c r="IW60" s="11" t="n">
        <v>-24411040</v>
      </c>
      <c r="IX60" s="11" t="n">
        <v>-109826544</v>
      </c>
      <c r="IY60" s="11" t="n">
        <v>-6535294</v>
      </c>
      <c r="IZ60" s="11" t="n">
        <v>30326656</v>
      </c>
      <c r="JA60" s="11" t="n">
        <v>4197186</v>
      </c>
      <c r="JB60" s="11" t="n">
        <v>149454</v>
      </c>
      <c r="JC60" s="11" t="n">
        <v>20848</v>
      </c>
      <c r="JD60" s="11" t="n">
        <v>-74484</v>
      </c>
      <c r="JE60" s="11" t="n">
        <v>765428</v>
      </c>
      <c r="JF60" s="11" t="n">
        <v>-112658</v>
      </c>
      <c r="JG60" s="11" t="n">
        <v>-1299992</v>
      </c>
      <c r="JH60" s="11" t="n">
        <v>21335292</v>
      </c>
      <c r="JI60" s="11" t="n">
        <v>-30604171</v>
      </c>
      <c r="JJ60" s="11" t="n">
        <v>8714515</v>
      </c>
      <c r="JK60" s="11" t="n">
        <v>2328272</v>
      </c>
      <c r="JL60" s="11" t="n">
        <v>2388792</v>
      </c>
      <c r="JM60" s="11" t="n">
        <v>235696</v>
      </c>
      <c r="JN60" s="11" t="n">
        <v>-94016278</v>
      </c>
      <c r="JO60" s="11" t="n">
        <v>11739394</v>
      </c>
      <c r="JP60" s="11" t="n">
        <v>21562013</v>
      </c>
      <c r="JQ60" s="11" t="n">
        <v>15026</v>
      </c>
      <c r="JR60" s="11" t="n">
        <v>-80208</v>
      </c>
      <c r="JS60" s="11" t="n">
        <v>715954</v>
      </c>
      <c r="JT60" s="11" t="n">
        <v>-128812</v>
      </c>
      <c r="JU60" s="11" t="n">
        <v>-3700</v>
      </c>
      <c r="JV60" s="11" t="n">
        <v>22916</v>
      </c>
      <c r="JW60" s="11" t="n">
        <v>-6642</v>
      </c>
      <c r="JX60" s="11" t="n">
        <v>53972</v>
      </c>
      <c r="JY60" s="11" t="n">
        <v>3736</v>
      </c>
      <c r="JZ60" s="11" t="n">
        <v>-120026</v>
      </c>
      <c r="KA60" s="11" t="n">
        <v>-1447364</v>
      </c>
      <c r="KB60" s="11" t="n">
        <v>-3150643</v>
      </c>
      <c r="KC60" s="11" t="n">
        <v>244291</v>
      </c>
      <c r="KD60" s="11" t="n">
        <v>85781500</v>
      </c>
      <c r="KE60" s="11" t="n">
        <v>-13711696</v>
      </c>
      <c r="KF60" s="11" t="n">
        <v>-15369327</v>
      </c>
      <c r="KG60" s="11" t="n">
        <v>2983174</v>
      </c>
      <c r="KH60" s="11" t="n">
        <v>-699938</v>
      </c>
      <c r="KI60" s="11" t="n">
        <v>-1020125</v>
      </c>
      <c r="KJ60" s="11" t="n">
        <v>13222214</v>
      </c>
      <c r="KK60" s="11" t="n">
        <v>414884</v>
      </c>
      <c r="KL60" s="11" t="n">
        <v>-22988556</v>
      </c>
      <c r="KM60" s="11" t="n">
        <v>36513592</v>
      </c>
      <c r="KN60" s="11" t="n">
        <v>-10055788</v>
      </c>
      <c r="KO60" s="11" t="n">
        <v>-3000008</v>
      </c>
      <c r="KP60" s="11" t="n">
        <v>2968616</v>
      </c>
      <c r="KQ60" s="11" t="n">
        <v>-1089988</v>
      </c>
      <c r="KR60" s="11" t="n">
        <v>99538360</v>
      </c>
      <c r="KS60" s="11" t="n">
        <v>-12317164</v>
      </c>
      <c r="KT60" s="11" t="n">
        <v>-23976832</v>
      </c>
      <c r="KU60" s="11" t="n">
        <v>140734056</v>
      </c>
      <c r="KV60" s="11" t="n">
        <v>-232648150</v>
      </c>
      <c r="KW60" s="11" t="n">
        <v>63276534</v>
      </c>
      <c r="KX60" s="11" t="n">
        <v>505054722</v>
      </c>
      <c r="KY60" s="11" t="n">
        <v>-95073114</v>
      </c>
      <c r="KZ60" s="11" t="n">
        <v>-69915758</v>
      </c>
      <c r="LA60" s="11" t="n">
        <v>675275356</v>
      </c>
      <c r="LB60" s="11" t="n">
        <v>-87811716</v>
      </c>
      <c r="LC60" s="11" t="n">
        <v>-158453834</v>
      </c>
      <c r="LD60" s="11" t="n">
        <v>141051922</v>
      </c>
      <c r="LE60" s="11" t="n">
        <v>-2088596</v>
      </c>
      <c r="LF60" s="11" t="n">
        <v>1683564</v>
      </c>
      <c r="LG60" s="11" t="n">
        <v>-653420</v>
      </c>
      <c r="LH60" s="11" t="n">
        <v>90529972</v>
      </c>
      <c r="LI60" s="11" t="n">
        <v>-14416792</v>
      </c>
      <c r="LJ60" s="11" t="n">
        <v>-16701412</v>
      </c>
      <c r="LK60" s="11" t="n">
        <v>2770736</v>
      </c>
      <c r="LL60" s="11" t="n">
        <v>-762332</v>
      </c>
      <c r="LM60" s="11" t="n">
        <v>-252332</v>
      </c>
      <c r="LN60" s="11" t="n">
        <v>13917852</v>
      </c>
      <c r="LO60" s="11" t="n">
        <v>-600103174</v>
      </c>
      <c r="LP60" s="11" t="n">
        <v>96896166</v>
      </c>
      <c r="LQ60" s="11" t="n">
        <v>109637536</v>
      </c>
      <c r="LR60" s="11" t="n">
        <v>-57667714</v>
      </c>
      <c r="LS60" s="11" t="n">
        <v>90493402</v>
      </c>
    </row>
    <row r="61" customFormat="false" ht="15" hidden="false" customHeight="true" outlineLevel="0" collapsed="false">
      <c r="A61" s="7" t="s">
        <v>127</v>
      </c>
      <c r="B61" s="11" t="n">
        <v>2192321</v>
      </c>
      <c r="C61" s="11" t="n">
        <v>-327669593</v>
      </c>
      <c r="D61" s="11" t="n">
        <v>-772932</v>
      </c>
      <c r="E61" s="11" t="n">
        <v>240935408</v>
      </c>
      <c r="F61" s="11" t="n">
        <v>-3290101</v>
      </c>
      <c r="G61" s="11" t="n">
        <v>188086386</v>
      </c>
      <c r="H61" s="11" t="n">
        <v>-105527383</v>
      </c>
      <c r="I61" s="11" t="n">
        <v>22408216</v>
      </c>
      <c r="J61" s="11" t="n">
        <v>-15134074</v>
      </c>
      <c r="K61" s="11" t="n">
        <v>-276564</v>
      </c>
      <c r="L61" s="11" t="n">
        <v>17603246</v>
      </c>
      <c r="M61" s="11" t="n">
        <v>-1091158</v>
      </c>
      <c r="N61" s="11" t="n">
        <v>25281976</v>
      </c>
      <c r="O61" s="11" t="n">
        <v>736907</v>
      </c>
      <c r="P61" s="11" t="n">
        <v>4255769</v>
      </c>
      <c r="Q61" s="11" t="n">
        <v>36000204</v>
      </c>
      <c r="R61" s="11" t="n">
        <v>-967793566</v>
      </c>
      <c r="S61" s="11" t="n">
        <v>140374820</v>
      </c>
      <c r="T61" s="11" t="n">
        <v>-2480303524</v>
      </c>
      <c r="U61" s="11" t="n">
        <v>-838618633</v>
      </c>
      <c r="V61" s="11" t="n">
        <v>-481388673</v>
      </c>
      <c r="W61" s="11" t="n">
        <v>24188040</v>
      </c>
      <c r="X61" s="11" t="n">
        <v>-30348</v>
      </c>
      <c r="Y61" s="11" t="n">
        <v>14813832</v>
      </c>
      <c r="Z61" s="11" t="n">
        <v>-13572216</v>
      </c>
      <c r="AA61" s="11" t="n">
        <v>1326396</v>
      </c>
      <c r="AB61" s="11" t="n">
        <v>-93500058</v>
      </c>
      <c r="AC61" s="11" t="n">
        <v>1268241412</v>
      </c>
      <c r="AD61" s="11" t="n">
        <v>928318194</v>
      </c>
      <c r="AE61" s="11" t="n">
        <v>287780896</v>
      </c>
      <c r="AF61" s="11" t="n">
        <v>55672372</v>
      </c>
      <c r="AG61" s="11" t="n">
        <v>-53628801</v>
      </c>
      <c r="AH61" s="11" t="n">
        <v>4766179</v>
      </c>
      <c r="AI61" s="11" t="n">
        <v>1280169710</v>
      </c>
      <c r="AJ61" s="11" t="n">
        <v>106703458</v>
      </c>
      <c r="AK61" s="11" t="n">
        <v>-212383559</v>
      </c>
      <c r="AL61" s="11" t="n">
        <v>108070565</v>
      </c>
      <c r="AM61" s="11" t="n">
        <v>931998</v>
      </c>
      <c r="AN61" s="11" t="n">
        <v>-68592463</v>
      </c>
      <c r="AO61" s="11" t="n">
        <v>6385291</v>
      </c>
      <c r="AP61" s="11" t="n">
        <v>-49379654</v>
      </c>
      <c r="AQ61" s="11" t="n">
        <v>42191871</v>
      </c>
      <c r="AR61" s="11" t="n">
        <v>-3399155</v>
      </c>
      <c r="AS61" s="11" t="n">
        <v>-101196954</v>
      </c>
      <c r="AT61" s="11" t="n">
        <v>-1624926841</v>
      </c>
      <c r="AU61" s="11" t="n">
        <v>-792175338</v>
      </c>
      <c r="AV61" s="11" t="n">
        <v>-1891324708</v>
      </c>
      <c r="AW61" s="11" t="n">
        <v>-1104121748</v>
      </c>
      <c r="AX61" s="11" t="n">
        <v>-596568125</v>
      </c>
      <c r="AY61" s="11" t="n">
        <v>-78243108</v>
      </c>
      <c r="AZ61" s="11" t="n">
        <v>-852534</v>
      </c>
      <c r="BA61" s="11" t="n">
        <v>-62549700</v>
      </c>
      <c r="BB61" s="11" t="n">
        <v>29986422</v>
      </c>
      <c r="BC61" s="11" t="n">
        <v>-8327748</v>
      </c>
      <c r="BD61" s="11" t="n">
        <v>598802165</v>
      </c>
      <c r="BE61" s="11" t="n">
        <v>457962766</v>
      </c>
      <c r="BF61" s="11" t="n">
        <v>1335175159</v>
      </c>
      <c r="BG61" s="11" t="n">
        <v>327533208</v>
      </c>
      <c r="BH61" s="11" t="n">
        <v>-473709032</v>
      </c>
      <c r="BI61" s="11" t="n">
        <v>244037042</v>
      </c>
      <c r="BJ61" s="11" t="n">
        <v>-60164281</v>
      </c>
      <c r="BK61" s="11" t="n">
        <v>1242888644</v>
      </c>
      <c r="BL61" s="11" t="n">
        <v>213096154</v>
      </c>
      <c r="BM61" s="11" t="n">
        <v>-267634451</v>
      </c>
      <c r="BN61" s="11" t="n">
        <v>7199448</v>
      </c>
      <c r="BO61" s="11" t="n">
        <v>-394243968</v>
      </c>
      <c r="BP61" s="11" t="n">
        <v>9709616</v>
      </c>
      <c r="BQ61" s="11" t="n">
        <v>-905397564</v>
      </c>
      <c r="BR61" s="11" t="n">
        <v>-327585629</v>
      </c>
      <c r="BS61" s="11" t="n">
        <v>-186323215</v>
      </c>
      <c r="BT61" s="11" t="n">
        <v>1169544</v>
      </c>
      <c r="BU61" s="11" t="n">
        <v>-341640</v>
      </c>
      <c r="BV61" s="11" t="n">
        <v>-4518552</v>
      </c>
      <c r="BW61" s="11" t="n">
        <v>-5635830</v>
      </c>
      <c r="BX61" s="11" t="n">
        <v>-1380402</v>
      </c>
      <c r="BY61" s="11" t="n">
        <v>17130992</v>
      </c>
      <c r="BZ61" s="11" t="n">
        <v>394518324</v>
      </c>
      <c r="CA61" s="11" t="n">
        <v>361835767</v>
      </c>
      <c r="CB61" s="11" t="n">
        <v>105859277</v>
      </c>
      <c r="CC61" s="11" t="n">
        <v>-49058404</v>
      </c>
      <c r="CD61" s="11" t="n">
        <v>-23145955</v>
      </c>
      <c r="CE61" s="11" t="n">
        <v>-10703409</v>
      </c>
      <c r="CF61" s="11" t="n">
        <v>503157194</v>
      </c>
      <c r="CG61" s="11" t="n">
        <v>56657326</v>
      </c>
      <c r="CH61" s="11" t="n">
        <v>-83046104</v>
      </c>
      <c r="CI61" s="11" t="n">
        <v>477418296</v>
      </c>
      <c r="CJ61" s="11" t="n">
        <v>43681104</v>
      </c>
      <c r="CK61" s="11" t="n">
        <v>973807896</v>
      </c>
      <c r="CL61" s="11" t="n">
        <v>380304618</v>
      </c>
      <c r="CM61" s="11" t="n">
        <v>214214694</v>
      </c>
      <c r="CN61" s="11" t="n">
        <v>-3035866096</v>
      </c>
      <c r="CO61" s="11" t="n">
        <v>6713774892</v>
      </c>
      <c r="CP61" s="11" t="n">
        <v>897648145</v>
      </c>
      <c r="CQ61" s="11" t="n">
        <v>625223051</v>
      </c>
      <c r="CR61" s="11" t="n">
        <v>6806642104</v>
      </c>
      <c r="CS61" s="11" t="n">
        <v>2500457498</v>
      </c>
      <c r="CT61" s="11" t="n">
        <v>1419379118</v>
      </c>
      <c r="CU61" s="11" t="n">
        <v>-3517131116</v>
      </c>
      <c r="CV61" s="11" t="n">
        <v>-1737139312</v>
      </c>
      <c r="CW61" s="11" t="n">
        <v>95274503</v>
      </c>
      <c r="CX61" s="11" t="n">
        <v>29751192</v>
      </c>
      <c r="CY61" s="11" t="n">
        <v>457833792</v>
      </c>
      <c r="CZ61" s="11" t="n">
        <v>435509964</v>
      </c>
      <c r="DA61" s="11" t="n">
        <v>126337836</v>
      </c>
      <c r="DB61" s="11" t="n">
        <v>-18795384</v>
      </c>
      <c r="DC61" s="11" t="n">
        <v>16147350</v>
      </c>
      <c r="DD61" s="11" t="n">
        <v>-1789974</v>
      </c>
      <c r="DE61" s="11" t="n">
        <v>523622028</v>
      </c>
      <c r="DF61" s="11" t="n">
        <v>52268748</v>
      </c>
      <c r="DG61" s="11" t="n">
        <v>-94771758</v>
      </c>
      <c r="DH61" s="11" t="n">
        <v>-3329710876</v>
      </c>
      <c r="DI61" s="11" t="n">
        <v>-2825312829</v>
      </c>
      <c r="DJ61" s="11" t="n">
        <v>-842334463</v>
      </c>
      <c r="DK61" s="11" t="n">
        <v>5263606838</v>
      </c>
      <c r="DL61" s="11" t="n">
        <v>1177071670</v>
      </c>
      <c r="DM61" s="11" t="n">
        <v>-332798189</v>
      </c>
      <c r="DN61" s="11" t="n">
        <v>3592086208</v>
      </c>
      <c r="DO61" s="11" t="n">
        <v>331815404</v>
      </c>
      <c r="DP61" s="11" t="n">
        <v>-627158263</v>
      </c>
      <c r="DQ61" s="11" t="n">
        <v>745289058</v>
      </c>
      <c r="DR61" s="11" t="n">
        <v>-1574291</v>
      </c>
      <c r="DS61" s="11" t="n">
        <v>-14613</v>
      </c>
      <c r="DT61" s="11" t="n">
        <v>1578622</v>
      </c>
      <c r="DU61" s="11" t="n">
        <v>-41721</v>
      </c>
      <c r="DV61" s="11" t="n">
        <v>1309016</v>
      </c>
      <c r="DW61" s="11" t="n">
        <v>-754</v>
      </c>
      <c r="DX61" s="11" t="n">
        <v>301083</v>
      </c>
      <c r="DY61" s="11" t="n">
        <v>1629057</v>
      </c>
      <c r="DZ61" s="11" t="n">
        <v>-62930558</v>
      </c>
      <c r="EA61" s="11" t="n">
        <v>3873122</v>
      </c>
      <c r="EB61" s="11" t="n">
        <v>-60585122</v>
      </c>
      <c r="EC61" s="11" t="n">
        <v>-75665811</v>
      </c>
      <c r="ED61" s="11" t="n">
        <v>-28909403</v>
      </c>
      <c r="EE61" s="11" t="n">
        <v>1049400</v>
      </c>
      <c r="EF61" s="11" t="n">
        <v>-7221</v>
      </c>
      <c r="EG61" s="11" t="n">
        <v>792186</v>
      </c>
      <c r="EH61" s="11" t="n">
        <v>-703131</v>
      </c>
      <c r="EI61" s="11" t="n">
        <v>43212</v>
      </c>
      <c r="EJ61" s="11" t="n">
        <v>-2216026</v>
      </c>
      <c r="EK61" s="11" t="n">
        <v>8425316</v>
      </c>
      <c r="EL61" s="11" t="n">
        <v>75904114</v>
      </c>
      <c r="EM61" s="11" t="n">
        <v>16953472</v>
      </c>
      <c r="EN61" s="11" t="n">
        <v>1614890</v>
      </c>
      <c r="EO61" s="11" t="n">
        <v>-2007109</v>
      </c>
      <c r="EP61" s="11" t="n">
        <v>-25407</v>
      </c>
      <c r="EQ61" s="11" t="n">
        <v>62944804</v>
      </c>
      <c r="ER61" s="11" t="n">
        <v>12451142</v>
      </c>
      <c r="ES61" s="11" t="n">
        <v>-14484925</v>
      </c>
      <c r="ET61" s="11" t="n">
        <v>-97722</v>
      </c>
      <c r="EU61" s="11" t="n">
        <v>1743198</v>
      </c>
      <c r="EV61" s="11" t="n">
        <v>-495544</v>
      </c>
      <c r="EW61" s="11" t="n">
        <v>9118392</v>
      </c>
      <c r="EX61" s="11" t="n">
        <v>534373</v>
      </c>
      <c r="EY61" s="11" t="n">
        <v>977597</v>
      </c>
      <c r="EZ61" s="11" t="n">
        <v>-81810</v>
      </c>
      <c r="FA61" s="11" t="n">
        <v>-2010</v>
      </c>
      <c r="FB61" s="11" t="n">
        <v>3384</v>
      </c>
      <c r="FC61" s="11" t="n">
        <v>5007</v>
      </c>
      <c r="FD61" s="11" t="n">
        <v>-9615</v>
      </c>
      <c r="FE61" s="11" t="n">
        <v>450710</v>
      </c>
      <c r="FF61" s="11" t="n">
        <v>-7694016</v>
      </c>
      <c r="FG61" s="11" t="n">
        <v>-536678</v>
      </c>
      <c r="FH61" s="11" t="n">
        <v>-646900</v>
      </c>
      <c r="FI61" s="11" t="n">
        <v>-170392</v>
      </c>
      <c r="FJ61" s="11" t="n">
        <v>14399</v>
      </c>
      <c r="FK61" s="11" t="n">
        <v>-68865</v>
      </c>
      <c r="FL61" s="11" t="n">
        <v>-448696</v>
      </c>
      <c r="FM61" s="11" t="n">
        <v>931024</v>
      </c>
      <c r="FN61" s="11" t="n">
        <v>102667</v>
      </c>
      <c r="FO61" s="11" t="n">
        <v>2102490</v>
      </c>
      <c r="FP61" s="11" t="n">
        <v>272364</v>
      </c>
      <c r="FQ61" s="11" t="n">
        <v>-5674860</v>
      </c>
      <c r="FR61" s="11" t="n">
        <v>4143891</v>
      </c>
      <c r="FS61" s="11" t="n">
        <v>782907</v>
      </c>
      <c r="FT61" s="11" t="n">
        <v>-15520156</v>
      </c>
      <c r="FU61" s="11" t="n">
        <v>297412380</v>
      </c>
      <c r="FV61" s="11" t="n">
        <v>-62423084</v>
      </c>
      <c r="FW61" s="11" t="n">
        <v>7067252</v>
      </c>
      <c r="FX61" s="11" t="n">
        <v>-3362816</v>
      </c>
      <c r="FY61" s="11" t="n">
        <v>22502858</v>
      </c>
      <c r="FZ61" s="11" t="n">
        <v>6694778</v>
      </c>
      <c r="GA61" s="11" t="n">
        <v>-417696266</v>
      </c>
      <c r="GB61" s="11" t="n">
        <v>-129823162</v>
      </c>
      <c r="GC61" s="11" t="n">
        <v>37173728</v>
      </c>
      <c r="GD61" s="11" t="n">
        <v>184770</v>
      </c>
      <c r="GE61" s="11" t="n">
        <v>-4678020</v>
      </c>
      <c r="GF61" s="11" t="n">
        <v>3576870</v>
      </c>
      <c r="GG61" s="11" t="n">
        <v>448560</v>
      </c>
      <c r="GH61" s="11" t="n">
        <v>-107292</v>
      </c>
      <c r="GI61" s="11" t="n">
        <v>99189</v>
      </c>
      <c r="GJ61" s="11" t="n">
        <v>-10695</v>
      </c>
      <c r="GK61" s="11" t="n">
        <v>-434262</v>
      </c>
      <c r="GL61" s="11" t="n">
        <v>531246</v>
      </c>
      <c r="GM61" s="11" t="n">
        <v>-447837</v>
      </c>
      <c r="GN61" s="11" t="n">
        <v>8395148</v>
      </c>
      <c r="GO61" s="11" t="n">
        <v>-20917896</v>
      </c>
      <c r="GP61" s="11" t="n">
        <v>-3932260</v>
      </c>
      <c r="GQ61" s="11" t="n">
        <v>367083308</v>
      </c>
      <c r="GR61" s="11" t="n">
        <v>79176616</v>
      </c>
      <c r="GS61" s="11" t="n">
        <v>-25340972</v>
      </c>
      <c r="GT61" s="11" t="n">
        <v>7639858</v>
      </c>
      <c r="GU61" s="11" t="n">
        <v>2769314</v>
      </c>
      <c r="GV61" s="11" t="n">
        <v>-3321718</v>
      </c>
      <c r="GW61" s="11" t="n">
        <v>49036758</v>
      </c>
      <c r="GX61" s="11" t="n">
        <v>-51087</v>
      </c>
      <c r="GY61" s="11" t="n">
        <v>28562457</v>
      </c>
      <c r="GZ61" s="11" t="n">
        <v>2528596</v>
      </c>
      <c r="HA61" s="11" t="n">
        <v>29068806</v>
      </c>
      <c r="HB61" s="11" t="n">
        <v>30260531</v>
      </c>
      <c r="HC61" s="11" t="n">
        <v>12400990</v>
      </c>
      <c r="HD61" s="11" t="n">
        <v>213897</v>
      </c>
      <c r="HE61" s="11" t="n">
        <v>24825</v>
      </c>
      <c r="HF61" s="11" t="n">
        <v>227346</v>
      </c>
      <c r="HG61" s="11" t="n">
        <v>280911</v>
      </c>
      <c r="HH61" s="11" t="n">
        <v>105339</v>
      </c>
      <c r="HI61" s="11" t="n">
        <v>-3292499</v>
      </c>
      <c r="HJ61" s="11" t="n">
        <v>-5399220</v>
      </c>
      <c r="HK61" s="11" t="n">
        <v>-30357460</v>
      </c>
      <c r="HL61" s="11" t="n">
        <v>-6972539</v>
      </c>
      <c r="HM61" s="11" t="n">
        <v>2872882</v>
      </c>
      <c r="HN61" s="11" t="n">
        <v>800737</v>
      </c>
      <c r="HO61" s="11" t="n">
        <v>812238</v>
      </c>
      <c r="HP61" s="11" t="n">
        <v>-25175420</v>
      </c>
      <c r="HQ61" s="11" t="n">
        <v>-4751962</v>
      </c>
      <c r="HR61" s="11" t="n">
        <v>5793263</v>
      </c>
      <c r="HS61" s="11" t="n">
        <v>-27513933</v>
      </c>
      <c r="HT61" s="11" t="n">
        <v>-2742246</v>
      </c>
      <c r="HU61" s="11" t="n">
        <v>-28114008</v>
      </c>
      <c r="HV61" s="11" t="n">
        <v>-28857810</v>
      </c>
      <c r="HW61" s="11" t="n">
        <v>-11894259</v>
      </c>
      <c r="HX61" s="11" t="n">
        <v>171348142</v>
      </c>
      <c r="HY61" s="11" t="n">
        <v>62794134</v>
      </c>
      <c r="HZ61" s="11" t="n">
        <v>-163177819</v>
      </c>
      <c r="IA61" s="11" t="n">
        <v>-28789061</v>
      </c>
      <c r="IB61" s="11" t="n">
        <v>-168826684</v>
      </c>
      <c r="IC61" s="11" t="n">
        <v>-195980918</v>
      </c>
      <c r="ID61" s="11" t="n">
        <v>-76943048</v>
      </c>
      <c r="IE61" s="11" t="n">
        <v>-232597924</v>
      </c>
      <c r="IF61" s="11" t="n">
        <v>-56562818</v>
      </c>
      <c r="IG61" s="11" t="n">
        <v>40346467</v>
      </c>
      <c r="IH61" s="11" t="n">
        <v>-1888449</v>
      </c>
      <c r="II61" s="11" t="n">
        <v>-4730766</v>
      </c>
      <c r="IJ61" s="11" t="n">
        <v>-30465039</v>
      </c>
      <c r="IK61" s="11" t="n">
        <v>-6932172</v>
      </c>
      <c r="IL61" s="11" t="n">
        <v>1458132</v>
      </c>
      <c r="IM61" s="11" t="n">
        <v>-1055688</v>
      </c>
      <c r="IN61" s="11" t="n">
        <v>125463</v>
      </c>
      <c r="IO61" s="11" t="n">
        <v>-26167644</v>
      </c>
      <c r="IP61" s="11" t="n">
        <v>-5038254</v>
      </c>
      <c r="IQ61" s="11" t="n">
        <v>5899257</v>
      </c>
      <c r="IR61" s="11" t="n">
        <v>25151782</v>
      </c>
      <c r="IS61" s="11" t="n">
        <v>200926593</v>
      </c>
      <c r="IT61" s="11" t="n">
        <v>45147361</v>
      </c>
      <c r="IU61" s="11" t="n">
        <v>97586260</v>
      </c>
      <c r="IV61" s="11" t="n">
        <v>20771078</v>
      </c>
      <c r="IW61" s="11" t="n">
        <v>-9235933</v>
      </c>
      <c r="IX61" s="11" t="n">
        <v>-169202308</v>
      </c>
      <c r="IY61" s="11" t="n">
        <v>-33188714</v>
      </c>
      <c r="IZ61" s="11" t="n">
        <v>38587423</v>
      </c>
      <c r="JA61" s="11" t="n">
        <v>10963512</v>
      </c>
      <c r="JB61" s="11" t="n">
        <v>1716408</v>
      </c>
      <c r="JC61" s="11" t="n">
        <v>173040</v>
      </c>
      <c r="JD61" s="11" t="n">
        <v>1508508</v>
      </c>
      <c r="JE61" s="11" t="n">
        <v>1861041</v>
      </c>
      <c r="JF61" s="11" t="n">
        <v>738051</v>
      </c>
      <c r="JG61" s="11" t="n">
        <v>-11790576</v>
      </c>
      <c r="JH61" s="11" t="n">
        <v>133247916</v>
      </c>
      <c r="JI61" s="11" t="n">
        <v>-23812047</v>
      </c>
      <c r="JJ61" s="11" t="n">
        <v>4005099</v>
      </c>
      <c r="JK61" s="11" t="n">
        <v>23795856</v>
      </c>
      <c r="JL61" s="11" t="n">
        <v>10383492</v>
      </c>
      <c r="JM61" s="11" t="n">
        <v>5473692</v>
      </c>
      <c r="JN61" s="11" t="n">
        <v>-165403854</v>
      </c>
      <c r="JO61" s="11" t="n">
        <v>-53776278</v>
      </c>
      <c r="JP61" s="11" t="n">
        <v>14581707</v>
      </c>
      <c r="JQ61" s="11" t="n">
        <v>109560</v>
      </c>
      <c r="JR61" s="11" t="n">
        <v>1322316</v>
      </c>
      <c r="JS61" s="11" t="n">
        <v>1645953</v>
      </c>
      <c r="JT61" s="11" t="n">
        <v>448995</v>
      </c>
      <c r="JU61" s="11" t="n">
        <v>37020</v>
      </c>
      <c r="JV61" s="11" t="n">
        <v>47145</v>
      </c>
      <c r="JW61" s="11" t="n">
        <v>-1845</v>
      </c>
      <c r="JX61" s="11" t="n">
        <v>12846</v>
      </c>
      <c r="JY61" s="11" t="n">
        <v>-173982</v>
      </c>
      <c r="JZ61" s="11" t="n">
        <v>-220926</v>
      </c>
      <c r="KA61" s="11" t="n">
        <v>-17588772</v>
      </c>
      <c r="KB61" s="11" t="n">
        <v>-9786651</v>
      </c>
      <c r="KC61" s="11" t="n">
        <v>-3339945</v>
      </c>
      <c r="KD61" s="11" t="n">
        <v>146123100</v>
      </c>
      <c r="KE61" s="11" t="n">
        <v>31770792</v>
      </c>
      <c r="KF61" s="11" t="n">
        <v>-10069689</v>
      </c>
      <c r="KG61" s="11" t="n">
        <v>4261782</v>
      </c>
      <c r="KH61" s="11" t="n">
        <v>-1424754</v>
      </c>
      <c r="KI61" s="11" t="n">
        <v>-1602027</v>
      </c>
      <c r="KJ61" s="11" t="n">
        <v>19534602</v>
      </c>
      <c r="KK61" s="11" t="n">
        <v>1060896</v>
      </c>
      <c r="KL61" s="11" t="n">
        <v>-132129900</v>
      </c>
      <c r="KM61" s="11" t="n">
        <v>32743779</v>
      </c>
      <c r="KN61" s="11" t="n">
        <v>-2128047</v>
      </c>
      <c r="KO61" s="11" t="n">
        <v>-14253096</v>
      </c>
      <c r="KP61" s="11" t="n">
        <v>2150778</v>
      </c>
      <c r="KQ61" s="11" t="n">
        <v>-670722</v>
      </c>
      <c r="KR61" s="11" t="n">
        <v>172041504</v>
      </c>
      <c r="KS61" s="11" t="n">
        <v>54945228</v>
      </c>
      <c r="KT61" s="11" t="n">
        <v>-16387107</v>
      </c>
      <c r="KU61" s="11" t="n">
        <v>825284808</v>
      </c>
      <c r="KV61" s="11" t="n">
        <v>-210209874</v>
      </c>
      <c r="KW61" s="11" t="n">
        <v>12142746</v>
      </c>
      <c r="KX61" s="11" t="n">
        <v>708897258</v>
      </c>
      <c r="KY61" s="11" t="n">
        <v>143110206</v>
      </c>
      <c r="KZ61" s="11" t="n">
        <v>-46882164</v>
      </c>
      <c r="LA61" s="11" t="n">
        <v>1151043180</v>
      </c>
      <c r="LB61" s="11" t="n">
        <v>358626060</v>
      </c>
      <c r="LC61" s="11" t="n">
        <v>-108282090</v>
      </c>
      <c r="LD61" s="11" t="n">
        <v>108451050</v>
      </c>
      <c r="LE61" s="11" t="n">
        <v>-9251292</v>
      </c>
      <c r="LF61" s="11" t="n">
        <v>1072719</v>
      </c>
      <c r="LG61" s="11" t="n">
        <v>-413355</v>
      </c>
      <c r="LH61" s="11" t="n">
        <v>151931958</v>
      </c>
      <c r="LI61" s="11" t="n">
        <v>32924406</v>
      </c>
      <c r="LJ61" s="11" t="n">
        <v>-10606137</v>
      </c>
      <c r="LK61" s="11" t="n">
        <v>4343412</v>
      </c>
      <c r="LL61" s="11" t="n">
        <v>-295464</v>
      </c>
      <c r="LM61" s="11" t="n">
        <v>-159807</v>
      </c>
      <c r="LN61" s="11" t="n">
        <v>20310102</v>
      </c>
      <c r="LO61" s="11" t="n">
        <v>-998603286</v>
      </c>
      <c r="LP61" s="11" t="n">
        <v>-215666298</v>
      </c>
      <c r="LQ61" s="11" t="n">
        <v>69625626</v>
      </c>
      <c r="LR61" s="11" t="n">
        <v>-12086646</v>
      </c>
      <c r="LS61" s="11" t="n">
        <v>133146690</v>
      </c>
    </row>
    <row r="62" customFormat="false" ht="15" hidden="false" customHeight="true" outlineLevel="0" collapsed="false">
      <c r="A62" s="7" t="s">
        <v>128</v>
      </c>
      <c r="B62" s="11" t="n">
        <v>9044418</v>
      </c>
      <c r="C62" s="11" t="n">
        <v>-102104454</v>
      </c>
      <c r="D62" s="11" t="n">
        <v>14573652</v>
      </c>
      <c r="E62" s="11" t="n">
        <v>-150250116</v>
      </c>
      <c r="F62" s="11" t="n">
        <v>54949298</v>
      </c>
      <c r="G62" s="11" t="n">
        <v>-780448580</v>
      </c>
      <c r="H62" s="11" t="n">
        <v>-434706678</v>
      </c>
      <c r="I62" s="11" t="n">
        <v>-424400292</v>
      </c>
      <c r="J62" s="11" t="n">
        <v>-8728782</v>
      </c>
      <c r="K62" s="11" t="n">
        <v>-377610</v>
      </c>
      <c r="L62" s="11" t="n">
        <v>23447898</v>
      </c>
      <c r="M62" s="11" t="n">
        <v>-1556750</v>
      </c>
      <c r="N62" s="11" t="n">
        <v>37413116</v>
      </c>
      <c r="O62" s="11" t="n">
        <v>3067890</v>
      </c>
      <c r="P62" s="11" t="n">
        <v>-4654728</v>
      </c>
      <c r="Q62" s="11" t="n">
        <v>18327978</v>
      </c>
      <c r="R62" s="11" t="n">
        <v>-409715178</v>
      </c>
      <c r="S62" s="11" t="n">
        <v>70606152</v>
      </c>
      <c r="T62" s="11" t="n">
        <v>-1175577168</v>
      </c>
      <c r="U62" s="11" t="n">
        <v>-454170192</v>
      </c>
      <c r="V62" s="11" t="n">
        <v>-357041124</v>
      </c>
      <c r="W62" s="11" t="n">
        <v>31509552</v>
      </c>
      <c r="X62" s="11" t="n">
        <v>-214290</v>
      </c>
      <c r="Y62" s="11" t="n">
        <v>27701124</v>
      </c>
      <c r="Z62" s="11" t="n">
        <v>-13205850</v>
      </c>
      <c r="AA62" s="11" t="n">
        <v>-25219332</v>
      </c>
      <c r="AB62" s="11" t="n">
        <v>-116596078</v>
      </c>
      <c r="AC62" s="11" t="n">
        <v>1401809788</v>
      </c>
      <c r="AD62" s="11" t="n">
        <v>1076023578</v>
      </c>
      <c r="AE62" s="11" t="n">
        <v>1177595748</v>
      </c>
      <c r="AF62" s="11" t="n">
        <v>92970176</v>
      </c>
      <c r="AG62" s="11" t="n">
        <v>-56183960</v>
      </c>
      <c r="AH62" s="11" t="n">
        <v>-101328708</v>
      </c>
      <c r="AI62" s="11" t="n">
        <v>1533476336</v>
      </c>
      <c r="AJ62" s="11" t="n">
        <v>2157232584</v>
      </c>
      <c r="AK62" s="11" t="n">
        <v>367680348</v>
      </c>
      <c r="AL62" s="11" t="n">
        <v>19766280</v>
      </c>
      <c r="AM62" s="11" t="n">
        <v>-2211054</v>
      </c>
      <c r="AN62" s="11" t="n">
        <v>107141976</v>
      </c>
      <c r="AO62" s="11" t="n">
        <v>2980012</v>
      </c>
      <c r="AP62" s="11" t="n">
        <v>326932016</v>
      </c>
      <c r="AQ62" s="11" t="n">
        <v>173842122</v>
      </c>
      <c r="AR62" s="11" t="n">
        <v>162193080</v>
      </c>
      <c r="AS62" s="11" t="n">
        <v>-6889158</v>
      </c>
      <c r="AT62" s="11" t="n">
        <v>-881182968</v>
      </c>
      <c r="AU62" s="11" t="n">
        <v>-153731916</v>
      </c>
      <c r="AV62" s="11" t="n">
        <v>-1985163648</v>
      </c>
      <c r="AW62" s="11" t="n">
        <v>-1012505286</v>
      </c>
      <c r="AX62" s="11" t="n">
        <v>-903520920</v>
      </c>
      <c r="AY62" s="11" t="n">
        <v>135911316</v>
      </c>
      <c r="AZ62" s="11" t="n">
        <v>18235062</v>
      </c>
      <c r="BA62" s="11" t="n">
        <v>336006084</v>
      </c>
      <c r="BB62" s="11" t="n">
        <v>173848074</v>
      </c>
      <c r="BC62" s="11" t="n">
        <v>157597044</v>
      </c>
      <c r="BD62" s="11" t="n">
        <v>-700445680</v>
      </c>
      <c r="BE62" s="11" t="n">
        <v>3814201168</v>
      </c>
      <c r="BF62" s="11" t="n">
        <v>2261674932</v>
      </c>
      <c r="BG62" s="11" t="n">
        <v>2333102784</v>
      </c>
      <c r="BH62" s="11" t="n">
        <v>2243420296</v>
      </c>
      <c r="BI62" s="11" t="n">
        <v>1199406494</v>
      </c>
      <c r="BJ62" s="11" t="n">
        <v>1125237008</v>
      </c>
      <c r="BK62" s="11" t="n">
        <v>712560316</v>
      </c>
      <c r="BL62" s="11" t="n">
        <v>1345214704</v>
      </c>
      <c r="BM62" s="11" t="n">
        <v>361795788</v>
      </c>
      <c r="BN62" s="11" t="n">
        <v>2959146</v>
      </c>
      <c r="BO62" s="11" t="n">
        <v>-154647504</v>
      </c>
      <c r="BP62" s="11" t="n">
        <v>526212</v>
      </c>
      <c r="BQ62" s="11" t="n">
        <v>-397287744</v>
      </c>
      <c r="BR62" s="11" t="n">
        <v>-174480078</v>
      </c>
      <c r="BS62" s="11" t="n">
        <v>-146360040</v>
      </c>
      <c r="BT62" s="11" t="n">
        <v>1258974</v>
      </c>
      <c r="BU62" s="11" t="n">
        <v>-504990</v>
      </c>
      <c r="BV62" s="11" t="n">
        <v>-4503372</v>
      </c>
      <c r="BW62" s="11" t="n">
        <v>-6508020</v>
      </c>
      <c r="BX62" s="11" t="n">
        <v>-7909584</v>
      </c>
      <c r="BY62" s="11" t="n">
        <v>26167332</v>
      </c>
      <c r="BZ62" s="11" t="n">
        <v>404376864</v>
      </c>
      <c r="CA62" s="11" t="n">
        <v>414347562</v>
      </c>
      <c r="CB62" s="11" t="n">
        <v>475630776</v>
      </c>
      <c r="CC62" s="11" t="n">
        <v>-68599544</v>
      </c>
      <c r="CD62" s="11" t="n">
        <v>-30933010</v>
      </c>
      <c r="CE62" s="11" t="n">
        <v>-26383448</v>
      </c>
      <c r="CF62" s="11" t="n">
        <v>608218684</v>
      </c>
      <c r="CG62" s="11" t="n">
        <v>839183696</v>
      </c>
      <c r="CH62" s="11" t="n">
        <v>144484512</v>
      </c>
      <c r="CI62" s="11" t="n">
        <v>185818482</v>
      </c>
      <c r="CJ62" s="11" t="n">
        <v>22831308</v>
      </c>
      <c r="CK62" s="11" t="n">
        <v>435659472</v>
      </c>
      <c r="CL62" s="11" t="n">
        <v>212390586</v>
      </c>
      <c r="CM62" s="11" t="n">
        <v>186274188</v>
      </c>
      <c r="CN62" s="11" t="n">
        <v>-1226226996</v>
      </c>
      <c r="CO62" s="11" t="n">
        <v>2179600320</v>
      </c>
      <c r="CP62" s="11" t="n">
        <v>-143301738</v>
      </c>
      <c r="CQ62" s="11" t="n">
        <v>-544223832</v>
      </c>
      <c r="CR62" s="11" t="n">
        <v>3142747296</v>
      </c>
      <c r="CS62" s="11" t="n">
        <v>1383970536</v>
      </c>
      <c r="CT62" s="11" t="n">
        <v>1162366056</v>
      </c>
      <c r="CU62" s="11" t="n">
        <v>-2827261008</v>
      </c>
      <c r="CV62" s="11" t="n">
        <v>-3460901952</v>
      </c>
      <c r="CW62" s="11" t="n">
        <v>-478394844</v>
      </c>
      <c r="CX62" s="11" t="n">
        <v>41424282</v>
      </c>
      <c r="CY62" s="11" t="n">
        <v>468139692</v>
      </c>
      <c r="CZ62" s="11" t="n">
        <v>499030674</v>
      </c>
      <c r="DA62" s="11" t="n">
        <v>575930100</v>
      </c>
      <c r="DB62" s="11" t="n">
        <v>-39601224</v>
      </c>
      <c r="DC62" s="11" t="n">
        <v>13967370</v>
      </c>
      <c r="DD62" s="11" t="n">
        <v>29238012</v>
      </c>
      <c r="DE62" s="11" t="n">
        <v>634915188</v>
      </c>
      <c r="DF62" s="11" t="n">
        <v>881005272</v>
      </c>
      <c r="DG62" s="11" t="n">
        <v>158033784</v>
      </c>
      <c r="DH62" s="11" t="n">
        <v>-3575176696</v>
      </c>
      <c r="DI62" s="11" t="n">
        <v>-3261186434</v>
      </c>
      <c r="DJ62" s="11" t="n">
        <v>-3679273168</v>
      </c>
      <c r="DK62" s="11" t="n">
        <v>6214519868</v>
      </c>
      <c r="DL62" s="11" t="n">
        <v>8126587792</v>
      </c>
      <c r="DM62" s="11" t="n">
        <v>1017404724</v>
      </c>
      <c r="DN62" s="11" t="n">
        <v>4323135648</v>
      </c>
      <c r="DO62" s="11" t="n">
        <v>6040775312</v>
      </c>
      <c r="DP62" s="11" t="n">
        <v>1061233564</v>
      </c>
      <c r="DQ62" s="11" t="n">
        <v>-673582600</v>
      </c>
      <c r="DR62" s="11" t="n">
        <v>-3183843</v>
      </c>
      <c r="DS62" s="11" t="n">
        <v>-13227</v>
      </c>
      <c r="DT62" s="11" t="n">
        <v>3481131</v>
      </c>
      <c r="DU62" s="11" t="n">
        <v>9421</v>
      </c>
      <c r="DV62" s="11" t="n">
        <v>1276886</v>
      </c>
      <c r="DW62" s="11" t="n">
        <v>-1398</v>
      </c>
      <c r="DX62" s="11" t="n">
        <v>-127191</v>
      </c>
      <c r="DY62" s="11" t="n">
        <v>5279583</v>
      </c>
      <c r="DZ62" s="11" t="n">
        <v>-92190759</v>
      </c>
      <c r="EA62" s="11" t="n">
        <v>19237060</v>
      </c>
      <c r="EB62" s="11" t="n">
        <v>-289150888</v>
      </c>
      <c r="EC62" s="11" t="n">
        <v>-153010959</v>
      </c>
      <c r="ED62" s="11" t="n">
        <v>-147962769</v>
      </c>
      <c r="EE62" s="11" t="n">
        <v>5389560</v>
      </c>
      <c r="EF62" s="11" t="n">
        <v>95541</v>
      </c>
      <c r="EG62" s="11" t="n">
        <v>916134</v>
      </c>
      <c r="EH62" s="11" t="n">
        <v>-637989</v>
      </c>
      <c r="EI62" s="11" t="n">
        <v>-825612</v>
      </c>
      <c r="EJ62" s="11" t="n">
        <v>-21306093</v>
      </c>
      <c r="EK62" s="11" t="n">
        <v>279176778</v>
      </c>
      <c r="EL62" s="11" t="n">
        <v>167338677</v>
      </c>
      <c r="EM62" s="11" t="n">
        <v>165461556</v>
      </c>
      <c r="EN62" s="11" t="n">
        <v>8570656</v>
      </c>
      <c r="EO62" s="11" t="n">
        <v>444313</v>
      </c>
      <c r="EP62" s="11" t="n">
        <v>-330677</v>
      </c>
      <c r="EQ62" s="11" t="n">
        <v>61492286</v>
      </c>
      <c r="ER62" s="11" t="n">
        <v>70891994</v>
      </c>
      <c r="ES62" s="11" t="n">
        <v>6047649</v>
      </c>
      <c r="ET62" s="11" t="n">
        <v>-120162</v>
      </c>
      <c r="EU62" s="11" t="n">
        <v>4894554</v>
      </c>
      <c r="EV62" s="11" t="n">
        <v>-557104</v>
      </c>
      <c r="EW62" s="11" t="n">
        <v>11937952</v>
      </c>
      <c r="EX62" s="11" t="n">
        <v>1081317</v>
      </c>
      <c r="EY62" s="11" t="n">
        <v>-1515819</v>
      </c>
      <c r="EZ62" s="11" t="n">
        <v>-111048</v>
      </c>
      <c r="FA62" s="11" t="n">
        <v>-2670</v>
      </c>
      <c r="FB62" s="11" t="n">
        <v>1404</v>
      </c>
      <c r="FC62" s="11" t="n">
        <v>4545</v>
      </c>
      <c r="FD62" s="11" t="n">
        <v>-1497</v>
      </c>
      <c r="FE62" s="11" t="n">
        <v>623606</v>
      </c>
      <c r="FF62" s="11" t="n">
        <v>-11089676</v>
      </c>
      <c r="FG62" s="11" t="n">
        <v>-1184433</v>
      </c>
      <c r="FH62" s="11" t="n">
        <v>1461825</v>
      </c>
      <c r="FI62" s="11" t="n">
        <v>-258752</v>
      </c>
      <c r="FJ62" s="11" t="n">
        <v>-2955</v>
      </c>
      <c r="FK62" s="11" t="n">
        <v>26741</v>
      </c>
      <c r="FL62" s="11" t="n">
        <v>-438906</v>
      </c>
      <c r="FM62" s="11" t="n">
        <v>131014</v>
      </c>
      <c r="FN62" s="11" t="n">
        <v>-43863</v>
      </c>
      <c r="FO62" s="11" t="n">
        <v>-4636968</v>
      </c>
      <c r="FP62" s="11" t="n">
        <v>197784</v>
      </c>
      <c r="FQ62" s="11" t="n">
        <v>-8883120</v>
      </c>
      <c r="FR62" s="11" t="n">
        <v>3981729</v>
      </c>
      <c r="FS62" s="11" t="n">
        <v>8097885</v>
      </c>
      <c r="FT62" s="11" t="n">
        <v>13441928</v>
      </c>
      <c r="FU62" s="11" t="n">
        <v>-98841488</v>
      </c>
      <c r="FV62" s="11" t="n">
        <v>-203914881</v>
      </c>
      <c r="FW62" s="11" t="n">
        <v>-271356429</v>
      </c>
      <c r="FX62" s="11" t="n">
        <v>-21534976</v>
      </c>
      <c r="FY62" s="11" t="n">
        <v>20240212</v>
      </c>
      <c r="FZ62" s="11" t="n">
        <v>35049012</v>
      </c>
      <c r="GA62" s="11" t="n">
        <v>-475517704</v>
      </c>
      <c r="GB62" s="11" t="n">
        <v>-692456520</v>
      </c>
      <c r="GC62" s="11" t="n">
        <v>-123100158</v>
      </c>
      <c r="GD62" s="11" t="n">
        <v>285816</v>
      </c>
      <c r="GE62" s="11" t="n">
        <v>-8263536</v>
      </c>
      <c r="GF62" s="11" t="n">
        <v>3504336</v>
      </c>
      <c r="GG62" s="11" t="n">
        <v>7541448</v>
      </c>
      <c r="GH62" s="11" t="n">
        <v>-195072</v>
      </c>
      <c r="GI62" s="11" t="n">
        <v>95955</v>
      </c>
      <c r="GJ62" s="11" t="n">
        <v>177471</v>
      </c>
      <c r="GK62" s="11" t="n">
        <v>-382518</v>
      </c>
      <c r="GL62" s="11" t="n">
        <v>16050</v>
      </c>
      <c r="GM62" s="11" t="n">
        <v>-355899</v>
      </c>
      <c r="GN62" s="11" t="n">
        <v>17862400</v>
      </c>
      <c r="GO62" s="11" t="n">
        <v>-22727603</v>
      </c>
      <c r="GP62" s="11" t="n">
        <v>-38587631</v>
      </c>
      <c r="GQ62" s="11" t="n">
        <v>438094838</v>
      </c>
      <c r="GR62" s="11" t="n">
        <v>644337326</v>
      </c>
      <c r="GS62" s="11" t="n">
        <v>126567483</v>
      </c>
      <c r="GT62" s="11" t="n">
        <v>9514976</v>
      </c>
      <c r="GU62" s="11" t="n">
        <v>15245152</v>
      </c>
      <c r="GV62" s="11" t="n">
        <v>1157438</v>
      </c>
      <c r="GW62" s="11" t="n">
        <v>30677188</v>
      </c>
      <c r="GX62" s="11" t="n">
        <v>-807249</v>
      </c>
      <c r="GY62" s="11" t="n">
        <v>45324336</v>
      </c>
      <c r="GZ62" s="11" t="n">
        <v>1069622</v>
      </c>
      <c r="HA62" s="11" t="n">
        <v>117878176</v>
      </c>
      <c r="HB62" s="11" t="n">
        <v>61193367</v>
      </c>
      <c r="HC62" s="11" t="n">
        <v>56817720</v>
      </c>
      <c r="HD62" s="11" t="n">
        <v>-694329</v>
      </c>
      <c r="HE62" s="11" t="n">
        <v>2055</v>
      </c>
      <c r="HF62" s="11" t="n">
        <v>165966</v>
      </c>
      <c r="HG62" s="11" t="n">
        <v>254577</v>
      </c>
      <c r="HH62" s="11" t="n">
        <v>268293</v>
      </c>
      <c r="HI62" s="11" t="n">
        <v>-1035382</v>
      </c>
      <c r="HJ62" s="11" t="n">
        <v>-110707520</v>
      </c>
      <c r="HK62" s="11" t="n">
        <v>-66927135</v>
      </c>
      <c r="HL62" s="11" t="n">
        <v>-63933672</v>
      </c>
      <c r="HM62" s="11" t="n">
        <v>80172</v>
      </c>
      <c r="HN62" s="11" t="n">
        <v>-181541</v>
      </c>
      <c r="HO62" s="11" t="n">
        <v>-210854</v>
      </c>
      <c r="HP62" s="11" t="n">
        <v>-24593470</v>
      </c>
      <c r="HQ62" s="11" t="n">
        <v>-27495952</v>
      </c>
      <c r="HR62" s="11" t="n">
        <v>-2419659</v>
      </c>
      <c r="HS62" s="11" t="n">
        <v>-51784179</v>
      </c>
      <c r="HT62" s="11" t="n">
        <v>-6651162</v>
      </c>
      <c r="HU62" s="11" t="n">
        <v>-122157672</v>
      </c>
      <c r="HV62" s="11" t="n">
        <v>-62678190</v>
      </c>
      <c r="HW62" s="11" t="n">
        <v>-56702253</v>
      </c>
      <c r="HX62" s="11" t="n">
        <v>304825406</v>
      </c>
      <c r="HY62" s="11" t="n">
        <v>-703016288</v>
      </c>
      <c r="HZ62" s="11" t="n">
        <v>-406319397</v>
      </c>
      <c r="IA62" s="11" t="n">
        <v>-461155128</v>
      </c>
      <c r="IB62" s="11" t="n">
        <v>-809371472</v>
      </c>
      <c r="IC62" s="11" t="n">
        <v>-421140226</v>
      </c>
      <c r="ID62" s="11" t="n">
        <v>-393006226</v>
      </c>
      <c r="IE62" s="11" t="n">
        <v>-107585816</v>
      </c>
      <c r="IF62" s="11" t="n">
        <v>-318070688</v>
      </c>
      <c r="IG62" s="11" t="n">
        <v>-113261301</v>
      </c>
      <c r="IH62" s="11" t="n">
        <v>-5852607</v>
      </c>
      <c r="II62" s="11" t="n">
        <v>-115716498</v>
      </c>
      <c r="IJ62" s="11" t="n">
        <v>-70241457</v>
      </c>
      <c r="IK62" s="11" t="n">
        <v>-65981316</v>
      </c>
      <c r="IL62" s="11" t="n">
        <v>-1056468</v>
      </c>
      <c r="IM62" s="11" t="n">
        <v>-1937976</v>
      </c>
      <c r="IN62" s="11" t="n">
        <v>-2066199</v>
      </c>
      <c r="IO62" s="11" t="n">
        <v>-25637796</v>
      </c>
      <c r="IP62" s="11" t="n">
        <v>-28942002</v>
      </c>
      <c r="IQ62" s="11" t="n">
        <v>-2949561</v>
      </c>
      <c r="IR62" s="11" t="n">
        <v>760614676</v>
      </c>
      <c r="IS62" s="11" t="n">
        <v>459395299</v>
      </c>
      <c r="IT62" s="11" t="n">
        <v>440515648</v>
      </c>
      <c r="IU62" s="11" t="n">
        <v>-45632290</v>
      </c>
      <c r="IV62" s="11" t="n">
        <v>134738384</v>
      </c>
      <c r="IW62" s="11" t="n">
        <v>107807436</v>
      </c>
      <c r="IX62" s="11" t="n">
        <v>-168936092</v>
      </c>
      <c r="IY62" s="11" t="n">
        <v>-189008180</v>
      </c>
      <c r="IZ62" s="11" t="n">
        <v>-16316379</v>
      </c>
      <c r="JA62" s="11" t="n">
        <v>41265378</v>
      </c>
      <c r="JB62" s="11" t="n">
        <v>469602</v>
      </c>
      <c r="JC62" s="11" t="n">
        <v>181620</v>
      </c>
      <c r="JD62" s="11" t="n">
        <v>1422048</v>
      </c>
      <c r="JE62" s="11" t="n">
        <v>2035347</v>
      </c>
      <c r="JF62" s="11" t="n">
        <v>2528697</v>
      </c>
      <c r="JG62" s="11" t="n">
        <v>-9575124</v>
      </c>
      <c r="JH62" s="11" t="n">
        <v>-11269824</v>
      </c>
      <c r="JI62" s="11" t="n">
        <v>-78679842</v>
      </c>
      <c r="JJ62" s="11" t="n">
        <v>-108925248</v>
      </c>
      <c r="JK62" s="11" t="n">
        <v>24636736</v>
      </c>
      <c r="JL62" s="11" t="n">
        <v>11070794</v>
      </c>
      <c r="JM62" s="11" t="n">
        <v>9432634</v>
      </c>
      <c r="JN62" s="11" t="n">
        <v>-189412544</v>
      </c>
      <c r="JO62" s="11" t="n">
        <v>-269161888</v>
      </c>
      <c r="JP62" s="11" t="n">
        <v>-48430791</v>
      </c>
      <c r="JQ62" s="11" t="n">
        <v>157410</v>
      </c>
      <c r="JR62" s="11" t="n">
        <v>1319676</v>
      </c>
      <c r="JS62" s="11" t="n">
        <v>1898733</v>
      </c>
      <c r="JT62" s="11" t="n">
        <v>2331051</v>
      </c>
      <c r="JU62" s="11" t="n">
        <v>33720</v>
      </c>
      <c r="JV62" s="11" t="n">
        <v>52095</v>
      </c>
      <c r="JW62" s="11" t="n">
        <v>53925</v>
      </c>
      <c r="JX62" s="11" t="n">
        <v>30006</v>
      </c>
      <c r="JY62" s="11" t="n">
        <v>-47262</v>
      </c>
      <c r="JZ62" s="11" t="n">
        <v>-121002</v>
      </c>
      <c r="KA62" s="11" t="n">
        <v>-23130392</v>
      </c>
      <c r="KB62" s="11" t="n">
        <v>-12341536</v>
      </c>
      <c r="KC62" s="11" t="n">
        <v>-11018222</v>
      </c>
      <c r="KD62" s="11" t="n">
        <v>175539100</v>
      </c>
      <c r="KE62" s="11" t="n">
        <v>250159712</v>
      </c>
      <c r="KF62" s="11" t="n">
        <v>49857621</v>
      </c>
      <c r="KG62" s="11" t="n">
        <v>5011252</v>
      </c>
      <c r="KH62" s="11" t="n">
        <v>5563636</v>
      </c>
      <c r="KI62" s="11" t="n">
        <v>581431</v>
      </c>
      <c r="KJ62" s="11" t="n">
        <v>11974622</v>
      </c>
      <c r="KK62" s="11" t="n">
        <v>7781544</v>
      </c>
      <c r="KL62" s="11" t="n">
        <v>20159952</v>
      </c>
      <c r="KM62" s="11" t="n">
        <v>94103517</v>
      </c>
      <c r="KN62" s="11" t="n">
        <v>129227793</v>
      </c>
      <c r="KO62" s="11" t="n">
        <v>-15767136</v>
      </c>
      <c r="KP62" s="11" t="n">
        <v>2668086</v>
      </c>
      <c r="KQ62" s="11" t="n">
        <v>8077446</v>
      </c>
      <c r="KR62" s="11" t="n">
        <v>197586936</v>
      </c>
      <c r="KS62" s="11" t="n">
        <v>282770760</v>
      </c>
      <c r="KT62" s="11" t="n">
        <v>53373111</v>
      </c>
      <c r="KU62" s="11" t="n">
        <v>-224312096</v>
      </c>
      <c r="KV62" s="11" t="n">
        <v>-614993530</v>
      </c>
      <c r="KW62" s="11" t="n">
        <v>-829991210</v>
      </c>
      <c r="KX62" s="11" t="n">
        <v>1119355888</v>
      </c>
      <c r="KY62" s="11" t="n">
        <v>1574851232</v>
      </c>
      <c r="KZ62" s="11" t="n">
        <v>175950255</v>
      </c>
      <c r="LA62" s="11" t="n">
        <v>1323024144</v>
      </c>
      <c r="LB62" s="11" t="n">
        <v>1914588304</v>
      </c>
      <c r="LC62" s="11" t="n">
        <v>353797280</v>
      </c>
      <c r="LD62" s="11" t="n">
        <v>-265431464</v>
      </c>
      <c r="LE62" s="11" t="n">
        <v>-15110112</v>
      </c>
      <c r="LF62" s="11" t="n">
        <v>80409</v>
      </c>
      <c r="LG62" s="11" t="n">
        <v>4690293</v>
      </c>
      <c r="LH62" s="11" t="n">
        <v>182937438</v>
      </c>
      <c r="LI62" s="11" t="n">
        <v>263084358</v>
      </c>
      <c r="LJ62" s="11" t="n">
        <v>55385151</v>
      </c>
      <c r="LK62" s="11" t="n">
        <v>5017932</v>
      </c>
      <c r="LL62" s="11" t="n">
        <v>6181116</v>
      </c>
      <c r="LM62" s="11" t="n">
        <v>1524711</v>
      </c>
      <c r="LN62" s="11" t="n">
        <v>12533454</v>
      </c>
      <c r="LO62" s="11" t="n">
        <v>-1196505196</v>
      </c>
      <c r="LP62" s="11" t="n">
        <v>-1746870492</v>
      </c>
      <c r="LQ62" s="11" t="n">
        <v>-362108225</v>
      </c>
      <c r="LR62" s="11" t="n">
        <v>316755494</v>
      </c>
      <c r="LS62" s="11" t="n">
        <v>90663784</v>
      </c>
    </row>
    <row r="63" customFormat="false" ht="15" hidden="false" customHeight="true" outlineLevel="0" collapsed="false">
      <c r="A63" s="7" t="s">
        <v>129</v>
      </c>
      <c r="B63" s="11" t="n">
        <v>-1493791</v>
      </c>
      <c r="C63" s="11" t="n">
        <v>-52254796</v>
      </c>
      <c r="D63" s="11" t="n">
        <v>-1662799</v>
      </c>
      <c r="E63" s="11" t="n">
        <v>-47510324</v>
      </c>
      <c r="F63" s="11" t="n">
        <v>-8516073</v>
      </c>
      <c r="G63" s="11" t="n">
        <v>32744120</v>
      </c>
      <c r="H63" s="11" t="n">
        <v>78372148</v>
      </c>
      <c r="I63" s="11" t="n">
        <v>59329285</v>
      </c>
      <c r="J63" s="11" t="n">
        <v>-12085099</v>
      </c>
      <c r="K63" s="11" t="n">
        <v>5733</v>
      </c>
      <c r="L63" s="11" t="n">
        <v>-2874950</v>
      </c>
      <c r="M63" s="11" t="n">
        <v>519220</v>
      </c>
      <c r="N63" s="11" t="n">
        <v>-5902442</v>
      </c>
      <c r="O63" s="11" t="n">
        <v>-1165450</v>
      </c>
      <c r="P63" s="11" t="n">
        <v>1844258</v>
      </c>
      <c r="Q63" s="11" t="n">
        <v>13652959</v>
      </c>
      <c r="R63" s="11" t="n">
        <v>283799436</v>
      </c>
      <c r="S63" s="11" t="n">
        <v>87059917</v>
      </c>
      <c r="T63" s="11" t="n">
        <v>-471382432</v>
      </c>
      <c r="U63" s="11" t="n">
        <v>-674816972</v>
      </c>
      <c r="V63" s="11" t="n">
        <v>-415472417</v>
      </c>
      <c r="W63" s="11" t="n">
        <v>-3382562</v>
      </c>
      <c r="X63" s="11" t="n">
        <v>545281</v>
      </c>
      <c r="Y63" s="11" t="n">
        <v>-6444578</v>
      </c>
      <c r="Z63" s="11" t="n">
        <v>-996526</v>
      </c>
      <c r="AA63" s="11" t="n">
        <v>2280617</v>
      </c>
      <c r="AB63" s="11" t="n">
        <v>32903930</v>
      </c>
      <c r="AC63" s="11" t="n">
        <v>-250747688</v>
      </c>
      <c r="AD63" s="11" t="n">
        <v>-187902400</v>
      </c>
      <c r="AE63" s="11" t="n">
        <v>-55528138</v>
      </c>
      <c r="AF63" s="11" t="n">
        <v>-22268326</v>
      </c>
      <c r="AG63" s="11" t="n">
        <v>20596810</v>
      </c>
      <c r="AH63" s="11" t="n">
        <v>31136074</v>
      </c>
      <c r="AI63" s="11" t="n">
        <v>-284126376</v>
      </c>
      <c r="AJ63" s="11" t="n">
        <v>-274855230</v>
      </c>
      <c r="AK63" s="11" t="n">
        <v>-143047974</v>
      </c>
      <c r="AL63" s="11" t="n">
        <v>11938325</v>
      </c>
      <c r="AM63" s="11" t="n">
        <v>41244</v>
      </c>
      <c r="AN63" s="11" t="n">
        <v>10216249</v>
      </c>
      <c r="AO63" s="11" t="n">
        <v>-494331</v>
      </c>
      <c r="AP63" s="11" t="n">
        <v>-17719682</v>
      </c>
      <c r="AQ63" s="11" t="n">
        <v>-31699587</v>
      </c>
      <c r="AR63" s="11" t="n">
        <v>-21899165</v>
      </c>
      <c r="AS63" s="11" t="n">
        <v>-11846261</v>
      </c>
      <c r="AT63" s="11" t="n">
        <v>-22322856</v>
      </c>
      <c r="AU63" s="11" t="n">
        <v>-85352511</v>
      </c>
      <c r="AV63" s="11" t="n">
        <v>-358168192</v>
      </c>
      <c r="AW63" s="11" t="n">
        <v>-482546272</v>
      </c>
      <c r="AX63" s="11" t="n">
        <v>-291904365</v>
      </c>
      <c r="AY63" s="11" t="n">
        <v>10060345</v>
      </c>
      <c r="AZ63" s="11" t="n">
        <v>-785391</v>
      </c>
      <c r="BA63" s="11" t="n">
        <v>-18820418</v>
      </c>
      <c r="BB63" s="11" t="n">
        <v>-33122211</v>
      </c>
      <c r="BC63" s="11" t="n">
        <v>-22738745</v>
      </c>
      <c r="BD63" s="11" t="n">
        <v>-73964931</v>
      </c>
      <c r="BE63" s="11" t="n">
        <v>-339636368</v>
      </c>
      <c r="BF63" s="11" t="n">
        <v>-472213496</v>
      </c>
      <c r="BG63" s="11" t="n">
        <v>-290745945</v>
      </c>
      <c r="BH63" s="11" t="n">
        <v>-111855366</v>
      </c>
      <c r="BI63" s="11" t="n">
        <v>-206653929</v>
      </c>
      <c r="BJ63" s="11" t="n">
        <v>-144480180</v>
      </c>
      <c r="BK63" s="11" t="n">
        <v>-234808256</v>
      </c>
      <c r="BL63" s="11" t="n">
        <v>-223744270</v>
      </c>
      <c r="BM63" s="11" t="n">
        <v>-110075125</v>
      </c>
      <c r="BN63" s="11" t="n">
        <v>379491</v>
      </c>
      <c r="BO63" s="11" t="n">
        <v>59675211</v>
      </c>
      <c r="BP63" s="11" t="n">
        <v>150341</v>
      </c>
      <c r="BQ63" s="11" t="n">
        <v>-190528248</v>
      </c>
      <c r="BR63" s="11" t="n">
        <v>-265770893</v>
      </c>
      <c r="BS63" s="11" t="n">
        <v>-162429835</v>
      </c>
      <c r="BT63" s="11" t="n">
        <v>-118587</v>
      </c>
      <c r="BU63" s="11" t="n">
        <v>16233</v>
      </c>
      <c r="BV63" s="11" t="n">
        <v>-94962</v>
      </c>
      <c r="BW63" s="11" t="n">
        <v>89481</v>
      </c>
      <c r="BX63" s="11" t="n">
        <v>134967</v>
      </c>
      <c r="BY63" s="11" t="n">
        <v>2599630</v>
      </c>
      <c r="BZ63" s="11" t="n">
        <v>-74470938</v>
      </c>
      <c r="CA63" s="11" t="n">
        <v>-68979700</v>
      </c>
      <c r="CB63" s="11" t="n">
        <v>-29533988</v>
      </c>
      <c r="CC63" s="11" t="n">
        <v>8112362</v>
      </c>
      <c r="CD63" s="11" t="n">
        <v>11403990</v>
      </c>
      <c r="CE63" s="11" t="n">
        <v>7001522</v>
      </c>
      <c r="CF63" s="11" t="n">
        <v>-111430294</v>
      </c>
      <c r="CG63" s="11" t="n">
        <v>-108407546</v>
      </c>
      <c r="CH63" s="11" t="n">
        <v>-56222456</v>
      </c>
      <c r="CI63" s="11" t="n">
        <v>-58505427</v>
      </c>
      <c r="CJ63" s="11" t="n">
        <v>2563972</v>
      </c>
      <c r="CK63" s="11" t="n">
        <v>200444280</v>
      </c>
      <c r="CL63" s="11" t="n">
        <v>279060365</v>
      </c>
      <c r="CM63" s="11" t="n">
        <v>170456182</v>
      </c>
      <c r="CN63" s="11" t="n">
        <v>426364089</v>
      </c>
      <c r="CO63" s="11" t="n">
        <v>2146607424</v>
      </c>
      <c r="CP63" s="11" t="n">
        <v>2909019144</v>
      </c>
      <c r="CQ63" s="11" t="n">
        <v>1762839627</v>
      </c>
      <c r="CR63" s="11" t="n">
        <v>1366683496</v>
      </c>
      <c r="CS63" s="11" t="n">
        <v>1906193671</v>
      </c>
      <c r="CT63" s="11" t="n">
        <v>1164960702</v>
      </c>
      <c r="CU63" s="11" t="n">
        <v>272398720</v>
      </c>
      <c r="CV63" s="11" t="n">
        <v>214533704</v>
      </c>
      <c r="CW63" s="11" t="n">
        <v>67030139</v>
      </c>
      <c r="CX63" s="11" t="n">
        <v>1701397</v>
      </c>
      <c r="CY63" s="11" t="n">
        <v>-77276874</v>
      </c>
      <c r="CZ63" s="11" t="n">
        <v>-73408348</v>
      </c>
      <c r="DA63" s="11" t="n">
        <v>-32458175</v>
      </c>
      <c r="DB63" s="11" t="n">
        <v>9215744</v>
      </c>
      <c r="DC63" s="11" t="n">
        <v>11332443</v>
      </c>
      <c r="DD63" s="11" t="n">
        <v>6379502</v>
      </c>
      <c r="DE63" s="11" t="n">
        <v>-117093910</v>
      </c>
      <c r="DF63" s="11" t="n">
        <v>-113942684</v>
      </c>
      <c r="DG63" s="11" t="n">
        <v>-59056343</v>
      </c>
      <c r="DH63" s="11" t="n">
        <v>625588382</v>
      </c>
      <c r="DI63" s="11" t="n">
        <v>619567820</v>
      </c>
      <c r="DJ63" s="11" t="n">
        <v>287807322</v>
      </c>
      <c r="DK63" s="11" t="n">
        <v>-1148970352</v>
      </c>
      <c r="DL63" s="11" t="n">
        <v>-1137531674</v>
      </c>
      <c r="DM63" s="11" t="n">
        <v>-597990548</v>
      </c>
      <c r="DN63" s="11" t="n">
        <v>-810902018</v>
      </c>
      <c r="DO63" s="11" t="n">
        <v>-786755668</v>
      </c>
      <c r="DP63" s="11" t="n">
        <v>-406121602</v>
      </c>
      <c r="DQ63" s="11" t="n">
        <v>-29520678</v>
      </c>
      <c r="DR63" s="11" t="n">
        <v>-130223</v>
      </c>
      <c r="DS63" s="11" t="n">
        <v>186</v>
      </c>
      <c r="DT63" s="11" t="n">
        <v>-582606</v>
      </c>
      <c r="DU63" s="11" t="n">
        <v>10592</v>
      </c>
      <c r="DV63" s="11" t="n">
        <v>-268102</v>
      </c>
      <c r="DW63" s="11" t="n">
        <v>-24523</v>
      </c>
      <c r="DX63" s="11" t="n">
        <v>61398</v>
      </c>
      <c r="DY63" s="11" t="n">
        <v>151463</v>
      </c>
      <c r="DZ63" s="11" t="n">
        <v>-16238564</v>
      </c>
      <c r="EA63" s="11" t="n">
        <v>1112921</v>
      </c>
      <c r="EB63" s="11" t="n">
        <v>-12233072</v>
      </c>
      <c r="EC63" s="11" t="n">
        <v>-7690032</v>
      </c>
      <c r="ED63" s="11" t="n">
        <v>-3024317</v>
      </c>
      <c r="EE63" s="11" t="n">
        <v>-654438</v>
      </c>
      <c r="EF63" s="11" t="n">
        <v>10730</v>
      </c>
      <c r="EG63" s="11" t="n">
        <v>-294358</v>
      </c>
      <c r="EH63" s="11" t="n">
        <v>-17539</v>
      </c>
      <c r="EI63" s="11" t="n">
        <v>75732</v>
      </c>
      <c r="EJ63" s="11" t="n">
        <v>3658306</v>
      </c>
      <c r="EK63" s="11" t="n">
        <v>-21297848</v>
      </c>
      <c r="EL63" s="11" t="n">
        <v>-31346540</v>
      </c>
      <c r="EM63" s="11" t="n">
        <v>-21186738</v>
      </c>
      <c r="EN63" s="11" t="n">
        <v>-1296266</v>
      </c>
      <c r="EO63" s="11" t="n">
        <v>415907</v>
      </c>
      <c r="EP63" s="11" t="n">
        <v>770714</v>
      </c>
      <c r="EQ63" s="11" t="n">
        <v>-13528496</v>
      </c>
      <c r="ER63" s="11" t="n">
        <v>-11994130</v>
      </c>
      <c r="ES63" s="11" t="n">
        <v>-4195249</v>
      </c>
      <c r="ET63" s="11" t="n">
        <v>1005</v>
      </c>
      <c r="EU63" s="11" t="n">
        <v>-4462784</v>
      </c>
      <c r="EV63" s="11" t="n">
        <v>40428</v>
      </c>
      <c r="EW63" s="11" t="n">
        <v>-1654452</v>
      </c>
      <c r="EX63" s="11" t="n">
        <v>-96797</v>
      </c>
      <c r="EY63" s="11" t="n">
        <v>335948</v>
      </c>
      <c r="EZ63" s="11" t="n">
        <v>1878</v>
      </c>
      <c r="FA63" s="11" t="n">
        <v>24</v>
      </c>
      <c r="FB63" s="11" t="n">
        <v>294</v>
      </c>
      <c r="FC63" s="11" t="n">
        <v>-51</v>
      </c>
      <c r="FD63" s="11" t="n">
        <v>-6</v>
      </c>
      <c r="FE63" s="11" t="n">
        <v>-182120</v>
      </c>
      <c r="FF63" s="11" t="n">
        <v>1786072</v>
      </c>
      <c r="FG63" s="11" t="n">
        <v>407350</v>
      </c>
      <c r="FH63" s="11" t="n">
        <v>-601128</v>
      </c>
      <c r="FI63" s="11" t="n">
        <v>51336</v>
      </c>
      <c r="FJ63" s="11" t="n">
        <v>260</v>
      </c>
      <c r="FK63" s="11" t="n">
        <v>-8264</v>
      </c>
      <c r="FL63" s="11" t="n">
        <v>112274</v>
      </c>
      <c r="FM63" s="11" t="n">
        <v>-88400</v>
      </c>
      <c r="FN63" s="11" t="n">
        <v>17626</v>
      </c>
      <c r="FO63" s="11" t="n">
        <v>5065364</v>
      </c>
      <c r="FP63" s="11" t="n">
        <v>-38433</v>
      </c>
      <c r="FQ63" s="11" t="n">
        <v>1829892</v>
      </c>
      <c r="FR63" s="11" t="n">
        <v>53237</v>
      </c>
      <c r="FS63" s="11" t="n">
        <v>-414083</v>
      </c>
      <c r="FT63" s="11" t="n">
        <v>-33098864</v>
      </c>
      <c r="FU63" s="11" t="n">
        <v>212924240</v>
      </c>
      <c r="FV63" s="11" t="n">
        <v>251469460</v>
      </c>
      <c r="FW63" s="11" t="n">
        <v>145536400</v>
      </c>
      <c r="FX63" s="11" t="n">
        <v>10341612</v>
      </c>
      <c r="FY63" s="11" t="n">
        <v>-1560133</v>
      </c>
      <c r="FZ63" s="11" t="n">
        <v>-3810008</v>
      </c>
      <c r="GA63" s="11" t="n">
        <v>88606960</v>
      </c>
      <c r="GB63" s="11" t="n">
        <v>69981980</v>
      </c>
      <c r="GC63" s="11" t="n">
        <v>22086695</v>
      </c>
      <c r="GD63" s="11" t="n">
        <v>-192782</v>
      </c>
      <c r="GE63" s="11" t="n">
        <v>1937632</v>
      </c>
      <c r="GF63" s="11" t="n">
        <v>356530</v>
      </c>
      <c r="GG63" s="11" t="n">
        <v>-743538</v>
      </c>
      <c r="GH63" s="11" t="n">
        <v>54942</v>
      </c>
      <c r="GI63" s="11" t="n">
        <v>-679</v>
      </c>
      <c r="GJ63" s="11" t="n">
        <v>-10118</v>
      </c>
      <c r="GK63" s="11" t="n">
        <v>108434</v>
      </c>
      <c r="GL63" s="11" t="n">
        <v>-110210</v>
      </c>
      <c r="GM63" s="11" t="n">
        <v>21331</v>
      </c>
      <c r="GN63" s="11" t="n">
        <v>-4557512</v>
      </c>
      <c r="GO63" s="11" t="n">
        <v>7240950</v>
      </c>
      <c r="GP63" s="11" t="n">
        <v>10397488</v>
      </c>
      <c r="GQ63" s="11" t="n">
        <v>-81206680</v>
      </c>
      <c r="GR63" s="11" t="n">
        <v>-86926280</v>
      </c>
      <c r="GS63" s="11" t="n">
        <v>-47156570</v>
      </c>
      <c r="GT63" s="11" t="n">
        <v>-2047586</v>
      </c>
      <c r="GU63" s="11" t="n">
        <v>-2724040</v>
      </c>
      <c r="GV63" s="11" t="n">
        <v>-343414</v>
      </c>
      <c r="GW63" s="11" t="n">
        <v>-9483510</v>
      </c>
      <c r="GX63" s="11" t="n">
        <v>-5082</v>
      </c>
      <c r="GY63" s="11" t="n">
        <v>3765553</v>
      </c>
      <c r="GZ63" s="11" t="n">
        <v>-41557</v>
      </c>
      <c r="HA63" s="11" t="n">
        <v>3687396</v>
      </c>
      <c r="HB63" s="11" t="n">
        <v>2959436</v>
      </c>
      <c r="HC63" s="11" t="n">
        <v>1418395</v>
      </c>
      <c r="HD63" s="11" t="n">
        <v>17358</v>
      </c>
      <c r="HE63" s="11" t="n">
        <v>-354</v>
      </c>
      <c r="HF63" s="11" t="n">
        <v>5196</v>
      </c>
      <c r="HG63" s="11" t="n">
        <v>-3270</v>
      </c>
      <c r="HH63" s="11" t="n">
        <v>-4422</v>
      </c>
      <c r="HI63" s="11" t="n">
        <v>120358</v>
      </c>
      <c r="HJ63" s="11" t="n">
        <v>8744590</v>
      </c>
      <c r="HK63" s="11" t="n">
        <v>12531139</v>
      </c>
      <c r="HL63" s="11" t="n">
        <v>8121168</v>
      </c>
      <c r="HM63" s="11" t="n">
        <v>-214366</v>
      </c>
      <c r="HN63" s="11" t="n">
        <v>-232887</v>
      </c>
      <c r="HO63" s="11" t="n">
        <v>-134962</v>
      </c>
      <c r="HP63" s="11" t="n">
        <v>5398468</v>
      </c>
      <c r="HQ63" s="11" t="n">
        <v>4658726</v>
      </c>
      <c r="HR63" s="11" t="n">
        <v>1662431</v>
      </c>
      <c r="HS63" s="11" t="n">
        <v>-3746017</v>
      </c>
      <c r="HT63" s="11" t="n">
        <v>4903</v>
      </c>
      <c r="HU63" s="11" t="n">
        <v>-3811428</v>
      </c>
      <c r="HV63" s="11" t="n">
        <v>-3142028</v>
      </c>
      <c r="HW63" s="11" t="n">
        <v>-1531717</v>
      </c>
      <c r="HX63" s="11" t="n">
        <v>26999355</v>
      </c>
      <c r="HY63" s="11" t="n">
        <v>106077536</v>
      </c>
      <c r="HZ63" s="11" t="n">
        <v>146669696</v>
      </c>
      <c r="IA63" s="11" t="n">
        <v>89419473</v>
      </c>
      <c r="IB63" s="11" t="n">
        <v>-27609644</v>
      </c>
      <c r="IC63" s="11" t="n">
        <v>-22838084</v>
      </c>
      <c r="ID63" s="11" t="n">
        <v>-11156862</v>
      </c>
      <c r="IE63" s="11" t="n">
        <v>60256640</v>
      </c>
      <c r="IF63" s="11" t="n">
        <v>47606596</v>
      </c>
      <c r="IG63" s="11" t="n">
        <v>15029836</v>
      </c>
      <c r="IH63" s="11" t="n">
        <v>244192</v>
      </c>
      <c r="II63" s="11" t="n">
        <v>9188206</v>
      </c>
      <c r="IJ63" s="11" t="n">
        <v>13142227</v>
      </c>
      <c r="IK63" s="11" t="n">
        <v>8491230</v>
      </c>
      <c r="IL63" s="11" t="n">
        <v>-260482</v>
      </c>
      <c r="IM63" s="11" t="n">
        <v>-222021</v>
      </c>
      <c r="IN63" s="11" t="n">
        <v>-110962</v>
      </c>
      <c r="IO63" s="11" t="n">
        <v>5664964</v>
      </c>
      <c r="IP63" s="11" t="n">
        <v>4882514</v>
      </c>
      <c r="IQ63" s="11" t="n">
        <v>1748393</v>
      </c>
      <c r="IR63" s="11" t="n">
        <v>-59308954</v>
      </c>
      <c r="IS63" s="11" t="n">
        <v>-85161409</v>
      </c>
      <c r="IT63" s="11" t="n">
        <v>-55371402</v>
      </c>
      <c r="IU63" s="11" t="n">
        <v>-12403488</v>
      </c>
      <c r="IV63" s="11" t="n">
        <v>-21122226</v>
      </c>
      <c r="IW63" s="11" t="n">
        <v>-18749277</v>
      </c>
      <c r="IX63" s="11" t="n">
        <v>36918412</v>
      </c>
      <c r="IY63" s="11" t="n">
        <v>32114948</v>
      </c>
      <c r="IZ63" s="11" t="n">
        <v>11646302</v>
      </c>
      <c r="JA63" s="11" t="n">
        <v>-6431772</v>
      </c>
      <c r="JB63" s="11" t="n">
        <v>145101</v>
      </c>
      <c r="JC63" s="11" t="n">
        <v>-1257</v>
      </c>
      <c r="JD63" s="11" t="n">
        <v>36108</v>
      </c>
      <c r="JE63" s="11" t="n">
        <v>-19062</v>
      </c>
      <c r="JF63" s="11" t="n">
        <v>-24057</v>
      </c>
      <c r="JG63" s="11" t="n">
        <v>-255148</v>
      </c>
      <c r="JH63" s="11" t="n">
        <v>78527796</v>
      </c>
      <c r="JI63" s="11" t="n">
        <v>98621821</v>
      </c>
      <c r="JJ63" s="11" t="n">
        <v>58323188</v>
      </c>
      <c r="JK63" s="11" t="n">
        <v>-616788</v>
      </c>
      <c r="JL63" s="11" t="n">
        <v>-887873</v>
      </c>
      <c r="JM63" s="11" t="n">
        <v>-547552</v>
      </c>
      <c r="JN63" s="11" t="n">
        <v>34858020</v>
      </c>
      <c r="JO63" s="11" t="n">
        <v>27533076</v>
      </c>
      <c r="JP63" s="11" t="n">
        <v>8689041</v>
      </c>
      <c r="JQ63" s="11" t="n">
        <v>-5814</v>
      </c>
      <c r="JR63" s="11" t="n">
        <v>25026</v>
      </c>
      <c r="JS63" s="11" t="n">
        <v>-28257</v>
      </c>
      <c r="JT63" s="11" t="n">
        <v>-44088</v>
      </c>
      <c r="JU63" s="11" t="n">
        <v>1230</v>
      </c>
      <c r="JV63" s="11" t="n">
        <v>-519</v>
      </c>
      <c r="JW63" s="11" t="n">
        <v>-582</v>
      </c>
      <c r="JX63" s="11" t="n">
        <v>-3744</v>
      </c>
      <c r="JY63" s="11" t="n">
        <v>-6822</v>
      </c>
      <c r="JZ63" s="11" t="n">
        <v>1107</v>
      </c>
      <c r="KA63" s="11" t="n">
        <v>3102496</v>
      </c>
      <c r="KB63" s="11" t="n">
        <v>4001330</v>
      </c>
      <c r="KC63" s="11" t="n">
        <v>2414456</v>
      </c>
      <c r="KD63" s="11" t="n">
        <v>-32302118</v>
      </c>
      <c r="KE63" s="11" t="n">
        <v>-33919336</v>
      </c>
      <c r="KF63" s="11" t="n">
        <v>-18607732</v>
      </c>
      <c r="KG63" s="11" t="n">
        <v>-1123466</v>
      </c>
      <c r="KH63" s="11" t="n">
        <v>-821368</v>
      </c>
      <c r="KI63" s="11" t="n">
        <v>-185014</v>
      </c>
      <c r="KJ63" s="11" t="n">
        <v>-3730962</v>
      </c>
      <c r="KK63" s="11" t="n">
        <v>-786563</v>
      </c>
      <c r="KL63" s="11" t="n">
        <v>-82207956</v>
      </c>
      <c r="KM63" s="11" t="n">
        <v>-103761901</v>
      </c>
      <c r="KN63" s="11" t="n">
        <v>-61466273</v>
      </c>
      <c r="KO63" s="11" t="n">
        <v>907896</v>
      </c>
      <c r="KP63" s="11" t="n">
        <v>795551</v>
      </c>
      <c r="KQ63" s="11" t="n">
        <v>402070</v>
      </c>
      <c r="KR63" s="11" t="n">
        <v>-36620580</v>
      </c>
      <c r="KS63" s="11" t="n">
        <v>-28925376</v>
      </c>
      <c r="KT63" s="11" t="n">
        <v>-9128331</v>
      </c>
      <c r="KU63" s="11" t="n">
        <v>570239036</v>
      </c>
      <c r="KV63" s="11" t="n">
        <v>717065471</v>
      </c>
      <c r="KW63" s="11" t="n">
        <v>424241448</v>
      </c>
      <c r="KX63" s="11" t="n">
        <v>-280460320</v>
      </c>
      <c r="KY63" s="11" t="n">
        <v>-221782580</v>
      </c>
      <c r="KZ63" s="11" t="n">
        <v>-70233245</v>
      </c>
      <c r="LA63" s="11" t="n">
        <v>-250922860</v>
      </c>
      <c r="LB63" s="11" t="n">
        <v>-198192776</v>
      </c>
      <c r="LC63" s="11" t="n">
        <v>-62544506</v>
      </c>
      <c r="LD63" s="11" t="n">
        <v>-114180</v>
      </c>
      <c r="LE63" s="11" t="n">
        <v>3429622</v>
      </c>
      <c r="LF63" s="11" t="n">
        <v>4004423</v>
      </c>
      <c r="LG63" s="11" t="n">
        <v>2223878</v>
      </c>
      <c r="LH63" s="11" t="n">
        <v>-33905318</v>
      </c>
      <c r="LI63" s="11" t="n">
        <v>-35579626</v>
      </c>
      <c r="LJ63" s="11" t="n">
        <v>-19557427</v>
      </c>
      <c r="LK63" s="11" t="n">
        <v>-1153322</v>
      </c>
      <c r="LL63" s="11" t="n">
        <v>-813796</v>
      </c>
      <c r="LM63" s="11" t="n">
        <v>-202336</v>
      </c>
      <c r="LN63" s="11" t="n">
        <v>-3919602</v>
      </c>
      <c r="LO63" s="11" t="n">
        <v>223485218</v>
      </c>
      <c r="LP63" s="11" t="n">
        <v>237547096</v>
      </c>
      <c r="LQ63" s="11" t="n">
        <v>132444682</v>
      </c>
      <c r="LR63" s="11" t="n">
        <v>-29912730</v>
      </c>
      <c r="LS63" s="11" t="n">
        <v>-26853372</v>
      </c>
    </row>
    <row r="64" customFormat="false" ht="15" hidden="false" customHeight="true" outlineLevel="0" collapsed="false">
      <c r="A64" s="7" t="s">
        <v>130</v>
      </c>
      <c r="B64" s="11" t="n">
        <v>-2318351</v>
      </c>
      <c r="C64" s="11" t="n">
        <v>-148789025</v>
      </c>
      <c r="D64" s="11" t="n">
        <v>-2551808</v>
      </c>
      <c r="E64" s="11" t="n">
        <v>-42546805</v>
      </c>
      <c r="F64" s="11" t="n">
        <v>-9364789</v>
      </c>
      <c r="G64" s="11" t="n">
        <v>-1741320</v>
      </c>
      <c r="H64" s="11" t="n">
        <v>120745765</v>
      </c>
      <c r="I64" s="11" t="n">
        <v>68065837</v>
      </c>
      <c r="J64" s="11" t="n">
        <v>-8040920</v>
      </c>
      <c r="K64" s="11" t="n">
        <v>4332</v>
      </c>
      <c r="L64" s="11" t="n">
        <v>-9398959</v>
      </c>
      <c r="M64" s="11" t="n">
        <v>196056</v>
      </c>
      <c r="N64" s="11" t="n">
        <v>-840522</v>
      </c>
      <c r="O64" s="11" t="n">
        <v>-1668337</v>
      </c>
      <c r="P64" s="11" t="n">
        <v>6663386</v>
      </c>
      <c r="Q64" s="11" t="n">
        <v>9128660</v>
      </c>
      <c r="R64" s="11" t="n">
        <v>-455645625</v>
      </c>
      <c r="S64" s="11" t="n">
        <v>45063280</v>
      </c>
      <c r="T64" s="11" t="n">
        <v>-47904150</v>
      </c>
      <c r="U64" s="11" t="n">
        <v>-525863975</v>
      </c>
      <c r="V64" s="11" t="n">
        <v>191570110</v>
      </c>
      <c r="W64" s="11" t="n">
        <v>-10424932</v>
      </c>
      <c r="X64" s="11" t="n">
        <v>198300</v>
      </c>
      <c r="Y64" s="11" t="n">
        <v>-928416</v>
      </c>
      <c r="Z64" s="11" t="n">
        <v>-1610716</v>
      </c>
      <c r="AA64" s="11" t="n">
        <v>7461572</v>
      </c>
      <c r="AB64" s="11" t="n">
        <v>41564381</v>
      </c>
      <c r="AC64" s="11" t="n">
        <v>-8365830</v>
      </c>
      <c r="AD64" s="11" t="n">
        <v>-520139920</v>
      </c>
      <c r="AE64" s="11" t="n">
        <v>-153661903</v>
      </c>
      <c r="AF64" s="11" t="n">
        <v>-3542478</v>
      </c>
      <c r="AG64" s="11" t="n">
        <v>3471997</v>
      </c>
      <c r="AH64" s="11" t="n">
        <v>32672326</v>
      </c>
      <c r="AI64" s="11" t="n">
        <v>-45029670</v>
      </c>
      <c r="AJ64" s="11" t="n">
        <v>-19672494</v>
      </c>
      <c r="AK64" s="11" t="n">
        <v>-396028209</v>
      </c>
      <c r="AL64" s="11" t="n">
        <v>52399819</v>
      </c>
      <c r="AM64" s="11" t="n">
        <v>49578</v>
      </c>
      <c r="AN64" s="11" t="n">
        <v>248855</v>
      </c>
      <c r="AO64" s="11" t="n">
        <v>-2694755</v>
      </c>
      <c r="AP64" s="11" t="n">
        <v>-1200162</v>
      </c>
      <c r="AQ64" s="11" t="n">
        <v>-48753569</v>
      </c>
      <c r="AR64" s="11" t="n">
        <v>-21971517</v>
      </c>
      <c r="AS64" s="11" t="n">
        <v>-54494602</v>
      </c>
      <c r="AT64" s="11" t="n">
        <v>-945679920</v>
      </c>
      <c r="AU64" s="11" t="n">
        <v>-384610966</v>
      </c>
      <c r="AV64" s="11" t="n">
        <v>-116382630</v>
      </c>
      <c r="AW64" s="11" t="n">
        <v>-399827190</v>
      </c>
      <c r="AX64" s="11" t="n">
        <v>128331278</v>
      </c>
      <c r="AY64" s="11" t="n">
        <v>-635950</v>
      </c>
      <c r="AZ64" s="11" t="n">
        <v>-3166382</v>
      </c>
      <c r="BA64" s="11" t="n">
        <v>-1358256</v>
      </c>
      <c r="BB64" s="11" t="n">
        <v>-51080882</v>
      </c>
      <c r="BC64" s="11" t="n">
        <v>-22728450</v>
      </c>
      <c r="BD64" s="11" t="n">
        <v>-50459870</v>
      </c>
      <c r="BE64" s="11" t="n">
        <v>-22212510</v>
      </c>
      <c r="BF64" s="11" t="n">
        <v>-881773470</v>
      </c>
      <c r="BG64" s="11" t="n">
        <v>-395919050</v>
      </c>
      <c r="BH64" s="11" t="n">
        <v>-2823918</v>
      </c>
      <c r="BI64" s="11" t="n">
        <v>-337285916</v>
      </c>
      <c r="BJ64" s="11" t="n">
        <v>-167869048</v>
      </c>
      <c r="BK64" s="11" t="n">
        <v>-99126510</v>
      </c>
      <c r="BL64" s="11" t="n">
        <v>-51739134</v>
      </c>
      <c r="BM64" s="11" t="n">
        <v>-287050948</v>
      </c>
      <c r="BN64" s="11" t="n">
        <v>269868</v>
      </c>
      <c r="BO64" s="11" t="n">
        <v>-211573971</v>
      </c>
      <c r="BP64" s="11" t="n">
        <v>-4915136</v>
      </c>
      <c r="BQ64" s="11" t="n">
        <v>-23160258</v>
      </c>
      <c r="BR64" s="11" t="n">
        <v>-206803933</v>
      </c>
      <c r="BS64" s="11" t="n">
        <v>74401594</v>
      </c>
      <c r="BT64" s="11" t="n">
        <v>-201462</v>
      </c>
      <c r="BU64" s="11" t="n">
        <v>9228</v>
      </c>
      <c r="BV64" s="11" t="n">
        <v>-15732</v>
      </c>
      <c r="BW64" s="11" t="n">
        <v>55422</v>
      </c>
      <c r="BX64" s="11" t="n">
        <v>183552</v>
      </c>
      <c r="BY64" s="11" t="n">
        <v>-10903915</v>
      </c>
      <c r="BZ64" s="11" t="n">
        <v>-4955868</v>
      </c>
      <c r="CA64" s="11" t="n">
        <v>-197833706</v>
      </c>
      <c r="CB64" s="11" t="n">
        <v>-88360723</v>
      </c>
      <c r="CC64" s="11" t="n">
        <v>1078482</v>
      </c>
      <c r="CD64" s="11" t="n">
        <v>6062149</v>
      </c>
      <c r="CE64" s="11" t="n">
        <v>-5887178</v>
      </c>
      <c r="CF64" s="11" t="n">
        <v>-16812024</v>
      </c>
      <c r="CG64" s="11" t="n">
        <v>-11415306</v>
      </c>
      <c r="CH64" s="11" t="n">
        <v>-155938313</v>
      </c>
      <c r="CI64" s="11" t="n">
        <v>224902458</v>
      </c>
      <c r="CJ64" s="11" t="n">
        <v>7092440</v>
      </c>
      <c r="CK64" s="11" t="n">
        <v>24685524</v>
      </c>
      <c r="CL64" s="11" t="n">
        <v>217130494</v>
      </c>
      <c r="CM64" s="11" t="n">
        <v>-78036868</v>
      </c>
      <c r="CN64" s="11" t="n">
        <v>-1464232614</v>
      </c>
      <c r="CO64" s="11" t="n">
        <v>-51934230</v>
      </c>
      <c r="CP64" s="11" t="n">
        <v>2117894730</v>
      </c>
      <c r="CQ64" s="11" t="n">
        <v>-824593218</v>
      </c>
      <c r="CR64" s="11" t="n">
        <v>159077892</v>
      </c>
      <c r="CS64" s="11" t="n">
        <v>1480422202</v>
      </c>
      <c r="CT64" s="11" t="n">
        <v>-534064884</v>
      </c>
      <c r="CU64" s="11" t="n">
        <v>282601830</v>
      </c>
      <c r="CV64" s="11" t="n">
        <v>-108528384</v>
      </c>
      <c r="CW64" s="11" t="n">
        <v>-61228594</v>
      </c>
      <c r="CX64" s="11" t="n">
        <v>-12985078</v>
      </c>
      <c r="CY64" s="11" t="n">
        <v>-5317524</v>
      </c>
      <c r="CZ64" s="11" t="n">
        <v>-208279928</v>
      </c>
      <c r="DA64" s="11" t="n">
        <v>-94712350</v>
      </c>
      <c r="DB64" s="11" t="n">
        <v>1257564</v>
      </c>
      <c r="DC64" s="11" t="n">
        <v>5968114</v>
      </c>
      <c r="DD64" s="11" t="n">
        <v>-7492388</v>
      </c>
      <c r="DE64" s="11" t="n">
        <v>-17727252</v>
      </c>
      <c r="DF64" s="11" t="n">
        <v>-12240804</v>
      </c>
      <c r="DG64" s="11" t="n">
        <v>-163708538</v>
      </c>
      <c r="DH64" s="11" t="n">
        <v>31621362</v>
      </c>
      <c r="DI64" s="11" t="n">
        <v>1478291054</v>
      </c>
      <c r="DJ64" s="11" t="n">
        <v>569017812</v>
      </c>
      <c r="DK64" s="11" t="n">
        <v>98170620</v>
      </c>
      <c r="DL64" s="11" t="n">
        <v>2374446</v>
      </c>
      <c r="DM64" s="11" t="n">
        <v>-1655548838</v>
      </c>
      <c r="DN64" s="11" t="n">
        <v>-128634246</v>
      </c>
      <c r="DO64" s="11" t="n">
        <v>-73353108</v>
      </c>
      <c r="DP64" s="11" t="n">
        <v>-1114501840</v>
      </c>
      <c r="DQ64" s="11" t="n">
        <v>-218070462</v>
      </c>
      <c r="DR64" s="11" t="n">
        <v>228956</v>
      </c>
      <c r="DS64" s="11" t="n">
        <v>105</v>
      </c>
      <c r="DT64" s="11" t="n">
        <v>-1102815</v>
      </c>
      <c r="DU64" s="11" t="n">
        <v>-8092</v>
      </c>
      <c r="DV64" s="11" t="n">
        <v>-81382</v>
      </c>
      <c r="DW64" s="11" t="n">
        <v>-32410</v>
      </c>
      <c r="DX64" s="11" t="n">
        <v>248206</v>
      </c>
      <c r="DY64" s="11" t="n">
        <v>-245273</v>
      </c>
      <c r="DZ64" s="11" t="n">
        <v>-74979205</v>
      </c>
      <c r="EA64" s="11" t="n">
        <v>-1444184</v>
      </c>
      <c r="EB64" s="11" t="n">
        <v>-5394970</v>
      </c>
      <c r="EC64" s="11" t="n">
        <v>9844590</v>
      </c>
      <c r="ED64" s="11" t="n">
        <v>22651622</v>
      </c>
      <c r="EE64" s="11" t="n">
        <v>-1215795</v>
      </c>
      <c r="EF64" s="11" t="n">
        <v>-9331</v>
      </c>
      <c r="EG64" s="11" t="n">
        <v>-89656</v>
      </c>
      <c r="EH64" s="11" t="n">
        <v>-30205</v>
      </c>
      <c r="EI64" s="11" t="n">
        <v>276283</v>
      </c>
      <c r="EJ64" s="11" t="n">
        <v>4306225</v>
      </c>
      <c r="EK64" s="11" t="n">
        <v>-665210</v>
      </c>
      <c r="EL64" s="11" t="n">
        <v>-58032275</v>
      </c>
      <c r="EM64" s="11" t="n">
        <v>-27823075</v>
      </c>
      <c r="EN64" s="11" t="n">
        <v>-322658</v>
      </c>
      <c r="EO64" s="11" t="n">
        <v>-552370</v>
      </c>
      <c r="EP64" s="11" t="n">
        <v>765030</v>
      </c>
      <c r="EQ64" s="11" t="n">
        <v>-4262930</v>
      </c>
      <c r="ER64" s="11" t="n">
        <v>-2202914</v>
      </c>
      <c r="ES64" s="11" t="n">
        <v>-13878760</v>
      </c>
      <c r="ET64" s="11" t="n">
        <v>792</v>
      </c>
      <c r="EU64" s="11" t="n">
        <v>-4753204</v>
      </c>
      <c r="EV64" s="11" t="n">
        <v>-8704</v>
      </c>
      <c r="EW64" s="11" t="n">
        <v>-365272</v>
      </c>
      <c r="EX64" s="11" t="n">
        <v>-277172</v>
      </c>
      <c r="EY64" s="11" t="n">
        <v>1518936</v>
      </c>
      <c r="EZ64" s="11" t="n">
        <v>1635</v>
      </c>
      <c r="FA64" s="11" t="n">
        <v>24</v>
      </c>
      <c r="FB64" s="11" t="n">
        <v>114</v>
      </c>
      <c r="FC64" s="11" t="n">
        <v>-15</v>
      </c>
      <c r="FD64" s="11" t="n">
        <v>-162</v>
      </c>
      <c r="FE64" s="11" t="n">
        <v>-126068</v>
      </c>
      <c r="FF64" s="11" t="n">
        <v>69892</v>
      </c>
      <c r="FG64" s="11" t="n">
        <v>662215</v>
      </c>
      <c r="FH64" s="11" t="n">
        <v>-2163436</v>
      </c>
      <c r="FI64" s="11" t="n">
        <v>9816</v>
      </c>
      <c r="FJ64" s="11" t="n">
        <v>8564</v>
      </c>
      <c r="FK64" s="11" t="n">
        <v>-44248</v>
      </c>
      <c r="FL64" s="11" t="n">
        <v>46814</v>
      </c>
      <c r="FM64" s="11" t="n">
        <v>-143920</v>
      </c>
      <c r="FN64" s="11" t="n">
        <v>85462</v>
      </c>
      <c r="FO64" s="11" t="n">
        <v>5351317</v>
      </c>
      <c r="FP64" s="11" t="n">
        <v>14320</v>
      </c>
      <c r="FQ64" s="11" t="n">
        <v>409966</v>
      </c>
      <c r="FR64" s="11" t="n">
        <v>262871</v>
      </c>
      <c r="FS64" s="11" t="n">
        <v>-1705542</v>
      </c>
      <c r="FT64" s="11" t="n">
        <v>-27131336</v>
      </c>
      <c r="FU64" s="11" t="n">
        <v>7618980</v>
      </c>
      <c r="FV64" s="11" t="n">
        <v>295146145</v>
      </c>
      <c r="FW64" s="11" t="n">
        <v>-27170432</v>
      </c>
      <c r="FX64" s="11" t="n">
        <v>2098928</v>
      </c>
      <c r="FY64" s="11" t="n">
        <v>2122568</v>
      </c>
      <c r="FZ64" s="11" t="n">
        <v>-8719856</v>
      </c>
      <c r="GA64" s="11" t="n">
        <v>22236970</v>
      </c>
      <c r="GB64" s="11" t="n">
        <v>346744</v>
      </c>
      <c r="GC64" s="11" t="n">
        <v>92732654</v>
      </c>
      <c r="GD64" s="11" t="n">
        <v>-132599</v>
      </c>
      <c r="GE64" s="11" t="n">
        <v>76066</v>
      </c>
      <c r="GF64" s="11" t="n">
        <v>644020</v>
      </c>
      <c r="GG64" s="11" t="n">
        <v>-2426323</v>
      </c>
      <c r="GH64" s="11" t="n">
        <v>10362</v>
      </c>
      <c r="GI64" s="11" t="n">
        <v>8237</v>
      </c>
      <c r="GJ64" s="11" t="n">
        <v>-48754</v>
      </c>
      <c r="GK64" s="11" t="n">
        <v>45602</v>
      </c>
      <c r="GL64" s="11" t="n">
        <v>-161638</v>
      </c>
      <c r="GM64" s="11" t="n">
        <v>86071</v>
      </c>
      <c r="GN64" s="11" t="n">
        <v>-196868</v>
      </c>
      <c r="GO64" s="11" t="n">
        <v>4048155</v>
      </c>
      <c r="GP64" s="11" t="n">
        <v>11628280</v>
      </c>
      <c r="GQ64" s="11" t="n">
        <v>-3278410</v>
      </c>
      <c r="GR64" s="11" t="n">
        <v>-3068284</v>
      </c>
      <c r="GS64" s="11" t="n">
        <v>-130551335</v>
      </c>
      <c r="GT64" s="11" t="n">
        <v>-328574</v>
      </c>
      <c r="GU64" s="11" t="n">
        <v>-836312</v>
      </c>
      <c r="GV64" s="11" t="n">
        <v>-2210770</v>
      </c>
      <c r="GW64" s="11" t="n">
        <v>-8805978</v>
      </c>
      <c r="GX64" s="11" t="n">
        <v>2523</v>
      </c>
      <c r="GY64" s="11" t="n">
        <v>24950615</v>
      </c>
      <c r="GZ64" s="11" t="n">
        <v>-83232</v>
      </c>
      <c r="HA64" s="11" t="n">
        <v>1720886</v>
      </c>
      <c r="HB64" s="11" t="n">
        <v>-4082274</v>
      </c>
      <c r="HC64" s="11" t="n">
        <v>-7779866</v>
      </c>
      <c r="HD64" s="11" t="n">
        <v>23595</v>
      </c>
      <c r="HE64" s="11" t="n">
        <v>51</v>
      </c>
      <c r="HF64" s="11" t="n">
        <v>1686</v>
      </c>
      <c r="HG64" s="11" t="n">
        <v>-1515</v>
      </c>
      <c r="HH64" s="11" t="n">
        <v>-6303</v>
      </c>
      <c r="HI64" s="11" t="n">
        <v>1282735</v>
      </c>
      <c r="HJ64" s="11" t="n">
        <v>579640</v>
      </c>
      <c r="HK64" s="11" t="n">
        <v>23195035</v>
      </c>
      <c r="HL64" s="11" t="n">
        <v>10424975</v>
      </c>
      <c r="HM64" s="11" t="n">
        <v>-90406</v>
      </c>
      <c r="HN64" s="11" t="n">
        <v>132498</v>
      </c>
      <c r="HO64" s="11" t="n">
        <v>365194</v>
      </c>
      <c r="HP64" s="11" t="n">
        <v>1694638</v>
      </c>
      <c r="HQ64" s="11" t="n">
        <v>899766</v>
      </c>
      <c r="HR64" s="11" t="n">
        <v>5526784</v>
      </c>
      <c r="HS64" s="11" t="n">
        <v>-25902530</v>
      </c>
      <c r="HT64" s="11" t="n">
        <v>105078</v>
      </c>
      <c r="HU64" s="11" t="n">
        <v>-1784078</v>
      </c>
      <c r="HV64" s="11" t="n">
        <v>4264722</v>
      </c>
      <c r="HW64" s="11" t="n">
        <v>8084702</v>
      </c>
      <c r="HX64" s="11" t="n">
        <v>184637870</v>
      </c>
      <c r="HY64" s="11" t="n">
        <v>24359070</v>
      </c>
      <c r="HZ64" s="11" t="n">
        <v>264055470</v>
      </c>
      <c r="IA64" s="11" t="n">
        <v>79300250</v>
      </c>
      <c r="IB64" s="11" t="n">
        <v>-12816044</v>
      </c>
      <c r="IC64" s="11" t="n">
        <v>29328516</v>
      </c>
      <c r="ID64" s="11" t="n">
        <v>57307508</v>
      </c>
      <c r="IE64" s="11" t="n">
        <v>22197840</v>
      </c>
      <c r="IF64" s="11" t="n">
        <v>13064888</v>
      </c>
      <c r="IG64" s="11" t="n">
        <v>69360648</v>
      </c>
      <c r="IH64" s="11" t="n">
        <v>1506280</v>
      </c>
      <c r="II64" s="11" t="n">
        <v>624790</v>
      </c>
      <c r="IJ64" s="11" t="n">
        <v>24329680</v>
      </c>
      <c r="IK64" s="11" t="n">
        <v>10897700</v>
      </c>
      <c r="IL64" s="11" t="n">
        <v>-106282</v>
      </c>
      <c r="IM64" s="11" t="n">
        <v>149304</v>
      </c>
      <c r="IN64" s="11" t="n">
        <v>425932</v>
      </c>
      <c r="IO64" s="11" t="n">
        <v>1778614</v>
      </c>
      <c r="IP64" s="11" t="n">
        <v>945606</v>
      </c>
      <c r="IQ64" s="11" t="n">
        <v>5799532</v>
      </c>
      <c r="IR64" s="11" t="n">
        <v>-3037090</v>
      </c>
      <c r="IS64" s="11" t="n">
        <v>-158071000</v>
      </c>
      <c r="IT64" s="11" t="n">
        <v>-73069300</v>
      </c>
      <c r="IU64" s="11" t="n">
        <v>-16510710</v>
      </c>
      <c r="IV64" s="11" t="n">
        <v>-8335550</v>
      </c>
      <c r="IW64" s="11" t="n">
        <v>-36608300</v>
      </c>
      <c r="IX64" s="11" t="n">
        <v>11454412</v>
      </c>
      <c r="IY64" s="11" t="n">
        <v>6014516</v>
      </c>
      <c r="IZ64" s="11" t="n">
        <v>37455160</v>
      </c>
      <c r="JA64" s="11" t="n">
        <v>1259464</v>
      </c>
      <c r="JB64" s="11" t="n">
        <v>138687</v>
      </c>
      <c r="JC64" s="11" t="n">
        <v>-192</v>
      </c>
      <c r="JD64" s="11" t="n">
        <v>9978</v>
      </c>
      <c r="JE64" s="11" t="n">
        <v>-11067</v>
      </c>
      <c r="JF64" s="11" t="n">
        <v>-43650</v>
      </c>
      <c r="JG64" s="11" t="n">
        <v>2676448</v>
      </c>
      <c r="JH64" s="11" t="n">
        <v>4079556</v>
      </c>
      <c r="JI64" s="11" t="n">
        <v>114954371</v>
      </c>
      <c r="JJ64" s="11" t="n">
        <v>-4014296</v>
      </c>
      <c r="JK64" s="11" t="n">
        <v>-198208</v>
      </c>
      <c r="JL64" s="11" t="n">
        <v>54432</v>
      </c>
      <c r="JM64" s="11" t="n">
        <v>847936</v>
      </c>
      <c r="JN64" s="11" t="n">
        <v>8596070</v>
      </c>
      <c r="JO64" s="11" t="n">
        <v>995176</v>
      </c>
      <c r="JP64" s="11" t="n">
        <v>36500786</v>
      </c>
      <c r="JQ64" s="11" t="n">
        <v>-4599</v>
      </c>
      <c r="JR64" s="11" t="n">
        <v>636</v>
      </c>
      <c r="JS64" s="11" t="n">
        <v>-20220</v>
      </c>
      <c r="JT64" s="11" t="n">
        <v>-61743</v>
      </c>
      <c r="JU64" s="11" t="n">
        <v>330</v>
      </c>
      <c r="JV64" s="11" t="n">
        <v>-339</v>
      </c>
      <c r="JW64" s="11" t="n">
        <v>-1362</v>
      </c>
      <c r="JX64" s="11" t="n">
        <v>-1404</v>
      </c>
      <c r="JY64" s="11" t="n">
        <v>-4242</v>
      </c>
      <c r="JZ64" s="11" t="n">
        <v>-1437</v>
      </c>
      <c r="KA64" s="11" t="n">
        <v>147556</v>
      </c>
      <c r="KB64" s="11" t="n">
        <v>3421787</v>
      </c>
      <c r="KC64" s="11" t="n">
        <v>-1324664</v>
      </c>
      <c r="KD64" s="11" t="n">
        <v>-1121948</v>
      </c>
      <c r="KE64" s="11" t="n">
        <v>-1797796</v>
      </c>
      <c r="KF64" s="11" t="n">
        <v>-51762579</v>
      </c>
      <c r="KG64" s="11" t="n">
        <v>-256406</v>
      </c>
      <c r="KH64" s="11" t="n">
        <v>51352</v>
      </c>
      <c r="KI64" s="11" t="n">
        <v>-1111010</v>
      </c>
      <c r="KJ64" s="11" t="n">
        <v>-3514462</v>
      </c>
      <c r="KK64" s="11" t="n">
        <v>-3804862</v>
      </c>
      <c r="KL64" s="11" t="n">
        <v>-4370598</v>
      </c>
      <c r="KM64" s="11" t="n">
        <v>-120807848</v>
      </c>
      <c r="KN64" s="11" t="n">
        <v>3726662</v>
      </c>
      <c r="KO64" s="11" t="n">
        <v>279796</v>
      </c>
      <c r="KP64" s="11" t="n">
        <v>-136374</v>
      </c>
      <c r="KQ64" s="11" t="n">
        <v>-1202692</v>
      </c>
      <c r="KR64" s="11" t="n">
        <v>-9040430</v>
      </c>
      <c r="KS64" s="11" t="n">
        <v>-1107472</v>
      </c>
      <c r="KT64" s="11" t="n">
        <v>-38320142</v>
      </c>
      <c r="KU64" s="11" t="n">
        <v>27576264</v>
      </c>
      <c r="KV64" s="11" t="n">
        <v>822352454</v>
      </c>
      <c r="KW64" s="11" t="n">
        <v>-38212848</v>
      </c>
      <c r="KX64" s="11" t="n">
        <v>69054510</v>
      </c>
      <c r="KY64" s="11" t="n">
        <v>-16885128</v>
      </c>
      <c r="KZ64" s="11" t="n">
        <v>-407841938</v>
      </c>
      <c r="LA64" s="11" t="n">
        <v>-61461260</v>
      </c>
      <c r="LB64" s="11" t="n">
        <v>-5906640</v>
      </c>
      <c r="LC64" s="11" t="n">
        <v>-261309860</v>
      </c>
      <c r="LD64" s="11" t="n">
        <v>-52424120</v>
      </c>
      <c r="LE64" s="11" t="n">
        <v>162382</v>
      </c>
      <c r="LF64" s="11" t="n">
        <v>3451376</v>
      </c>
      <c r="LG64" s="11" t="n">
        <v>-1817492</v>
      </c>
      <c r="LH64" s="11" t="n">
        <v>-1191224</v>
      </c>
      <c r="LI64" s="11" t="n">
        <v>-1928686</v>
      </c>
      <c r="LJ64" s="11" t="n">
        <v>-54326592</v>
      </c>
      <c r="LK64" s="11" t="n">
        <v>-259622</v>
      </c>
      <c r="LL64" s="11" t="n">
        <v>82324</v>
      </c>
      <c r="LM64" s="11" t="n">
        <v>-1156100</v>
      </c>
      <c r="LN64" s="11" t="n">
        <v>-3687574</v>
      </c>
      <c r="LO64" s="11" t="n">
        <v>10081622</v>
      </c>
      <c r="LP64" s="11" t="n">
        <v>11541696</v>
      </c>
      <c r="LQ64" s="11" t="n">
        <v>358155460</v>
      </c>
      <c r="LR64" s="11" t="n">
        <v>35074934</v>
      </c>
      <c r="LS64" s="11" t="n">
        <v>-23564420</v>
      </c>
    </row>
    <row r="65" customFormat="false" ht="15" hidden="false" customHeight="true" outlineLevel="0" collapsed="false">
      <c r="A65" s="7" t="s">
        <v>131</v>
      </c>
      <c r="B65" s="11" t="n">
        <v>-3553786</v>
      </c>
      <c r="C65" s="11" t="n">
        <v>-28166039</v>
      </c>
      <c r="D65" s="11" t="n">
        <v>-3231870</v>
      </c>
      <c r="E65" s="11" t="n">
        <v>-156820168</v>
      </c>
      <c r="F65" s="11" t="n">
        <v>-10996201</v>
      </c>
      <c r="G65" s="11" t="n">
        <v>6872904</v>
      </c>
      <c r="H65" s="11" t="n">
        <v>174116930</v>
      </c>
      <c r="I65" s="11" t="n">
        <v>103929022</v>
      </c>
      <c r="J65" s="11" t="n">
        <v>-43971081</v>
      </c>
      <c r="K65" s="11" t="n">
        <v>-100966</v>
      </c>
      <c r="L65" s="11" t="n">
        <v>92364</v>
      </c>
      <c r="M65" s="11" t="n">
        <v>-231187</v>
      </c>
      <c r="N65" s="11" t="n">
        <v>-2798916</v>
      </c>
      <c r="O65" s="11" t="n">
        <v>-820322</v>
      </c>
      <c r="P65" s="11" t="n">
        <v>10278956</v>
      </c>
      <c r="Q65" s="11" t="n">
        <v>39187786</v>
      </c>
      <c r="R65" s="11" t="n">
        <v>1941071814</v>
      </c>
      <c r="S65" s="11" t="n">
        <v>134223958</v>
      </c>
      <c r="T65" s="11" t="n">
        <v>-107221818</v>
      </c>
      <c r="U65" s="11" t="n">
        <v>-2160854608</v>
      </c>
      <c r="V65" s="11" t="n">
        <v>-1204448993</v>
      </c>
      <c r="W65" s="11" t="n">
        <v>4539388</v>
      </c>
      <c r="X65" s="11" t="n">
        <v>102166</v>
      </c>
      <c r="Y65" s="11" t="n">
        <v>-2740644</v>
      </c>
      <c r="Z65" s="11" t="n">
        <v>-5692820</v>
      </c>
      <c r="AA65" s="11" t="n">
        <v>6395138</v>
      </c>
      <c r="AB65" s="11" t="n">
        <v>-10487530</v>
      </c>
      <c r="AC65" s="11" t="n">
        <v>-123330912</v>
      </c>
      <c r="AD65" s="11" t="n">
        <v>-31673516</v>
      </c>
      <c r="AE65" s="11" t="n">
        <v>456287156</v>
      </c>
      <c r="AF65" s="11" t="n">
        <v>-9107574</v>
      </c>
      <c r="AG65" s="11" t="n">
        <v>-13865212</v>
      </c>
      <c r="AH65" s="11" t="n">
        <v>25044397</v>
      </c>
      <c r="AI65" s="11" t="n">
        <v>-135545772</v>
      </c>
      <c r="AJ65" s="11" t="n">
        <v>-101732316</v>
      </c>
      <c r="AK65" s="11" t="n">
        <v>-527605074</v>
      </c>
      <c r="AL65" s="11" t="n">
        <v>-19711152</v>
      </c>
      <c r="AM65" s="11" t="n">
        <v>-264160</v>
      </c>
      <c r="AN65" s="11" t="n">
        <v>46217718</v>
      </c>
      <c r="AO65" s="11" t="n">
        <v>-5811608</v>
      </c>
      <c r="AP65" s="11" t="n">
        <v>-6614556</v>
      </c>
      <c r="AQ65" s="11" t="n">
        <v>-69242974</v>
      </c>
      <c r="AR65" s="11" t="n">
        <v>-33475502</v>
      </c>
      <c r="AS65" s="11" t="n">
        <v>15832000</v>
      </c>
      <c r="AT65" s="11" t="n">
        <v>1236111633</v>
      </c>
      <c r="AU65" s="11" t="n">
        <v>14929940</v>
      </c>
      <c r="AV65" s="11" t="n">
        <v>-90545322</v>
      </c>
      <c r="AW65" s="11" t="n">
        <v>-1514538461</v>
      </c>
      <c r="AX65" s="11" t="n">
        <v>-841759477</v>
      </c>
      <c r="AY65" s="11" t="n">
        <v>53687890</v>
      </c>
      <c r="AZ65" s="11" t="n">
        <v>-4467800</v>
      </c>
      <c r="BA65" s="11" t="n">
        <v>-6526260</v>
      </c>
      <c r="BB65" s="11" t="n">
        <v>-75913130</v>
      </c>
      <c r="BC65" s="11" t="n">
        <v>-38168410</v>
      </c>
      <c r="BD65" s="11" t="n">
        <v>-399460367</v>
      </c>
      <c r="BE65" s="11" t="n">
        <v>-202501176</v>
      </c>
      <c r="BF65" s="11" t="n">
        <v>-791102122</v>
      </c>
      <c r="BG65" s="11" t="n">
        <v>-125576390</v>
      </c>
      <c r="BH65" s="11" t="n">
        <v>-31706358</v>
      </c>
      <c r="BI65" s="11" t="n">
        <v>-498991499</v>
      </c>
      <c r="BJ65" s="11" t="n">
        <v>-273538723</v>
      </c>
      <c r="BK65" s="11" t="n">
        <v>-190165044</v>
      </c>
      <c r="BL65" s="11" t="n">
        <v>-128699484</v>
      </c>
      <c r="BM65" s="11" t="n">
        <v>-384857988</v>
      </c>
      <c r="BN65" s="11" t="n">
        <v>-2708448</v>
      </c>
      <c r="BO65" s="11" t="n">
        <v>571340655</v>
      </c>
      <c r="BP65" s="11" t="n">
        <v>-70624884</v>
      </c>
      <c r="BQ65" s="11" t="n">
        <v>-66317814</v>
      </c>
      <c r="BR65" s="11" t="n">
        <v>-852195075</v>
      </c>
      <c r="BS65" s="11" t="n">
        <v>-471205659</v>
      </c>
      <c r="BT65" s="11" t="n">
        <v>1306218</v>
      </c>
      <c r="BU65" s="11" t="n">
        <v>-147928</v>
      </c>
      <c r="BV65" s="11" t="n">
        <v>20124</v>
      </c>
      <c r="BW65" s="11" t="n">
        <v>-1906274</v>
      </c>
      <c r="BX65" s="11" t="n">
        <v>-1715122</v>
      </c>
      <c r="BY65" s="11" t="n">
        <v>-2855589</v>
      </c>
      <c r="BZ65" s="11" t="n">
        <v>-36228564</v>
      </c>
      <c r="CA65" s="11" t="n">
        <v>-8868810</v>
      </c>
      <c r="CB65" s="11" t="n">
        <v>134549976</v>
      </c>
      <c r="CC65" s="11" t="n">
        <v>4146846</v>
      </c>
      <c r="CD65" s="11" t="n">
        <v>-3163017</v>
      </c>
      <c r="CE65" s="11" t="n">
        <v>-18987177</v>
      </c>
      <c r="CF65" s="11" t="n">
        <v>-53008032</v>
      </c>
      <c r="CG65" s="11" t="n">
        <v>-45496788</v>
      </c>
      <c r="CH65" s="11" t="n">
        <v>-208005258</v>
      </c>
      <c r="CI65" s="11" t="n">
        <v>-628751142</v>
      </c>
      <c r="CJ65" s="11" t="n">
        <v>54674440</v>
      </c>
      <c r="CK65" s="11" t="n">
        <v>65708028</v>
      </c>
      <c r="CL65" s="11" t="n">
        <v>892591214</v>
      </c>
      <c r="CM65" s="11" t="n">
        <v>494135998</v>
      </c>
      <c r="CN65" s="11" t="n">
        <v>4861731186</v>
      </c>
      <c r="CO65" s="11" t="n">
        <v>1534359726</v>
      </c>
      <c r="CP65" s="11" t="n">
        <v>9542357010</v>
      </c>
      <c r="CQ65" s="11" t="n">
        <v>5150961531</v>
      </c>
      <c r="CR65" s="11" t="n">
        <v>374654604</v>
      </c>
      <c r="CS65" s="11" t="n">
        <v>6072061362</v>
      </c>
      <c r="CT65" s="11" t="n">
        <v>3372925014</v>
      </c>
      <c r="CU65" s="11" t="n">
        <v>1180986402</v>
      </c>
      <c r="CV65" s="11" t="n">
        <v>667550040</v>
      </c>
      <c r="CW65" s="11" t="n">
        <v>186908763</v>
      </c>
      <c r="CX65" s="11" t="n">
        <v>7972522</v>
      </c>
      <c r="CY65" s="11" t="n">
        <v>-36361044</v>
      </c>
      <c r="CZ65" s="11" t="n">
        <v>12056072</v>
      </c>
      <c r="DA65" s="11" t="n">
        <v>159846370</v>
      </c>
      <c r="DB65" s="11" t="n">
        <v>3995028</v>
      </c>
      <c r="DC65" s="11" t="n">
        <v>10269634</v>
      </c>
      <c r="DD65" s="11" t="n">
        <v>-7634182</v>
      </c>
      <c r="DE65" s="11" t="n">
        <v>-52878996</v>
      </c>
      <c r="DF65" s="11" t="n">
        <v>-45281016</v>
      </c>
      <c r="DG65" s="11" t="n">
        <v>-217447122</v>
      </c>
      <c r="DH65" s="11" t="n">
        <v>300612318</v>
      </c>
      <c r="DI65" s="11" t="n">
        <v>27774534</v>
      </c>
      <c r="DJ65" s="11" t="n">
        <v>-1170676089</v>
      </c>
      <c r="DK65" s="11" t="n">
        <v>-581260836</v>
      </c>
      <c r="DL65" s="11" t="n">
        <v>-687960852</v>
      </c>
      <c r="DM65" s="11" t="n">
        <v>-2327169954</v>
      </c>
      <c r="DN65" s="11" t="n">
        <v>-373309530</v>
      </c>
      <c r="DO65" s="11" t="n">
        <v>-298770528</v>
      </c>
      <c r="DP65" s="11" t="n">
        <v>-1481385579</v>
      </c>
      <c r="DQ65" s="11" t="n">
        <v>-276631164</v>
      </c>
      <c r="DR65" s="11" t="n">
        <v>-922105</v>
      </c>
      <c r="DS65" s="11" t="n">
        <v>-4168</v>
      </c>
      <c r="DT65" s="11" t="n">
        <v>-1107172</v>
      </c>
      <c r="DU65" s="11" t="n">
        <v>-33795</v>
      </c>
      <c r="DV65" s="11" t="n">
        <v>-185516</v>
      </c>
      <c r="DW65" s="11" t="n">
        <v>20200</v>
      </c>
      <c r="DX65" s="11" t="n">
        <v>383076</v>
      </c>
      <c r="DY65" s="11" t="n">
        <v>805543</v>
      </c>
      <c r="DZ65" s="11" t="n">
        <v>31915262</v>
      </c>
      <c r="EA65" s="11" t="n">
        <v>2585350</v>
      </c>
      <c r="EB65" s="11" t="n">
        <v>-3253654</v>
      </c>
      <c r="EC65" s="11" t="n">
        <v>-45018225</v>
      </c>
      <c r="ED65" s="11" t="n">
        <v>-23930461</v>
      </c>
      <c r="EE65" s="11" t="n">
        <v>-822956</v>
      </c>
      <c r="EF65" s="11" t="n">
        <v>-17837</v>
      </c>
      <c r="EG65" s="11" t="n">
        <v>-176772</v>
      </c>
      <c r="EH65" s="11" t="n">
        <v>-185840</v>
      </c>
      <c r="EI65" s="11" t="n">
        <v>226484</v>
      </c>
      <c r="EJ65" s="11" t="n">
        <v>1934542</v>
      </c>
      <c r="EK65" s="11" t="n">
        <v>-10327616</v>
      </c>
      <c r="EL65" s="11" t="n">
        <v>-53354260</v>
      </c>
      <c r="EM65" s="11" t="n">
        <v>-15474556</v>
      </c>
      <c r="EN65" s="11" t="n">
        <v>-639386</v>
      </c>
      <c r="EO65" s="11" t="n">
        <v>-1593275</v>
      </c>
      <c r="EP65" s="11" t="n">
        <v>197001</v>
      </c>
      <c r="EQ65" s="11" t="n">
        <v>-9128380</v>
      </c>
      <c r="ER65" s="11" t="n">
        <v>-6166196</v>
      </c>
      <c r="ES65" s="11" t="n">
        <v>-18177980</v>
      </c>
      <c r="ET65" s="11" t="n">
        <v>-25373</v>
      </c>
      <c r="EU65" s="11" t="n">
        <v>-13723032</v>
      </c>
      <c r="EV65" s="11" t="n">
        <v>-358160</v>
      </c>
      <c r="EW65" s="11" t="n">
        <v>-1569156</v>
      </c>
      <c r="EX65" s="11" t="n">
        <v>462785</v>
      </c>
      <c r="EY65" s="11" t="n">
        <v>2072716</v>
      </c>
      <c r="EZ65" s="11" t="n">
        <v>-31564</v>
      </c>
      <c r="FA65" s="11" t="n">
        <v>-689</v>
      </c>
      <c r="FB65" s="11" t="n">
        <v>-1988</v>
      </c>
      <c r="FC65" s="11" t="n">
        <v>1536</v>
      </c>
      <c r="FD65" s="11" t="n">
        <v>-1172</v>
      </c>
      <c r="FE65" s="11" t="n">
        <v>72904</v>
      </c>
      <c r="FF65" s="11" t="n">
        <v>876816</v>
      </c>
      <c r="FG65" s="11" t="n">
        <v>255044</v>
      </c>
      <c r="FH65" s="11" t="n">
        <v>-3212336</v>
      </c>
      <c r="FI65" s="11" t="n">
        <v>14548</v>
      </c>
      <c r="FJ65" s="11" t="n">
        <v>9115</v>
      </c>
      <c r="FK65" s="11" t="n">
        <v>-72828</v>
      </c>
      <c r="FL65" s="11" t="n">
        <v>58732</v>
      </c>
      <c r="FM65" s="11" t="n">
        <v>-234880</v>
      </c>
      <c r="FN65" s="11" t="n">
        <v>146852</v>
      </c>
      <c r="FO65" s="11" t="n">
        <v>11110130</v>
      </c>
      <c r="FP65" s="11" t="n">
        <v>241746</v>
      </c>
      <c r="FQ65" s="11" t="n">
        <v>1460330</v>
      </c>
      <c r="FR65" s="11" t="n">
        <v>834454</v>
      </c>
      <c r="FS65" s="11" t="n">
        <v>-1152227</v>
      </c>
      <c r="FT65" s="11" t="n">
        <v>-26079536</v>
      </c>
      <c r="FU65" s="11" t="n">
        <v>102732360</v>
      </c>
      <c r="FV65" s="11" t="n">
        <v>653956586</v>
      </c>
      <c r="FW65" s="11" t="n">
        <v>284400592</v>
      </c>
      <c r="FX65" s="11" t="n">
        <v>5663288</v>
      </c>
      <c r="FY65" s="11" t="n">
        <v>16188250</v>
      </c>
      <c r="FZ65" s="11" t="n">
        <v>3483592</v>
      </c>
      <c r="GA65" s="11" t="n">
        <v>78240938</v>
      </c>
      <c r="GB65" s="11" t="n">
        <v>48036316</v>
      </c>
      <c r="GC65" s="11" t="n">
        <v>89182183</v>
      </c>
      <c r="GD65" s="11" t="n">
        <v>-962</v>
      </c>
      <c r="GE65" s="11" t="n">
        <v>946160</v>
      </c>
      <c r="GF65" s="11" t="n">
        <v>1710632</v>
      </c>
      <c r="GG65" s="11" t="n">
        <v>-1946556</v>
      </c>
      <c r="GH65" s="11" t="n">
        <v>20714</v>
      </c>
      <c r="GI65" s="11" t="n">
        <v>37294</v>
      </c>
      <c r="GJ65" s="11" t="n">
        <v>-42455</v>
      </c>
      <c r="GK65" s="11" t="n">
        <v>153784</v>
      </c>
      <c r="GL65" s="11" t="n">
        <v>-157732</v>
      </c>
      <c r="GM65" s="11" t="n">
        <v>31208</v>
      </c>
      <c r="GN65" s="11" t="n">
        <v>-2212088</v>
      </c>
      <c r="GO65" s="11" t="n">
        <v>-3958854</v>
      </c>
      <c r="GP65" s="11" t="n">
        <v>4593904</v>
      </c>
      <c r="GQ65" s="11" t="n">
        <v>-39874448</v>
      </c>
      <c r="GR65" s="11" t="n">
        <v>-42219376</v>
      </c>
      <c r="GS65" s="11" t="n">
        <v>-158366092</v>
      </c>
      <c r="GT65" s="11" t="n">
        <v>-513418</v>
      </c>
      <c r="GU65" s="11" t="n">
        <v>-1293068</v>
      </c>
      <c r="GV65" s="11" t="n">
        <v>-3380363</v>
      </c>
      <c r="GW65" s="11" t="n">
        <v>-13509492</v>
      </c>
      <c r="GX65" s="11" t="n">
        <v>45424</v>
      </c>
      <c r="GY65" s="11" t="n">
        <v>-18133119</v>
      </c>
      <c r="GZ65" s="11" t="n">
        <v>1320500</v>
      </c>
      <c r="HA65" s="11" t="n">
        <v>687318</v>
      </c>
      <c r="HB65" s="11" t="n">
        <v>18078595</v>
      </c>
      <c r="HC65" s="11" t="n">
        <v>10810667</v>
      </c>
      <c r="HD65" s="11" t="n">
        <v>-136504</v>
      </c>
      <c r="HE65" s="11" t="n">
        <v>4304</v>
      </c>
      <c r="HF65" s="11" t="n">
        <v>-6032</v>
      </c>
      <c r="HG65" s="11" t="n">
        <v>82712</v>
      </c>
      <c r="HH65" s="11" t="n">
        <v>67736</v>
      </c>
      <c r="HI65" s="11" t="n">
        <v>2250101</v>
      </c>
      <c r="HJ65" s="11" t="n">
        <v>4473420</v>
      </c>
      <c r="HK65" s="11" t="n">
        <v>21309748</v>
      </c>
      <c r="HL65" s="11" t="n">
        <v>5447216</v>
      </c>
      <c r="HM65" s="11" t="n">
        <v>-240478</v>
      </c>
      <c r="HN65" s="11" t="n">
        <v>691505</v>
      </c>
      <c r="HO65" s="11" t="n">
        <v>944793</v>
      </c>
      <c r="HP65" s="11" t="n">
        <v>3652244</v>
      </c>
      <c r="HQ65" s="11" t="n">
        <v>2460508</v>
      </c>
      <c r="HR65" s="11" t="n">
        <v>7273684</v>
      </c>
      <c r="HS65" s="11" t="n">
        <v>17413121</v>
      </c>
      <c r="HT65" s="11" t="n">
        <v>-1026220</v>
      </c>
      <c r="HU65" s="11" t="n">
        <v>-760714</v>
      </c>
      <c r="HV65" s="11" t="n">
        <v>-18010957</v>
      </c>
      <c r="HW65" s="11" t="n">
        <v>-10622949</v>
      </c>
      <c r="HX65" s="11" t="n">
        <v>-96544930</v>
      </c>
      <c r="HY65" s="11" t="n">
        <v>40193862</v>
      </c>
      <c r="HZ65" s="11" t="n">
        <v>259555837</v>
      </c>
      <c r="IA65" s="11" t="n">
        <v>96419201</v>
      </c>
      <c r="IB65" s="11" t="n">
        <v>-6586460</v>
      </c>
      <c r="IC65" s="11" t="n">
        <v>-115156150</v>
      </c>
      <c r="ID65" s="11" t="n">
        <v>-64579990</v>
      </c>
      <c r="IE65" s="11" t="n">
        <v>30234796</v>
      </c>
      <c r="IF65" s="11" t="n">
        <v>20308244</v>
      </c>
      <c r="IG65" s="11" t="n">
        <v>58613636</v>
      </c>
      <c r="IH65" s="11" t="n">
        <v>1433979</v>
      </c>
      <c r="II65" s="11" t="n">
        <v>4598372</v>
      </c>
      <c r="IJ65" s="11" t="n">
        <v>22417524</v>
      </c>
      <c r="IK65" s="11" t="n">
        <v>5956760</v>
      </c>
      <c r="IL65" s="11" t="n">
        <v>-208354</v>
      </c>
      <c r="IM65" s="11" t="n">
        <v>162063</v>
      </c>
      <c r="IN65" s="11" t="n">
        <v>523751</v>
      </c>
      <c r="IO65" s="11" t="n">
        <v>3776908</v>
      </c>
      <c r="IP65" s="11" t="n">
        <v>2545028</v>
      </c>
      <c r="IQ65" s="11" t="n">
        <v>7514636</v>
      </c>
      <c r="IR65" s="11" t="n">
        <v>-28805098</v>
      </c>
      <c r="IS65" s="11" t="n">
        <v>-145665783</v>
      </c>
      <c r="IT65" s="11" t="n">
        <v>-40966699</v>
      </c>
      <c r="IU65" s="11" t="n">
        <v>-16796956</v>
      </c>
      <c r="IV65" s="11" t="n">
        <v>-11712212</v>
      </c>
      <c r="IW65" s="11" t="n">
        <v>-35339324</v>
      </c>
      <c r="IX65" s="11" t="n">
        <v>24420364</v>
      </c>
      <c r="IY65" s="11" t="n">
        <v>16473236</v>
      </c>
      <c r="IZ65" s="11" t="n">
        <v>48573524</v>
      </c>
      <c r="JA65" s="11" t="n">
        <v>-323424</v>
      </c>
      <c r="JB65" s="11" t="n">
        <v>-1174971</v>
      </c>
      <c r="JC65" s="11" t="n">
        <v>18692</v>
      </c>
      <c r="JD65" s="11" t="n">
        <v>-58386</v>
      </c>
      <c r="JE65" s="11" t="n">
        <v>520255</v>
      </c>
      <c r="JF65" s="11" t="n">
        <v>399575</v>
      </c>
      <c r="JG65" s="11" t="n">
        <v>26695248</v>
      </c>
      <c r="JH65" s="11" t="n">
        <v>41086188</v>
      </c>
      <c r="JI65" s="11" t="n">
        <v>259950225</v>
      </c>
      <c r="JJ65" s="11" t="n">
        <v>120127668</v>
      </c>
      <c r="JK65" s="11" t="n">
        <v>-1980144</v>
      </c>
      <c r="JL65" s="11" t="n">
        <v>7684740</v>
      </c>
      <c r="JM65" s="11" t="n">
        <v>7167264</v>
      </c>
      <c r="JN65" s="11" t="n">
        <v>31109490</v>
      </c>
      <c r="JO65" s="11" t="n">
        <v>19941588</v>
      </c>
      <c r="JP65" s="11" t="n">
        <v>35211585</v>
      </c>
      <c r="JQ65" s="11" t="n">
        <v>55159</v>
      </c>
      <c r="JR65" s="11" t="n">
        <v>19428</v>
      </c>
      <c r="JS65" s="11" t="n">
        <v>576068</v>
      </c>
      <c r="JT65" s="11" t="n">
        <v>551344</v>
      </c>
      <c r="JU65" s="11" t="n">
        <v>-3050</v>
      </c>
      <c r="JV65" s="11" t="n">
        <v>15259</v>
      </c>
      <c r="JW65" s="11" t="n">
        <v>9987</v>
      </c>
      <c r="JX65" s="11" t="n">
        <v>37228</v>
      </c>
      <c r="JY65" s="11" t="n">
        <v>34004</v>
      </c>
      <c r="JZ65" s="11" t="n">
        <v>-48220</v>
      </c>
      <c r="KA65" s="11" t="n">
        <v>1487388</v>
      </c>
      <c r="KB65" s="11" t="n">
        <v>-884859</v>
      </c>
      <c r="KC65" s="11" t="n">
        <v>-6887100</v>
      </c>
      <c r="KD65" s="11" t="n">
        <v>-15845604</v>
      </c>
      <c r="KE65" s="11" t="n">
        <v>-17293008</v>
      </c>
      <c r="KF65" s="11" t="n">
        <v>-63082656</v>
      </c>
      <c r="KG65" s="11" t="n">
        <v>-362538</v>
      </c>
      <c r="KH65" s="11" t="n">
        <v>111516</v>
      </c>
      <c r="KI65" s="11" t="n">
        <v>-1745013</v>
      </c>
      <c r="KJ65" s="11" t="n">
        <v>-5403036</v>
      </c>
      <c r="KK65" s="11" t="n">
        <v>-19379462</v>
      </c>
      <c r="KL65" s="11" t="n">
        <v>-42059250</v>
      </c>
      <c r="KM65" s="11" t="n">
        <v>-266447008</v>
      </c>
      <c r="KN65" s="11" t="n">
        <v>-121605521</v>
      </c>
      <c r="KO65" s="11" t="n">
        <v>1632092</v>
      </c>
      <c r="KP65" s="11" t="n">
        <v>-4342094</v>
      </c>
      <c r="KQ65" s="11" t="n">
        <v>-4655858</v>
      </c>
      <c r="KR65" s="11" t="n">
        <v>-31863178</v>
      </c>
      <c r="KS65" s="11" t="n">
        <v>-20345936</v>
      </c>
      <c r="KT65" s="11" t="n">
        <v>-36766595</v>
      </c>
      <c r="KU65" s="11" t="n">
        <v>277925064</v>
      </c>
      <c r="KV65" s="11" t="n">
        <v>1766148654</v>
      </c>
      <c r="KW65" s="11" t="n">
        <v>781534152</v>
      </c>
      <c r="KX65" s="11" t="n">
        <v>11898474</v>
      </c>
      <c r="KY65" s="11" t="n">
        <v>-47807412</v>
      </c>
      <c r="KZ65" s="11" t="n">
        <v>-337263789</v>
      </c>
      <c r="LA65" s="11" t="n">
        <v>-211011732</v>
      </c>
      <c r="LB65" s="11" t="n">
        <v>-132589608</v>
      </c>
      <c r="LC65" s="11" t="n">
        <v>-249204162</v>
      </c>
      <c r="LD65" s="11" t="n">
        <v>-41973684</v>
      </c>
      <c r="LE65" s="11" t="n">
        <v>1654034</v>
      </c>
      <c r="LF65" s="11" t="n">
        <v>3006936</v>
      </c>
      <c r="LG65" s="11" t="n">
        <v>-3384859</v>
      </c>
      <c r="LH65" s="11" t="n">
        <v>-16215256</v>
      </c>
      <c r="LI65" s="11" t="n">
        <v>-17725172</v>
      </c>
      <c r="LJ65" s="11" t="n">
        <v>-65406644</v>
      </c>
      <c r="LK65" s="11" t="n">
        <v>-623834</v>
      </c>
      <c r="LL65" s="11" t="n">
        <v>-112312</v>
      </c>
      <c r="LM65" s="11" t="n">
        <v>-1480807</v>
      </c>
      <c r="LN65" s="11" t="n">
        <v>-5584164</v>
      </c>
      <c r="LO65" s="11" t="n">
        <v>107617386</v>
      </c>
      <c r="LP65" s="11" t="n">
        <v>115246812</v>
      </c>
      <c r="LQ65" s="11" t="n">
        <v>429742959</v>
      </c>
      <c r="LR65" s="11" t="n">
        <v>23445780</v>
      </c>
      <c r="LS65" s="11" t="n">
        <v>-36158964</v>
      </c>
    </row>
    <row r="66" customFormat="false" ht="15" hidden="false" customHeight="true" outlineLevel="0" collapsed="false">
      <c r="A66" s="7" t="s">
        <v>132</v>
      </c>
      <c r="B66" s="11" t="n">
        <v>4738302</v>
      </c>
      <c r="C66" s="11" t="n">
        <v>669953537</v>
      </c>
      <c r="D66" s="11" t="n">
        <v>5826361</v>
      </c>
      <c r="E66" s="11" t="n">
        <v>230294861</v>
      </c>
      <c r="F66" s="11" t="n">
        <v>18419465</v>
      </c>
      <c r="G66" s="11" t="n">
        <v>32989190</v>
      </c>
      <c r="H66" s="11" t="n">
        <v>-239036720</v>
      </c>
      <c r="I66" s="11" t="n">
        <v>-203753115</v>
      </c>
      <c r="J66" s="11" t="n">
        <v>-41479097</v>
      </c>
      <c r="K66" s="11" t="n">
        <v>-105559</v>
      </c>
      <c r="L66" s="11" t="n">
        <v>-3479783</v>
      </c>
      <c r="M66" s="11" t="n">
        <v>-286649</v>
      </c>
      <c r="N66" s="11" t="n">
        <v>-2940806</v>
      </c>
      <c r="O66" s="11" t="n">
        <v>2183564</v>
      </c>
      <c r="P66" s="11" t="n">
        <v>-3386781</v>
      </c>
      <c r="Q66" s="11" t="n">
        <v>36078867</v>
      </c>
      <c r="R66" s="11" t="n">
        <v>1523991073</v>
      </c>
      <c r="S66" s="11" t="n">
        <v>120714396</v>
      </c>
      <c r="T66" s="11" t="n">
        <v>-127016296</v>
      </c>
      <c r="U66" s="11" t="n">
        <v>-1783791086</v>
      </c>
      <c r="V66" s="11" t="n">
        <v>-2262515376</v>
      </c>
      <c r="W66" s="11" t="n">
        <v>851618</v>
      </c>
      <c r="X66" s="11" t="n">
        <v>57873</v>
      </c>
      <c r="Y66" s="11" t="n">
        <v>-2881178</v>
      </c>
      <c r="Z66" s="11" t="n">
        <v>-2640238</v>
      </c>
      <c r="AA66" s="11" t="n">
        <v>-8703663</v>
      </c>
      <c r="AB66" s="11" t="n">
        <v>-404797</v>
      </c>
      <c r="AC66" s="11" t="n">
        <v>-118704398</v>
      </c>
      <c r="AD66" s="11" t="n">
        <v>-69419878</v>
      </c>
      <c r="AE66" s="11" t="n">
        <v>-314242293</v>
      </c>
      <c r="AF66" s="11" t="n">
        <v>-9436240</v>
      </c>
      <c r="AG66" s="11" t="n">
        <v>-5972510</v>
      </c>
      <c r="AH66" s="11" t="n">
        <v>-25491900</v>
      </c>
      <c r="AI66" s="11" t="n">
        <v>-133154580</v>
      </c>
      <c r="AJ66" s="11" t="n">
        <v>-150038040</v>
      </c>
      <c r="AK66" s="11" t="n">
        <v>264751590</v>
      </c>
      <c r="AL66" s="11" t="n">
        <v>-290167400</v>
      </c>
      <c r="AM66" s="11" t="n">
        <v>-407026</v>
      </c>
      <c r="AN66" s="11" t="n">
        <v>-72233336</v>
      </c>
      <c r="AO66" s="11" t="n">
        <v>5868148</v>
      </c>
      <c r="AP66" s="11" t="n">
        <v>-12273776</v>
      </c>
      <c r="AQ66" s="11" t="n">
        <v>95767478</v>
      </c>
      <c r="AR66" s="11" t="n">
        <v>77250600</v>
      </c>
      <c r="AS66" s="11" t="n">
        <v>299248869</v>
      </c>
      <c r="AT66" s="11" t="n">
        <v>3889807384</v>
      </c>
      <c r="AU66" s="11" t="n">
        <v>1957687538</v>
      </c>
      <c r="AV66" s="11" t="n">
        <v>284812544</v>
      </c>
      <c r="AW66" s="11" t="n">
        <v>-1097630107</v>
      </c>
      <c r="AX66" s="11" t="n">
        <v>-1555029400</v>
      </c>
      <c r="AY66" s="11" t="n">
        <v>-69037705</v>
      </c>
      <c r="AZ66" s="11" t="n">
        <v>8797909</v>
      </c>
      <c r="BA66" s="11" t="n">
        <v>-12258398</v>
      </c>
      <c r="BB66" s="11" t="n">
        <v>97225069</v>
      </c>
      <c r="BC66" s="11" t="n">
        <v>77487055</v>
      </c>
      <c r="BD66" s="11" t="n">
        <v>566005234</v>
      </c>
      <c r="BE66" s="11" t="n">
        <v>-93634448</v>
      </c>
      <c r="BF66" s="11" t="n">
        <v>1010559969</v>
      </c>
      <c r="BG66" s="11" t="n">
        <v>648470480</v>
      </c>
      <c r="BH66" s="11" t="n">
        <v>-88567980</v>
      </c>
      <c r="BI66" s="11" t="n">
        <v>668317165</v>
      </c>
      <c r="BJ66" s="11" t="n">
        <v>552638510</v>
      </c>
      <c r="BK66" s="11" t="n">
        <v>47571550</v>
      </c>
      <c r="BL66" s="11" t="n">
        <v>10048880</v>
      </c>
      <c r="BM66" s="11" t="n">
        <v>221005735</v>
      </c>
      <c r="BN66" s="11" t="n">
        <v>-2901189</v>
      </c>
      <c r="BO66" s="11" t="n">
        <v>419233296</v>
      </c>
      <c r="BP66" s="11" t="n">
        <v>-68923778</v>
      </c>
      <c r="BQ66" s="11" t="n">
        <v>-72646464</v>
      </c>
      <c r="BR66" s="11" t="n">
        <v>-704629933</v>
      </c>
      <c r="BS66" s="11" t="n">
        <v>-883653800</v>
      </c>
      <c r="BT66" s="11" t="n">
        <v>1310283</v>
      </c>
      <c r="BU66" s="11" t="n">
        <v>-155353</v>
      </c>
      <c r="BV66" s="11" t="n">
        <v>20814</v>
      </c>
      <c r="BW66" s="11" t="n">
        <v>-1945919</v>
      </c>
      <c r="BX66" s="11" t="n">
        <v>-2011903</v>
      </c>
      <c r="BY66" s="11" t="n">
        <v>-8679374</v>
      </c>
      <c r="BZ66" s="11" t="n">
        <v>-35817504</v>
      </c>
      <c r="CA66" s="11" t="n">
        <v>-37043635</v>
      </c>
      <c r="CB66" s="11" t="n">
        <v>-108362408</v>
      </c>
      <c r="CC66" s="11" t="n">
        <v>4384556</v>
      </c>
      <c r="CD66" s="11" t="n">
        <v>-8497797</v>
      </c>
      <c r="CE66" s="11" t="n">
        <v>-479006</v>
      </c>
      <c r="CF66" s="11" t="n">
        <v>-53781502</v>
      </c>
      <c r="CG66" s="11" t="n">
        <v>-56718128</v>
      </c>
      <c r="CH66" s="11" t="n">
        <v>104051009</v>
      </c>
      <c r="CI66" s="11" t="n">
        <v>-471245757</v>
      </c>
      <c r="CJ66" s="11" t="n">
        <v>51507306</v>
      </c>
      <c r="CK66" s="11" t="n">
        <v>72072456</v>
      </c>
      <c r="CL66" s="11" t="n">
        <v>737657445</v>
      </c>
      <c r="CM66" s="11" t="n">
        <v>926857512</v>
      </c>
      <c r="CN66" s="11" t="n">
        <v>3752413330</v>
      </c>
      <c r="CO66" s="11" t="n">
        <v>1385350848</v>
      </c>
      <c r="CP66" s="11" t="n">
        <v>7859985749</v>
      </c>
      <c r="CQ66" s="11" t="n">
        <v>9599021032</v>
      </c>
      <c r="CR66" s="11" t="n">
        <v>422475856</v>
      </c>
      <c r="CS66" s="11" t="n">
        <v>5014684808</v>
      </c>
      <c r="CT66" s="11" t="n">
        <v>6331161024</v>
      </c>
      <c r="CU66" s="11" t="n">
        <v>966429688</v>
      </c>
      <c r="CV66" s="11" t="n">
        <v>1256664512</v>
      </c>
      <c r="CW66" s="11" t="n">
        <v>433526464</v>
      </c>
      <c r="CX66" s="11" t="n">
        <v>1971707</v>
      </c>
      <c r="CY66" s="11" t="n">
        <v>-35931414</v>
      </c>
      <c r="CZ66" s="11" t="n">
        <v>-17073668</v>
      </c>
      <c r="DA66" s="11" t="n">
        <v>-91805425</v>
      </c>
      <c r="DB66" s="11" t="n">
        <v>4228868</v>
      </c>
      <c r="DC66" s="11" t="n">
        <v>4952539</v>
      </c>
      <c r="DD66" s="11" t="n">
        <v>13912362</v>
      </c>
      <c r="DE66" s="11" t="n">
        <v>-53633446</v>
      </c>
      <c r="DF66" s="11" t="n">
        <v>-56630024</v>
      </c>
      <c r="DG66" s="11" t="n">
        <v>110125337</v>
      </c>
      <c r="DH66" s="11" t="n">
        <v>291909308</v>
      </c>
      <c r="DI66" s="11" t="n">
        <v>168839819</v>
      </c>
      <c r="DJ66" s="11" t="n">
        <v>771186482</v>
      </c>
      <c r="DK66" s="11" t="n">
        <v>-549113446</v>
      </c>
      <c r="DL66" s="11" t="n">
        <v>-462017264</v>
      </c>
      <c r="DM66" s="11" t="n">
        <v>1183456457</v>
      </c>
      <c r="DN66" s="11" t="n">
        <v>-371095160</v>
      </c>
      <c r="DO66" s="11" t="n">
        <v>-405690160</v>
      </c>
      <c r="DP66" s="11" t="n">
        <v>745734760</v>
      </c>
      <c r="DQ66" s="11" t="n">
        <v>175799640</v>
      </c>
      <c r="DR66" s="11" t="n">
        <v>-2797769</v>
      </c>
      <c r="DS66" s="11" t="n">
        <v>-4105</v>
      </c>
      <c r="DT66" s="11" t="n">
        <v>1341169</v>
      </c>
      <c r="DU66" s="11" t="n">
        <v>21127</v>
      </c>
      <c r="DV66" s="11" t="n">
        <v>-21086</v>
      </c>
      <c r="DW66" s="11" t="n">
        <v>16910</v>
      </c>
      <c r="DX66" s="11" t="n">
        <v>-95661</v>
      </c>
      <c r="DY66" s="11" t="n">
        <v>2859812</v>
      </c>
      <c r="DZ66" s="11" t="n">
        <v>325608781</v>
      </c>
      <c r="EA66" s="11" t="n">
        <v>13863092</v>
      </c>
      <c r="EB66" s="11" t="n">
        <v>16497364</v>
      </c>
      <c r="EC66" s="11" t="n">
        <v>-138750255</v>
      </c>
      <c r="ED66" s="11" t="n">
        <v>-133833296</v>
      </c>
      <c r="EE66" s="11" t="n">
        <v>1848657</v>
      </c>
      <c r="EF66" s="11" t="n">
        <v>41936</v>
      </c>
      <c r="EG66" s="11" t="n">
        <v>2652</v>
      </c>
      <c r="EH66" s="11" t="n">
        <v>-186295</v>
      </c>
      <c r="EI66" s="11" t="n">
        <v>-294148</v>
      </c>
      <c r="EJ66" s="11" t="n">
        <v>-4186769</v>
      </c>
      <c r="EK66" s="11" t="n">
        <v>-10362378</v>
      </c>
      <c r="EL66" s="11" t="n">
        <v>68480845</v>
      </c>
      <c r="EM66" s="11" t="n">
        <v>53022607</v>
      </c>
      <c r="EN66" s="11" t="n">
        <v>-229060</v>
      </c>
      <c r="EO66" s="11" t="n">
        <v>1131545</v>
      </c>
      <c r="EP66" s="11" t="n">
        <v>536620</v>
      </c>
      <c r="EQ66" s="11" t="n">
        <v>-946010</v>
      </c>
      <c r="ER66" s="11" t="n">
        <v>-1572740</v>
      </c>
      <c r="ES66" s="11" t="n">
        <v>5553035</v>
      </c>
      <c r="ET66" s="11" t="n">
        <v>-26393</v>
      </c>
      <c r="EU66" s="11" t="n">
        <v>-13795260</v>
      </c>
      <c r="EV66" s="11" t="n">
        <v>-354200</v>
      </c>
      <c r="EW66" s="11" t="n">
        <v>-1551836</v>
      </c>
      <c r="EX66" s="11" t="n">
        <v>1141273</v>
      </c>
      <c r="EY66" s="11" t="n">
        <v>-1162336</v>
      </c>
      <c r="EZ66" s="11" t="n">
        <v>-32893</v>
      </c>
      <c r="FA66" s="11" t="n">
        <v>-719</v>
      </c>
      <c r="FB66" s="11" t="n">
        <v>-2078</v>
      </c>
      <c r="FC66" s="11" t="n">
        <v>1515</v>
      </c>
      <c r="FD66" s="11" t="n">
        <v>-803</v>
      </c>
      <c r="FE66" s="11" t="n">
        <v>65620</v>
      </c>
      <c r="FF66" s="11" t="n">
        <v>847876</v>
      </c>
      <c r="FG66" s="11" t="n">
        <v>-630473</v>
      </c>
      <c r="FH66" s="11" t="n">
        <v>1028876</v>
      </c>
      <c r="FI66" s="11" t="n">
        <v>14388</v>
      </c>
      <c r="FJ66" s="11" t="n">
        <v>-10759</v>
      </c>
      <c r="FK66" s="11" t="n">
        <v>20888</v>
      </c>
      <c r="FL66" s="11" t="n">
        <v>-778</v>
      </c>
      <c r="FM66" s="11" t="n">
        <v>44300</v>
      </c>
      <c r="FN66" s="11" t="n">
        <v>-31997</v>
      </c>
      <c r="FO66" s="11" t="n">
        <v>11029523</v>
      </c>
      <c r="FP66" s="11" t="n">
        <v>231276</v>
      </c>
      <c r="FQ66" s="11" t="n">
        <v>1430620</v>
      </c>
      <c r="FR66" s="11" t="n">
        <v>142331</v>
      </c>
      <c r="FS66" s="11" t="n">
        <v>2450640</v>
      </c>
      <c r="FT66" s="11" t="n">
        <v>-27133880</v>
      </c>
      <c r="FU66" s="11" t="n">
        <v>99259804</v>
      </c>
      <c r="FV66" s="11" t="n">
        <v>551327623</v>
      </c>
      <c r="FW66" s="11" t="n">
        <v>795180704</v>
      </c>
      <c r="FX66" s="11" t="n">
        <v>5600848</v>
      </c>
      <c r="FY66" s="11" t="n">
        <v>11910836</v>
      </c>
      <c r="FZ66" s="11" t="n">
        <v>22702848</v>
      </c>
      <c r="GA66" s="11" t="n">
        <v>70230832</v>
      </c>
      <c r="GB66" s="11" t="n">
        <v>81087040</v>
      </c>
      <c r="GC66" s="11" t="n">
        <v>-112237552</v>
      </c>
      <c r="GD66" s="11" t="n">
        <v>-12233</v>
      </c>
      <c r="GE66" s="11" t="n">
        <v>914562</v>
      </c>
      <c r="GF66" s="11" t="n">
        <v>810496</v>
      </c>
      <c r="GG66" s="11" t="n">
        <v>2718607</v>
      </c>
      <c r="GH66" s="11" t="n">
        <v>20764</v>
      </c>
      <c r="GI66" s="11" t="n">
        <v>17153</v>
      </c>
      <c r="GJ66" s="11" t="n">
        <v>59724</v>
      </c>
      <c r="GK66" s="11" t="n">
        <v>93326</v>
      </c>
      <c r="GL66" s="11" t="n">
        <v>149420</v>
      </c>
      <c r="GM66" s="11" t="n">
        <v>-145001</v>
      </c>
      <c r="GN66" s="11" t="n">
        <v>-2139836</v>
      </c>
      <c r="GO66" s="11" t="n">
        <v>-1382427</v>
      </c>
      <c r="GP66" s="11" t="n">
        <v>-5806136</v>
      </c>
      <c r="GQ66" s="11" t="n">
        <v>-38421754</v>
      </c>
      <c r="GR66" s="11" t="n">
        <v>-41469940</v>
      </c>
      <c r="GS66" s="11" t="n">
        <v>77460499</v>
      </c>
      <c r="GT66" s="11" t="n">
        <v>-653960</v>
      </c>
      <c r="GU66" s="11" t="n">
        <v>-591920</v>
      </c>
      <c r="GV66" s="11" t="n">
        <v>1392020</v>
      </c>
      <c r="GW66" s="11" t="n">
        <v>2045520</v>
      </c>
      <c r="GX66" s="11" t="n">
        <v>11053</v>
      </c>
      <c r="GY66" s="11" t="n">
        <v>-124782192</v>
      </c>
      <c r="GZ66" s="11" t="n">
        <v>2171106</v>
      </c>
      <c r="HA66" s="11" t="n">
        <v>-5955872</v>
      </c>
      <c r="HB66" s="11" t="n">
        <v>55511141</v>
      </c>
      <c r="HC66" s="11" t="n">
        <v>51471400</v>
      </c>
      <c r="HD66" s="11" t="n">
        <v>-177787</v>
      </c>
      <c r="HE66" s="11" t="n">
        <v>3269</v>
      </c>
      <c r="HF66" s="11" t="n">
        <v>-8822</v>
      </c>
      <c r="HG66" s="11" t="n">
        <v>81515</v>
      </c>
      <c r="HH66" s="11" t="n">
        <v>75143</v>
      </c>
      <c r="HI66" s="11" t="n">
        <v>-1983042</v>
      </c>
      <c r="HJ66" s="11" t="n">
        <v>3795520</v>
      </c>
      <c r="HK66" s="11" t="n">
        <v>-27364621</v>
      </c>
      <c r="HL66" s="11" t="n">
        <v>-20407352</v>
      </c>
      <c r="HM66" s="11" t="n">
        <v>28612</v>
      </c>
      <c r="HN66" s="11" t="n">
        <v>-406063</v>
      </c>
      <c r="HO66" s="11" t="n">
        <v>-462914</v>
      </c>
      <c r="HP66" s="11" t="n">
        <v>382374</v>
      </c>
      <c r="HQ66" s="11" t="n">
        <v>591568</v>
      </c>
      <c r="HR66" s="11" t="n">
        <v>-2209129</v>
      </c>
      <c r="HS66" s="11" t="n">
        <v>128835713</v>
      </c>
      <c r="HT66" s="11" t="n">
        <v>-2164484</v>
      </c>
      <c r="HU66" s="11" t="n">
        <v>6153124</v>
      </c>
      <c r="HV66" s="11" t="n">
        <v>-57290303</v>
      </c>
      <c r="HW66" s="11" t="n">
        <v>-53141552</v>
      </c>
      <c r="HX66" s="11" t="n">
        <v>-870979050</v>
      </c>
      <c r="HY66" s="11" t="n">
        <v>-42638624</v>
      </c>
      <c r="HZ66" s="11" t="n">
        <v>-272128969</v>
      </c>
      <c r="IA66" s="11" t="n">
        <v>-21276872</v>
      </c>
      <c r="IB66" s="11" t="n">
        <v>42313832</v>
      </c>
      <c r="IC66" s="11" t="n">
        <v>-382732658</v>
      </c>
      <c r="ID66" s="11" t="n">
        <v>-358899904</v>
      </c>
      <c r="IE66" s="11" t="n">
        <v>-31957156</v>
      </c>
      <c r="IF66" s="11" t="n">
        <v>-18603552</v>
      </c>
      <c r="IG66" s="11" t="n">
        <v>-102785144</v>
      </c>
      <c r="IH66" s="11" t="n">
        <v>-3288413</v>
      </c>
      <c r="II66" s="11" t="n">
        <v>3858066</v>
      </c>
      <c r="IJ66" s="11" t="n">
        <v>-28641278</v>
      </c>
      <c r="IK66" s="11" t="n">
        <v>-21100595</v>
      </c>
      <c r="IL66" s="11" t="n">
        <v>92236</v>
      </c>
      <c r="IM66" s="11" t="n">
        <v>-981099</v>
      </c>
      <c r="IN66" s="11" t="n">
        <v>-1001892</v>
      </c>
      <c r="IO66" s="11" t="n">
        <v>347702</v>
      </c>
      <c r="IP66" s="11" t="n">
        <v>583604</v>
      </c>
      <c r="IQ66" s="11" t="n">
        <v>-2430867</v>
      </c>
      <c r="IR66" s="11" t="n">
        <v>-27170324</v>
      </c>
      <c r="IS66" s="11" t="n">
        <v>186680231</v>
      </c>
      <c r="IT66" s="11" t="n">
        <v>142105078</v>
      </c>
      <c r="IU66" s="11" t="n">
        <v>17628002</v>
      </c>
      <c r="IV66" s="11" t="n">
        <v>7620464</v>
      </c>
      <c r="IW66" s="11" t="n">
        <v>39839003</v>
      </c>
      <c r="IX66" s="11" t="n">
        <v>2870120</v>
      </c>
      <c r="IY66" s="11" t="n">
        <v>4292200</v>
      </c>
      <c r="IZ66" s="11" t="n">
        <v>-14479410</v>
      </c>
      <c r="JA66" s="11" t="n">
        <v>-1979780</v>
      </c>
      <c r="JB66" s="11" t="n">
        <v>-1231644</v>
      </c>
      <c r="JC66" s="11" t="n">
        <v>19082</v>
      </c>
      <c r="JD66" s="11" t="n">
        <v>-62316</v>
      </c>
      <c r="JE66" s="11" t="n">
        <v>528178</v>
      </c>
      <c r="JF66" s="11" t="n">
        <v>480968</v>
      </c>
      <c r="JG66" s="11" t="n">
        <v>26502840</v>
      </c>
      <c r="JH66" s="11" t="n">
        <v>39845568</v>
      </c>
      <c r="JI66" s="11" t="n">
        <v>222813276</v>
      </c>
      <c r="JJ66" s="11" t="n">
        <v>305636448</v>
      </c>
      <c r="JK66" s="11" t="n">
        <v>-1958264</v>
      </c>
      <c r="JL66" s="11" t="n">
        <v>7913402</v>
      </c>
      <c r="JM66" s="11" t="n">
        <v>5614336</v>
      </c>
      <c r="JN66" s="11" t="n">
        <v>28360780</v>
      </c>
      <c r="JO66" s="11" t="n">
        <v>31023968</v>
      </c>
      <c r="JP66" s="11" t="n">
        <v>-44058504</v>
      </c>
      <c r="JQ66" s="11" t="n">
        <v>57334</v>
      </c>
      <c r="JR66" s="11" t="n">
        <v>19308</v>
      </c>
      <c r="JS66" s="11" t="n">
        <v>587558</v>
      </c>
      <c r="JT66" s="11" t="n">
        <v>636892</v>
      </c>
      <c r="JU66" s="11" t="n">
        <v>-3200</v>
      </c>
      <c r="JV66" s="11" t="n">
        <v>15484</v>
      </c>
      <c r="JW66" s="11" t="n">
        <v>12522</v>
      </c>
      <c r="JX66" s="11" t="n">
        <v>38008</v>
      </c>
      <c r="JY66" s="11" t="n">
        <v>39764</v>
      </c>
      <c r="JZ66" s="11" t="n">
        <v>-43678</v>
      </c>
      <c r="KA66" s="11" t="n">
        <v>1439368</v>
      </c>
      <c r="KB66" s="11" t="n">
        <v>-2271094</v>
      </c>
      <c r="KC66" s="11" t="n">
        <v>522808</v>
      </c>
      <c r="KD66" s="11" t="n">
        <v>-15515444</v>
      </c>
      <c r="KE66" s="11" t="n">
        <v>-15813088</v>
      </c>
      <c r="KF66" s="11" t="n">
        <v>30586068</v>
      </c>
      <c r="KG66" s="11" t="n">
        <v>-261968</v>
      </c>
      <c r="KH66" s="11" t="n">
        <v>-343544</v>
      </c>
      <c r="KI66" s="11" t="n">
        <v>637210</v>
      </c>
      <c r="KJ66" s="11" t="n">
        <v>825164</v>
      </c>
      <c r="KK66" s="11" t="n">
        <v>-18766910</v>
      </c>
      <c r="KL66" s="11" t="n">
        <v>-40719084</v>
      </c>
      <c r="KM66" s="11" t="n">
        <v>-227365306</v>
      </c>
      <c r="KN66" s="11" t="n">
        <v>-315354968</v>
      </c>
      <c r="KO66" s="11" t="n">
        <v>1580392</v>
      </c>
      <c r="KP66" s="11" t="n">
        <v>-4525402</v>
      </c>
      <c r="KQ66" s="11" t="n">
        <v>-2442816</v>
      </c>
      <c r="KR66" s="11" t="n">
        <v>-28965692</v>
      </c>
      <c r="KS66" s="11" t="n">
        <v>-31856800</v>
      </c>
      <c r="KT66" s="11" t="n">
        <v>46448584</v>
      </c>
      <c r="KU66" s="11" t="n">
        <v>269065720</v>
      </c>
      <c r="KV66" s="11" t="n">
        <v>1497437270</v>
      </c>
      <c r="KW66" s="11" t="n">
        <v>2128821760</v>
      </c>
      <c r="KX66" s="11" t="n">
        <v>-10760204</v>
      </c>
      <c r="KY66" s="11" t="n">
        <v>97643168</v>
      </c>
      <c r="KZ66" s="11" t="n">
        <v>628549320</v>
      </c>
      <c r="LA66" s="11" t="n">
        <v>-190983408</v>
      </c>
      <c r="LB66" s="11" t="n">
        <v>-214294784</v>
      </c>
      <c r="LC66" s="11" t="n">
        <v>318422720</v>
      </c>
      <c r="LD66" s="11" t="n">
        <v>77877184</v>
      </c>
      <c r="LE66" s="11" t="n">
        <v>1601304</v>
      </c>
      <c r="LF66" s="11" t="n">
        <v>1631246</v>
      </c>
      <c r="LG66" s="11" t="n">
        <v>4975518</v>
      </c>
      <c r="LH66" s="11" t="n">
        <v>-15860796</v>
      </c>
      <c r="LI66" s="11" t="n">
        <v>-16112436</v>
      </c>
      <c r="LJ66" s="11" t="n">
        <v>32868418</v>
      </c>
      <c r="LK66" s="11" t="n">
        <v>-523504</v>
      </c>
      <c r="LL66" s="11" t="n">
        <v>-627432</v>
      </c>
      <c r="LM66" s="11" t="n">
        <v>987450</v>
      </c>
      <c r="LN66" s="11" t="n">
        <v>947132</v>
      </c>
      <c r="LO66" s="11" t="n">
        <v>104382656</v>
      </c>
      <c r="LP66" s="11" t="n">
        <v>110308488</v>
      </c>
      <c r="LQ66" s="11" t="n">
        <v>-211963190</v>
      </c>
      <c r="LR66" s="11" t="n">
        <v>-42291508</v>
      </c>
      <c r="LS66" s="11" t="n">
        <v>4837360</v>
      </c>
    </row>
    <row r="67" customFormat="false" ht="15" hidden="false" customHeight="true" outlineLevel="0" collapsed="false">
      <c r="A67" s="7" t="s">
        <v>133</v>
      </c>
      <c r="B67" s="11" t="n">
        <v>-222611</v>
      </c>
      <c r="C67" s="11" t="n">
        <v>76192183</v>
      </c>
      <c r="D67" s="11" t="n">
        <v>-283580</v>
      </c>
      <c r="E67" s="11" t="n">
        <v>-45774493</v>
      </c>
      <c r="F67" s="11" t="n">
        <v>-6048177</v>
      </c>
      <c r="G67" s="11" t="n">
        <v>70087960</v>
      </c>
      <c r="H67" s="11" t="n">
        <v>12779981</v>
      </c>
      <c r="I67" s="11" t="n">
        <v>38632793</v>
      </c>
      <c r="J67" s="11" t="n">
        <v>6780226</v>
      </c>
      <c r="K67" s="11" t="n">
        <v>-2802</v>
      </c>
      <c r="L67" s="11" t="n">
        <v>-4382305</v>
      </c>
      <c r="M67" s="11" t="n">
        <v>-410960</v>
      </c>
      <c r="N67" s="11" t="n">
        <v>5783518</v>
      </c>
      <c r="O67" s="11" t="n">
        <v>-61215</v>
      </c>
      <c r="P67" s="11" t="n">
        <v>3318978</v>
      </c>
      <c r="Q67" s="11" t="n">
        <v>-7678174</v>
      </c>
      <c r="R67" s="11" t="n">
        <v>105726927</v>
      </c>
      <c r="S67" s="11" t="n">
        <v>-43556102</v>
      </c>
      <c r="T67" s="11" t="n">
        <v>155218506</v>
      </c>
      <c r="U67" s="11" t="n">
        <v>410201041</v>
      </c>
      <c r="V67" s="11" t="n">
        <v>40693804</v>
      </c>
      <c r="W67" s="11" t="n">
        <v>-5006374</v>
      </c>
      <c r="X67" s="11" t="n">
        <v>-447386</v>
      </c>
      <c r="Y67" s="11" t="n">
        <v>6485320</v>
      </c>
      <c r="Z67" s="11" t="n">
        <v>-238842</v>
      </c>
      <c r="AA67" s="11" t="n">
        <v>3741714</v>
      </c>
      <c r="AB67" s="11" t="n">
        <v>34560155</v>
      </c>
      <c r="AC67" s="11" t="n">
        <v>-190508166</v>
      </c>
      <c r="AD67" s="11" t="n">
        <v>-264173200</v>
      </c>
      <c r="AE67" s="11" t="n">
        <v>-78056101</v>
      </c>
      <c r="AF67" s="11" t="n">
        <v>27745226</v>
      </c>
      <c r="AG67" s="11" t="n">
        <v>-25256165</v>
      </c>
      <c r="AH67" s="11" t="n">
        <v>18854566</v>
      </c>
      <c r="AI67" s="11" t="n">
        <v>351301978</v>
      </c>
      <c r="AJ67" s="11" t="n">
        <v>-41269046</v>
      </c>
      <c r="AK67" s="11" t="n">
        <v>-201164283</v>
      </c>
      <c r="AL67" s="11" t="n">
        <v>-22914431</v>
      </c>
      <c r="AM67" s="11" t="n">
        <v>16668</v>
      </c>
      <c r="AN67" s="11" t="n">
        <v>12900245</v>
      </c>
      <c r="AO67" s="11" t="n">
        <v>1331585</v>
      </c>
      <c r="AP67" s="11" t="n">
        <v>-21814682</v>
      </c>
      <c r="AQ67" s="11" t="n">
        <v>-5047639</v>
      </c>
      <c r="AR67" s="11" t="n">
        <v>-12023417</v>
      </c>
      <c r="AS67" s="11" t="n">
        <v>23485376</v>
      </c>
      <c r="AT67" s="11" t="n">
        <v>296475168</v>
      </c>
      <c r="AU67" s="11" t="n">
        <v>166811912</v>
      </c>
      <c r="AV67" s="11" t="n">
        <v>251930586</v>
      </c>
      <c r="AW67" s="11" t="n">
        <v>412129866</v>
      </c>
      <c r="AX67" s="11" t="n">
        <v>138546248</v>
      </c>
      <c r="AY67" s="11" t="n">
        <v>13006016</v>
      </c>
      <c r="AZ67" s="11" t="n">
        <v>1243424</v>
      </c>
      <c r="BA67" s="11" t="n">
        <v>-22541480</v>
      </c>
      <c r="BB67" s="11" t="n">
        <v>-5473192</v>
      </c>
      <c r="BC67" s="11" t="n">
        <v>-12423776</v>
      </c>
      <c r="BD67" s="11" t="n">
        <v>-76682360</v>
      </c>
      <c r="BE67" s="11" t="n">
        <v>-424076766</v>
      </c>
      <c r="BF67" s="11" t="n">
        <v>-297326862</v>
      </c>
      <c r="BG67" s="11" t="n">
        <v>-233561336</v>
      </c>
      <c r="BH67" s="11" t="n">
        <v>-173445974</v>
      </c>
      <c r="BI67" s="11" t="n">
        <v>-60695038</v>
      </c>
      <c r="BJ67" s="11" t="n">
        <v>-95578864</v>
      </c>
      <c r="BK67" s="11" t="n">
        <v>336854418</v>
      </c>
      <c r="BL67" s="11" t="n">
        <v>-293446</v>
      </c>
      <c r="BM67" s="11" t="n">
        <v>-185729150</v>
      </c>
      <c r="BN67" s="11" t="n">
        <v>-219246</v>
      </c>
      <c r="BO67" s="11" t="n">
        <v>58179735</v>
      </c>
      <c r="BP67" s="11" t="n">
        <v>1745050</v>
      </c>
      <c r="BQ67" s="11" t="n">
        <v>69100134</v>
      </c>
      <c r="BR67" s="11" t="n">
        <v>160040789</v>
      </c>
      <c r="BS67" s="11" t="n">
        <v>24567484</v>
      </c>
      <c r="BT67" s="11" t="n">
        <v>-165750</v>
      </c>
      <c r="BU67" s="11" t="n">
        <v>-14010</v>
      </c>
      <c r="BV67" s="11" t="n">
        <v>158460</v>
      </c>
      <c r="BW67" s="11" t="n">
        <v>-68118</v>
      </c>
      <c r="BX67" s="11" t="n">
        <v>97170</v>
      </c>
      <c r="BY67" s="11" t="n">
        <v>2398475</v>
      </c>
      <c r="BZ67" s="11" t="n">
        <v>-94289100</v>
      </c>
      <c r="CA67" s="11" t="n">
        <v>-102914870</v>
      </c>
      <c r="CB67" s="11" t="n">
        <v>-44358325</v>
      </c>
      <c r="CC67" s="11" t="n">
        <v>-5676790</v>
      </c>
      <c r="CD67" s="11" t="n">
        <v>-9684565</v>
      </c>
      <c r="CE67" s="11" t="n">
        <v>-2343290</v>
      </c>
      <c r="CF67" s="11" t="n">
        <v>137138312</v>
      </c>
      <c r="CG67" s="11" t="n">
        <v>-12869090</v>
      </c>
      <c r="CH67" s="11" t="n">
        <v>-78563127</v>
      </c>
      <c r="CI67" s="11" t="n">
        <v>-62466048</v>
      </c>
      <c r="CJ67" s="11" t="n">
        <v>-3384592</v>
      </c>
      <c r="CK67" s="11" t="n">
        <v>-73232340</v>
      </c>
      <c r="CL67" s="11" t="n">
        <v>-167971700</v>
      </c>
      <c r="CM67" s="11" t="n">
        <v>-26505232</v>
      </c>
      <c r="CN67" s="11" t="n">
        <v>400957320</v>
      </c>
      <c r="CO67" s="11" t="n">
        <v>-254390742</v>
      </c>
      <c r="CP67" s="11" t="n">
        <v>-1024267782</v>
      </c>
      <c r="CQ67" s="11" t="n">
        <v>33905928</v>
      </c>
      <c r="CR67" s="11" t="n">
        <v>-483847668</v>
      </c>
      <c r="CS67" s="11" t="n">
        <v>-1133675228</v>
      </c>
      <c r="CT67" s="11" t="n">
        <v>-168294768</v>
      </c>
      <c r="CU67" s="11" t="n">
        <v>-516746010</v>
      </c>
      <c r="CV67" s="11" t="n">
        <v>147691368</v>
      </c>
      <c r="CW67" s="11" t="n">
        <v>525784688</v>
      </c>
      <c r="CX67" s="11" t="n">
        <v>1432880</v>
      </c>
      <c r="CY67" s="11" t="n">
        <v>-100510980</v>
      </c>
      <c r="CZ67" s="11" t="n">
        <v>-107578916</v>
      </c>
      <c r="DA67" s="11" t="n">
        <v>-47722960</v>
      </c>
      <c r="DB67" s="11" t="n">
        <v>-7125820</v>
      </c>
      <c r="DC67" s="11" t="n">
        <v>-9681964</v>
      </c>
      <c r="DD67" s="11" t="n">
        <v>-3193760</v>
      </c>
      <c r="DE67" s="11" t="n">
        <v>144154220</v>
      </c>
      <c r="DF67" s="11" t="n">
        <v>-13299980</v>
      </c>
      <c r="DG67" s="11" t="n">
        <v>-82680156</v>
      </c>
      <c r="DH67" s="11" t="n">
        <v>639324930</v>
      </c>
      <c r="DI67" s="11" t="n">
        <v>667032770</v>
      </c>
      <c r="DJ67" s="11" t="n">
        <v>307102080</v>
      </c>
      <c r="DK67" s="11" t="n">
        <v>1209986556</v>
      </c>
      <c r="DL67" s="11" t="n">
        <v>-248906370</v>
      </c>
      <c r="DM67" s="11" t="n">
        <v>-840915266</v>
      </c>
      <c r="DN67" s="11" t="n">
        <v>1002711674</v>
      </c>
      <c r="DO67" s="11" t="n">
        <v>-102244260</v>
      </c>
      <c r="DP67" s="11" t="n">
        <v>-588331684</v>
      </c>
      <c r="DQ67" s="11" t="n">
        <v>196875074</v>
      </c>
      <c r="DR67" s="11" t="n">
        <v>425849</v>
      </c>
      <c r="DS67" s="11" t="n">
        <v>-162</v>
      </c>
      <c r="DT67" s="11" t="n">
        <v>-291978</v>
      </c>
      <c r="DU67" s="11" t="n">
        <v>-23760</v>
      </c>
      <c r="DV67" s="11" t="n">
        <v>305778</v>
      </c>
      <c r="DW67" s="11" t="n">
        <v>2181</v>
      </c>
      <c r="DX67" s="11" t="n">
        <v>167102</v>
      </c>
      <c r="DY67" s="11" t="n">
        <v>-487034</v>
      </c>
      <c r="DZ67" s="11" t="n">
        <v>12368747</v>
      </c>
      <c r="EA67" s="11" t="n">
        <v>-3437763</v>
      </c>
      <c r="EB67" s="11" t="n">
        <v>29419006</v>
      </c>
      <c r="EC67" s="11" t="n">
        <v>23701286</v>
      </c>
      <c r="ED67" s="11" t="n">
        <v>16710181</v>
      </c>
      <c r="EE67" s="11" t="n">
        <v>-338634</v>
      </c>
      <c r="EF67" s="11" t="n">
        <v>-25866</v>
      </c>
      <c r="EG67" s="11" t="n">
        <v>338520</v>
      </c>
      <c r="EH67" s="11" t="n">
        <v>-6522</v>
      </c>
      <c r="EI67" s="11" t="n">
        <v>184754</v>
      </c>
      <c r="EJ67" s="11" t="n">
        <v>3047166</v>
      </c>
      <c r="EK67" s="11" t="n">
        <v>-29052066</v>
      </c>
      <c r="EL67" s="11" t="n">
        <v>-16313835</v>
      </c>
      <c r="EM67" s="11" t="n">
        <v>-16310588</v>
      </c>
      <c r="EN67" s="11" t="n">
        <v>827046</v>
      </c>
      <c r="EO67" s="11" t="n">
        <v>-1304793</v>
      </c>
      <c r="EP67" s="11" t="n">
        <v>416634</v>
      </c>
      <c r="EQ67" s="11" t="n">
        <v>16867878</v>
      </c>
      <c r="ER67" s="11" t="n">
        <v>454694</v>
      </c>
      <c r="ES67" s="11" t="n">
        <v>-9214739</v>
      </c>
      <c r="ET67" s="11" t="n">
        <v>-426</v>
      </c>
      <c r="EU67" s="11" t="n">
        <v>509753</v>
      </c>
      <c r="EV67" s="11" t="n">
        <v>-62480</v>
      </c>
      <c r="EW67" s="11" t="n">
        <v>1750414</v>
      </c>
      <c r="EX67" s="11" t="n">
        <v>-183531</v>
      </c>
      <c r="EY67" s="11" t="n">
        <v>1259570</v>
      </c>
      <c r="EZ67" s="11" t="n">
        <v>-486</v>
      </c>
      <c r="FA67" s="11" t="n">
        <v>0</v>
      </c>
      <c r="FB67" s="11" t="n">
        <v>-360</v>
      </c>
      <c r="FC67" s="11" t="n">
        <v>72</v>
      </c>
      <c r="FD67" s="11" t="n">
        <v>-312</v>
      </c>
      <c r="FE67" s="11" t="n">
        <v>71280</v>
      </c>
      <c r="FF67" s="11" t="n">
        <v>-1566174</v>
      </c>
      <c r="FG67" s="11" t="n">
        <v>123225</v>
      </c>
      <c r="FH67" s="11" t="n">
        <v>-1063634</v>
      </c>
      <c r="FI67" s="11" t="n">
        <v>-52800</v>
      </c>
      <c r="FJ67" s="11" t="n">
        <v>10560</v>
      </c>
      <c r="FK67" s="11" t="n">
        <v>-45760</v>
      </c>
      <c r="FL67" s="11" t="n">
        <v>-140748</v>
      </c>
      <c r="FM67" s="11" t="n">
        <v>217568</v>
      </c>
      <c r="FN67" s="11" t="n">
        <v>78468</v>
      </c>
      <c r="FO67" s="11" t="n">
        <v>-570620</v>
      </c>
      <c r="FP67" s="11" t="n">
        <v>68018</v>
      </c>
      <c r="FQ67" s="11" t="n">
        <v>-1972480</v>
      </c>
      <c r="FR67" s="11" t="n">
        <v>233610</v>
      </c>
      <c r="FS67" s="11" t="n">
        <v>-1423826</v>
      </c>
      <c r="FT67" s="11" t="n">
        <v>2300371</v>
      </c>
      <c r="FU67" s="11" t="n">
        <v>15625260</v>
      </c>
      <c r="FV67" s="11" t="n">
        <v>-33701735</v>
      </c>
      <c r="FW67" s="11" t="n">
        <v>16581553</v>
      </c>
      <c r="FX67" s="11" t="n">
        <v>-9814298</v>
      </c>
      <c r="FY67" s="11" t="n">
        <v>4959017</v>
      </c>
      <c r="FZ67" s="11" t="n">
        <v>-7716470</v>
      </c>
      <c r="GA67" s="11" t="n">
        <v>-110100910</v>
      </c>
      <c r="GB67" s="11" t="n">
        <v>18329414</v>
      </c>
      <c r="GC67" s="11" t="n">
        <v>77305019</v>
      </c>
      <c r="GD67" s="11" t="n">
        <v>77598</v>
      </c>
      <c r="GE67" s="11" t="n">
        <v>-1768080</v>
      </c>
      <c r="GF67" s="11" t="n">
        <v>170070</v>
      </c>
      <c r="GG67" s="11" t="n">
        <v>-1206446</v>
      </c>
      <c r="GH67" s="11" t="n">
        <v>-57480</v>
      </c>
      <c r="GI67" s="11" t="n">
        <v>11496</v>
      </c>
      <c r="GJ67" s="11" t="n">
        <v>-49816</v>
      </c>
      <c r="GK67" s="11" t="n">
        <v>-135960</v>
      </c>
      <c r="GL67" s="11" t="n">
        <v>241400</v>
      </c>
      <c r="GM67" s="11" t="n">
        <v>69552</v>
      </c>
      <c r="GN67" s="11" t="n">
        <v>9252618</v>
      </c>
      <c r="GO67" s="11" t="n">
        <v>-5268675</v>
      </c>
      <c r="GP67" s="11" t="n">
        <v>7118518</v>
      </c>
      <c r="GQ67" s="11" t="n">
        <v>99768630</v>
      </c>
      <c r="GR67" s="11" t="n">
        <v>-18342294</v>
      </c>
      <c r="GS67" s="11" t="n">
        <v>-66312605</v>
      </c>
      <c r="GT67" s="11" t="n">
        <v>2531964</v>
      </c>
      <c r="GU67" s="11" t="n">
        <v>666976</v>
      </c>
      <c r="GV67" s="11" t="n">
        <v>-2327764</v>
      </c>
      <c r="GW67" s="11" t="n">
        <v>12211172</v>
      </c>
      <c r="GX67" s="11" t="n">
        <v>15210</v>
      </c>
      <c r="GY67" s="11" t="n">
        <v>-5376883</v>
      </c>
      <c r="GZ67" s="11" t="n">
        <v>101555</v>
      </c>
      <c r="HA67" s="11" t="n">
        <v>-10255700</v>
      </c>
      <c r="HB67" s="11" t="n">
        <v>-9431500</v>
      </c>
      <c r="HC67" s="11" t="n">
        <v>-5799861</v>
      </c>
      <c r="HD67" s="11" t="n">
        <v>12474</v>
      </c>
      <c r="HE67" s="11" t="n">
        <v>810</v>
      </c>
      <c r="HF67" s="11" t="n">
        <v>-7020</v>
      </c>
      <c r="HG67" s="11" t="n">
        <v>3510</v>
      </c>
      <c r="HH67" s="11" t="n">
        <v>-3762</v>
      </c>
      <c r="HI67" s="11" t="n">
        <v>-369630</v>
      </c>
      <c r="HJ67" s="11" t="n">
        <v>10892526</v>
      </c>
      <c r="HK67" s="11" t="n">
        <v>6494127</v>
      </c>
      <c r="HL67" s="11" t="n">
        <v>6086476</v>
      </c>
      <c r="HM67" s="11" t="n">
        <v>499290</v>
      </c>
      <c r="HN67" s="11" t="n">
        <v>525705</v>
      </c>
      <c r="HO67" s="11" t="n">
        <v>283750</v>
      </c>
      <c r="HP67" s="11" t="n">
        <v>-6719700</v>
      </c>
      <c r="HQ67" s="11" t="n">
        <v>-140242</v>
      </c>
      <c r="HR67" s="11" t="n">
        <v>3671191</v>
      </c>
      <c r="HS67" s="11" t="n">
        <v>5707648</v>
      </c>
      <c r="HT67" s="11" t="n">
        <v>6640</v>
      </c>
      <c r="HU67" s="11" t="n">
        <v>10678460</v>
      </c>
      <c r="HV67" s="11" t="n">
        <v>9940060</v>
      </c>
      <c r="HW67" s="11" t="n">
        <v>6036336</v>
      </c>
      <c r="HX67" s="11" t="n">
        <v>-40456456</v>
      </c>
      <c r="HY67" s="11" t="n">
        <v>73576302</v>
      </c>
      <c r="HZ67" s="11" t="n">
        <v>25321662</v>
      </c>
      <c r="IA67" s="11" t="n">
        <v>42530744</v>
      </c>
      <c r="IB67" s="11" t="n">
        <v>75775730</v>
      </c>
      <c r="IC67" s="11" t="n">
        <v>70485730</v>
      </c>
      <c r="ID67" s="11" t="n">
        <v>42835712</v>
      </c>
      <c r="IE67" s="11" t="n">
        <v>-80761200</v>
      </c>
      <c r="IF67" s="11" t="n">
        <v>1757566</v>
      </c>
      <c r="IG67" s="11" t="n">
        <v>47288846</v>
      </c>
      <c r="IH67" s="11" t="n">
        <v>-298512</v>
      </c>
      <c r="II67" s="11" t="n">
        <v>11391900</v>
      </c>
      <c r="IJ67" s="11" t="n">
        <v>6834876</v>
      </c>
      <c r="IK67" s="11" t="n">
        <v>6362224</v>
      </c>
      <c r="IL67" s="11" t="n">
        <v>571740</v>
      </c>
      <c r="IM67" s="11" t="n">
        <v>527820</v>
      </c>
      <c r="IN67" s="11" t="n">
        <v>323104</v>
      </c>
      <c r="IO67" s="11" t="n">
        <v>-7051980</v>
      </c>
      <c r="IP67" s="11" t="n">
        <v>-144820</v>
      </c>
      <c r="IQ67" s="11" t="n">
        <v>3851548</v>
      </c>
      <c r="IR67" s="11" t="n">
        <v>-76899012</v>
      </c>
      <c r="IS67" s="11" t="n">
        <v>-47122044</v>
      </c>
      <c r="IT67" s="11" t="n">
        <v>-42871792</v>
      </c>
      <c r="IU67" s="11" t="n">
        <v>37567674</v>
      </c>
      <c r="IV67" s="11" t="n">
        <v>-2872824</v>
      </c>
      <c r="IW67" s="11" t="n">
        <v>-22704672</v>
      </c>
      <c r="IX67" s="11" t="n">
        <v>-45717690</v>
      </c>
      <c r="IY67" s="11" t="n">
        <v>-1121764</v>
      </c>
      <c r="IZ67" s="11" t="n">
        <v>24800572</v>
      </c>
      <c r="JA67" s="11" t="n">
        <v>2255958</v>
      </c>
      <c r="JB67" s="11" t="n">
        <v>-12828</v>
      </c>
      <c r="JC67" s="11" t="n">
        <v>2130</v>
      </c>
      <c r="JD67" s="11" t="n">
        <v>-52260</v>
      </c>
      <c r="JE67" s="11" t="n">
        <v>15990</v>
      </c>
      <c r="JF67" s="11" t="n">
        <v>-39186</v>
      </c>
      <c r="JG67" s="11" t="n">
        <v>-667325</v>
      </c>
      <c r="JH67" s="11" t="n">
        <v>9824838</v>
      </c>
      <c r="JI67" s="11" t="n">
        <v>-13607077</v>
      </c>
      <c r="JJ67" s="11" t="n">
        <v>8961073</v>
      </c>
      <c r="JK67" s="11" t="n">
        <v>1087270</v>
      </c>
      <c r="JL67" s="11" t="n">
        <v>1427545</v>
      </c>
      <c r="JM67" s="11" t="n">
        <v>550570</v>
      </c>
      <c r="JN67" s="11" t="n">
        <v>-43187300</v>
      </c>
      <c r="JO67" s="11" t="n">
        <v>6494354</v>
      </c>
      <c r="JP67" s="11" t="n">
        <v>30395959</v>
      </c>
      <c r="JQ67" s="11" t="n">
        <v>2430</v>
      </c>
      <c r="JR67" s="11" t="n">
        <v>-48780</v>
      </c>
      <c r="JS67" s="11" t="n">
        <v>16074</v>
      </c>
      <c r="JT67" s="11" t="n">
        <v>-35310</v>
      </c>
      <c r="JU67" s="11" t="n">
        <v>-1800</v>
      </c>
      <c r="JV67" s="11" t="n">
        <v>360</v>
      </c>
      <c r="JW67" s="11" t="n">
        <v>-1560</v>
      </c>
      <c r="JX67" s="11" t="n">
        <v>4680</v>
      </c>
      <c r="JY67" s="11" t="n">
        <v>5160</v>
      </c>
      <c r="JZ67" s="11" t="n">
        <v>-5088</v>
      </c>
      <c r="KA67" s="11" t="n">
        <v>-676470</v>
      </c>
      <c r="KB67" s="11" t="n">
        <v>-1741395</v>
      </c>
      <c r="KC67" s="11" t="n">
        <v>-139370</v>
      </c>
      <c r="KD67" s="11" t="n">
        <v>39431616</v>
      </c>
      <c r="KE67" s="11" t="n">
        <v>-7031970</v>
      </c>
      <c r="KF67" s="11" t="n">
        <v>-26225881</v>
      </c>
      <c r="KG67" s="11" t="n">
        <v>1390140</v>
      </c>
      <c r="KH67" s="11" t="n">
        <v>-331040</v>
      </c>
      <c r="KI67" s="11" t="n">
        <v>-1138580</v>
      </c>
      <c r="KJ67" s="11" t="n">
        <v>4845772</v>
      </c>
      <c r="KK67" s="11" t="n">
        <v>804896</v>
      </c>
      <c r="KL67" s="11" t="n">
        <v>-10604760</v>
      </c>
      <c r="KM67" s="11" t="n">
        <v>14383720</v>
      </c>
      <c r="KN67" s="11" t="n">
        <v>-9613792</v>
      </c>
      <c r="KO67" s="11" t="n">
        <v>-1518220</v>
      </c>
      <c r="KP67" s="11" t="n">
        <v>-1385020</v>
      </c>
      <c r="KQ67" s="11" t="n">
        <v>-862432</v>
      </c>
      <c r="KR67" s="11" t="n">
        <v>45379100</v>
      </c>
      <c r="KS67" s="11" t="n">
        <v>-6771020</v>
      </c>
      <c r="KT67" s="11" t="n">
        <v>-31954780</v>
      </c>
      <c r="KU67" s="11" t="n">
        <v>64791966</v>
      </c>
      <c r="KV67" s="11" t="n">
        <v>-105524314</v>
      </c>
      <c r="KW67" s="11" t="n">
        <v>62145936</v>
      </c>
      <c r="KX67" s="11" t="n">
        <v>232465470</v>
      </c>
      <c r="KY67" s="11" t="n">
        <v>-44907978</v>
      </c>
      <c r="KZ67" s="11" t="n">
        <v>-149831858</v>
      </c>
      <c r="LA67" s="11" t="n">
        <v>310533650</v>
      </c>
      <c r="LB67" s="11" t="n">
        <v>-47798148</v>
      </c>
      <c r="LC67" s="11" t="n">
        <v>-220004708</v>
      </c>
      <c r="LD67" s="11" t="n">
        <v>43740290</v>
      </c>
      <c r="LE67" s="11" t="n">
        <v>-1051860</v>
      </c>
      <c r="LF67" s="11" t="n">
        <v>-1716132</v>
      </c>
      <c r="LG67" s="11" t="n">
        <v>-394400</v>
      </c>
      <c r="LH67" s="11" t="n">
        <v>41407620</v>
      </c>
      <c r="LI67" s="11" t="n">
        <v>-7367220</v>
      </c>
      <c r="LJ67" s="11" t="n">
        <v>-27545764</v>
      </c>
      <c r="LK67" s="11" t="n">
        <v>1427040</v>
      </c>
      <c r="LL67" s="11" t="n">
        <v>-383120</v>
      </c>
      <c r="LM67" s="11" t="n">
        <v>-1160144</v>
      </c>
      <c r="LN67" s="11" t="n">
        <v>5086960</v>
      </c>
      <c r="LO67" s="11" t="n">
        <v>-276046062</v>
      </c>
      <c r="LP67" s="11" t="n">
        <v>49465860</v>
      </c>
      <c r="LQ67" s="11" t="n">
        <v>184209412</v>
      </c>
      <c r="LR67" s="11" t="n">
        <v>-13853046</v>
      </c>
      <c r="LS67" s="11" t="n">
        <v>33435064</v>
      </c>
    </row>
    <row r="68" customFormat="false" ht="15" hidden="false" customHeight="true" outlineLevel="0" collapsed="false">
      <c r="A68" s="7" t="s">
        <v>134</v>
      </c>
      <c r="B68" s="11" t="n">
        <v>318675</v>
      </c>
      <c r="C68" s="11" t="n">
        <v>-108140667</v>
      </c>
      <c r="D68" s="11" t="n">
        <v>-543489</v>
      </c>
      <c r="E68" s="11" t="n">
        <v>64465044</v>
      </c>
      <c r="F68" s="11" t="n">
        <v>-9676422</v>
      </c>
      <c r="G68" s="11" t="n">
        <v>81133536</v>
      </c>
      <c r="H68" s="11" t="n">
        <v>-1417962</v>
      </c>
      <c r="I68" s="11" t="n">
        <v>33517023</v>
      </c>
      <c r="J68" s="11" t="n">
        <v>-9610990</v>
      </c>
      <c r="K68" s="11" t="n">
        <v>-93005</v>
      </c>
      <c r="L68" s="11" t="n">
        <v>6164830</v>
      </c>
      <c r="M68" s="11" t="n">
        <v>-1285165</v>
      </c>
      <c r="N68" s="11" t="n">
        <v>10263370</v>
      </c>
      <c r="O68" s="11" t="n">
        <v>1812160</v>
      </c>
      <c r="P68" s="11" t="n">
        <v>4324710</v>
      </c>
      <c r="Q68" s="11" t="n">
        <v>15169547</v>
      </c>
      <c r="R68" s="11" t="n">
        <v>-147786726</v>
      </c>
      <c r="S68" s="11" t="n">
        <v>144280553</v>
      </c>
      <c r="T68" s="11" t="n">
        <v>-1035895738</v>
      </c>
      <c r="U68" s="11" t="n">
        <v>-657711492</v>
      </c>
      <c r="V68" s="11" t="n">
        <v>-456720016</v>
      </c>
      <c r="W68" s="11" t="n">
        <v>8300162</v>
      </c>
      <c r="X68" s="11" t="n">
        <v>-632251</v>
      </c>
      <c r="Y68" s="11" t="n">
        <v>6174930</v>
      </c>
      <c r="Z68" s="11" t="n">
        <v>-3504406</v>
      </c>
      <c r="AA68" s="11" t="n">
        <v>2406271</v>
      </c>
      <c r="AB68" s="11" t="n">
        <v>-72784880</v>
      </c>
      <c r="AC68" s="11" t="n">
        <v>506642008</v>
      </c>
      <c r="AD68" s="11" t="n">
        <v>394014180</v>
      </c>
      <c r="AE68" s="11" t="n">
        <v>226456018</v>
      </c>
      <c r="AF68" s="11" t="n">
        <v>15555916</v>
      </c>
      <c r="AG68" s="11" t="n">
        <v>-60743830</v>
      </c>
      <c r="AH68" s="11" t="n">
        <v>3850901</v>
      </c>
      <c r="AI68" s="11" t="n">
        <v>507037004</v>
      </c>
      <c r="AJ68" s="11" t="n">
        <v>21593806</v>
      </c>
      <c r="AK68" s="11" t="n">
        <v>-209839124</v>
      </c>
      <c r="AL68" s="11" t="n">
        <v>32529023</v>
      </c>
      <c r="AM68" s="11" t="n">
        <v>255316</v>
      </c>
      <c r="AN68" s="11" t="n">
        <v>-18154661</v>
      </c>
      <c r="AO68" s="11" t="n">
        <v>3484943</v>
      </c>
      <c r="AP68" s="11" t="n">
        <v>-22130534</v>
      </c>
      <c r="AQ68" s="11" t="n">
        <v>2263303</v>
      </c>
      <c r="AR68" s="11" t="n">
        <v>-8905287</v>
      </c>
      <c r="AS68" s="11" t="n">
        <v>-31163023</v>
      </c>
      <c r="AT68" s="11" t="n">
        <v>-419636775</v>
      </c>
      <c r="AU68" s="11" t="n">
        <v>-194867833</v>
      </c>
      <c r="AV68" s="11" t="n">
        <v>-771895978</v>
      </c>
      <c r="AW68" s="11" t="n">
        <v>-623300157</v>
      </c>
      <c r="AX68" s="11" t="n">
        <v>-399316972</v>
      </c>
      <c r="AY68" s="11" t="n">
        <v>-20685961</v>
      </c>
      <c r="AZ68" s="11" t="n">
        <v>1809107</v>
      </c>
      <c r="BA68" s="11" t="n">
        <v>-27259710</v>
      </c>
      <c r="BB68" s="11" t="n">
        <v>-2723941</v>
      </c>
      <c r="BC68" s="11" t="n">
        <v>-11665511</v>
      </c>
      <c r="BD68" s="11" t="n">
        <v>153714106</v>
      </c>
      <c r="BE68" s="11" t="n">
        <v>145307896</v>
      </c>
      <c r="BF68" s="11" t="n">
        <v>377065374</v>
      </c>
      <c r="BG68" s="11" t="n">
        <v>107979829</v>
      </c>
      <c r="BH68" s="11" t="n">
        <v>-215270612</v>
      </c>
      <c r="BI68" s="11" t="n">
        <v>-53217724</v>
      </c>
      <c r="BJ68" s="11" t="n">
        <v>-96128029</v>
      </c>
      <c r="BK68" s="11" t="n">
        <v>477757964</v>
      </c>
      <c r="BL68" s="11" t="n">
        <v>60350494</v>
      </c>
      <c r="BM68" s="11" t="n">
        <v>-198421025</v>
      </c>
      <c r="BN68" s="11" t="n">
        <v>1793433</v>
      </c>
      <c r="BO68" s="11" t="n">
        <v>-81749844</v>
      </c>
      <c r="BP68" s="11" t="n">
        <v>26081147</v>
      </c>
      <c r="BQ68" s="11" t="n">
        <v>-380202582</v>
      </c>
      <c r="BR68" s="11" t="n">
        <v>-253237238</v>
      </c>
      <c r="BS68" s="11" t="n">
        <v>-172871944</v>
      </c>
      <c r="BT68" s="11" t="n">
        <v>359283</v>
      </c>
      <c r="BU68" s="11" t="n">
        <v>12571</v>
      </c>
      <c r="BV68" s="11" t="n">
        <v>-1764030</v>
      </c>
      <c r="BW68" s="11" t="n">
        <v>-2112409</v>
      </c>
      <c r="BX68" s="11" t="n">
        <v>-865871</v>
      </c>
      <c r="BY68" s="11" t="n">
        <v>-5797925</v>
      </c>
      <c r="BZ68" s="11" t="n">
        <v>156576522</v>
      </c>
      <c r="CA68" s="11" t="n">
        <v>147021350</v>
      </c>
      <c r="CB68" s="11" t="n">
        <v>74100772</v>
      </c>
      <c r="CC68" s="11" t="n">
        <v>-22988536</v>
      </c>
      <c r="CD68" s="11" t="n">
        <v>-28944825</v>
      </c>
      <c r="CE68" s="11" t="n">
        <v>-11380261</v>
      </c>
      <c r="CF68" s="11" t="n">
        <v>198739106</v>
      </c>
      <c r="CG68" s="11" t="n">
        <v>13524394</v>
      </c>
      <c r="CH68" s="11" t="n">
        <v>-81355406</v>
      </c>
      <c r="CI68" s="11" t="n">
        <v>101452869</v>
      </c>
      <c r="CJ68" s="11" t="n">
        <v>-14242204</v>
      </c>
      <c r="CK68" s="11" t="n">
        <v>406793820</v>
      </c>
      <c r="CL68" s="11" t="n">
        <v>276967585</v>
      </c>
      <c r="CM68" s="11" t="n">
        <v>187628156</v>
      </c>
      <c r="CN68" s="11" t="n">
        <v>-826185999</v>
      </c>
      <c r="CO68" s="11" t="n">
        <v>2964878766</v>
      </c>
      <c r="CP68" s="11" t="n">
        <v>1700418954</v>
      </c>
      <c r="CQ68" s="11" t="n">
        <v>1226576184</v>
      </c>
      <c r="CR68" s="11" t="n">
        <v>2896526764</v>
      </c>
      <c r="CS68" s="11" t="n">
        <v>2016788971</v>
      </c>
      <c r="CT68" s="11" t="n">
        <v>1355768532</v>
      </c>
      <c r="CU68" s="11" t="n">
        <v>-1276015070</v>
      </c>
      <c r="CV68" s="11" t="n">
        <v>-565101064</v>
      </c>
      <c r="CW68" s="11" t="n">
        <v>203792864</v>
      </c>
      <c r="CX68" s="11" t="n">
        <v>-3564307</v>
      </c>
      <c r="CY68" s="11" t="n">
        <v>181283610</v>
      </c>
      <c r="CZ68" s="11" t="n">
        <v>174982672</v>
      </c>
      <c r="DA68" s="11" t="n">
        <v>86569559</v>
      </c>
      <c r="DB68" s="11" t="n">
        <v>-11157300</v>
      </c>
      <c r="DC68" s="11" t="n">
        <v>-14833897</v>
      </c>
      <c r="DD68" s="11" t="n">
        <v>-5560976</v>
      </c>
      <c r="DE68" s="11" t="n">
        <v>206718510</v>
      </c>
      <c r="DF68" s="11" t="n">
        <v>11848380</v>
      </c>
      <c r="DG68" s="11" t="n">
        <v>-87279093</v>
      </c>
      <c r="DH68" s="11" t="n">
        <v>-1372127212</v>
      </c>
      <c r="DI68" s="11" t="n">
        <v>-1365239050</v>
      </c>
      <c r="DJ68" s="11" t="n">
        <v>-661890237</v>
      </c>
      <c r="DK68" s="11" t="n">
        <v>2075291948</v>
      </c>
      <c r="DL68" s="11" t="n">
        <v>338187466</v>
      </c>
      <c r="DM68" s="11" t="n">
        <v>-664594898</v>
      </c>
      <c r="DN68" s="11" t="n">
        <v>1436916652</v>
      </c>
      <c r="DO68" s="11" t="n">
        <v>68865716</v>
      </c>
      <c r="DP68" s="11" t="n">
        <v>-624623527</v>
      </c>
      <c r="DQ68" s="11" t="n">
        <v>249999222</v>
      </c>
      <c r="DR68" s="11" t="n">
        <v>-604681</v>
      </c>
      <c r="DS68" s="11" t="n">
        <v>-4802</v>
      </c>
      <c r="DT68" s="11" t="n">
        <v>412342</v>
      </c>
      <c r="DU68" s="11" t="n">
        <v>-63196</v>
      </c>
      <c r="DV68" s="11" t="n">
        <v>524398</v>
      </c>
      <c r="DW68" s="11" t="n">
        <v>86359</v>
      </c>
      <c r="DX68" s="11" t="n">
        <v>231714</v>
      </c>
      <c r="DY68" s="11" t="n">
        <v>598271</v>
      </c>
      <c r="DZ68" s="11" t="n">
        <v>-17604618</v>
      </c>
      <c r="EA68" s="11" t="n">
        <v>3084362</v>
      </c>
      <c r="EB68" s="11" t="n">
        <v>-24002014</v>
      </c>
      <c r="EC68" s="11" t="n">
        <v>-31996029</v>
      </c>
      <c r="ED68" s="11" t="n">
        <v>-15032869</v>
      </c>
      <c r="EE68" s="11" t="n">
        <v>268166</v>
      </c>
      <c r="EF68" s="11" t="n">
        <v>-38032</v>
      </c>
      <c r="EG68" s="11" t="n">
        <v>328230</v>
      </c>
      <c r="EH68" s="11" t="n">
        <v>-168649</v>
      </c>
      <c r="EI68" s="11" t="n">
        <v>109876</v>
      </c>
      <c r="EJ68" s="11" t="n">
        <v>-263396</v>
      </c>
      <c r="EK68" s="11" t="n">
        <v>1100104</v>
      </c>
      <c r="EL68" s="11" t="n">
        <v>19304376</v>
      </c>
      <c r="EM68" s="11" t="n">
        <v>3505066</v>
      </c>
      <c r="EN68" s="11" t="n">
        <v>166372</v>
      </c>
      <c r="EO68" s="11" t="n">
        <v>-2903446</v>
      </c>
      <c r="EP68" s="11" t="n">
        <v>-389176</v>
      </c>
      <c r="EQ68" s="11" t="n">
        <v>24320036</v>
      </c>
      <c r="ER68" s="11" t="n">
        <v>3839386</v>
      </c>
      <c r="ES68" s="11" t="n">
        <v>-10113935</v>
      </c>
      <c r="ET68" s="11" t="n">
        <v>-31651</v>
      </c>
      <c r="EU68" s="11" t="n">
        <v>-738242</v>
      </c>
      <c r="EV68" s="11" t="n">
        <v>-532639</v>
      </c>
      <c r="EW68" s="11" t="n">
        <v>3659154</v>
      </c>
      <c r="EX68" s="11" t="n">
        <v>834026</v>
      </c>
      <c r="EY68" s="11" t="n">
        <v>1217758</v>
      </c>
      <c r="EZ68" s="11" t="n">
        <v>-27446</v>
      </c>
      <c r="FA68" s="11" t="n">
        <v>-922</v>
      </c>
      <c r="FB68" s="11" t="n">
        <v>1610</v>
      </c>
      <c r="FC68" s="11" t="n">
        <v>2103</v>
      </c>
      <c r="FD68" s="11" t="n">
        <v>-2458</v>
      </c>
      <c r="FE68" s="11" t="n">
        <v>440370</v>
      </c>
      <c r="FF68" s="11" t="n">
        <v>-3135464</v>
      </c>
      <c r="FG68" s="11" t="n">
        <v>-674170</v>
      </c>
      <c r="FH68" s="11" t="n">
        <v>-1113304</v>
      </c>
      <c r="FI68" s="11" t="n">
        <v>-79498</v>
      </c>
      <c r="FJ68" s="11" t="n">
        <v>11095</v>
      </c>
      <c r="FK68" s="11" t="n">
        <v>-76838</v>
      </c>
      <c r="FL68" s="11" t="n">
        <v>-200702</v>
      </c>
      <c r="FM68" s="11" t="n">
        <v>346112</v>
      </c>
      <c r="FN68" s="11" t="n">
        <v>145682</v>
      </c>
      <c r="FO68" s="11" t="n">
        <v>1651900</v>
      </c>
      <c r="FP68" s="11" t="n">
        <v>365547</v>
      </c>
      <c r="FQ68" s="11" t="n">
        <v>-2364020</v>
      </c>
      <c r="FR68" s="11" t="n">
        <v>849593</v>
      </c>
      <c r="FS68" s="11" t="n">
        <v>-417979</v>
      </c>
      <c r="FT68" s="11" t="n">
        <v>-19272826</v>
      </c>
      <c r="FU68" s="11" t="n">
        <v>135835760</v>
      </c>
      <c r="FV68" s="11" t="n">
        <v>63345006</v>
      </c>
      <c r="FW68" s="11" t="n">
        <v>53806982</v>
      </c>
      <c r="FX68" s="11" t="n">
        <v>2477758</v>
      </c>
      <c r="FY68" s="11" t="n">
        <v>23929799</v>
      </c>
      <c r="FZ68" s="11" t="n">
        <v>7030295</v>
      </c>
      <c r="GA68" s="11" t="n">
        <v>-160514542</v>
      </c>
      <c r="GB68" s="11" t="n">
        <v>-42632294</v>
      </c>
      <c r="GC68" s="11" t="n">
        <v>43701748</v>
      </c>
      <c r="GD68" s="11" t="n">
        <v>268862</v>
      </c>
      <c r="GE68" s="11" t="n">
        <v>-1965920</v>
      </c>
      <c r="GF68" s="11" t="n">
        <v>846478</v>
      </c>
      <c r="GG68" s="11" t="n">
        <v>-490734</v>
      </c>
      <c r="GH68" s="11" t="n">
        <v>-50270</v>
      </c>
      <c r="GI68" s="11" t="n">
        <v>49037</v>
      </c>
      <c r="GJ68" s="11" t="n">
        <v>-40564</v>
      </c>
      <c r="GK68" s="11" t="n">
        <v>-200290</v>
      </c>
      <c r="GL68" s="11" t="n">
        <v>204850</v>
      </c>
      <c r="GM68" s="11" t="n">
        <v>-38207</v>
      </c>
      <c r="GN68" s="11" t="n">
        <v>827992</v>
      </c>
      <c r="GO68" s="11" t="n">
        <v>-20185900</v>
      </c>
      <c r="GP68" s="11" t="n">
        <v>-3032158</v>
      </c>
      <c r="GQ68" s="11" t="n">
        <v>144992552</v>
      </c>
      <c r="GR68" s="11" t="n">
        <v>23682424</v>
      </c>
      <c r="GS68" s="11" t="n">
        <v>-46390202</v>
      </c>
      <c r="GT68" s="11" t="n">
        <v>3623208</v>
      </c>
      <c r="GU68" s="11" t="n">
        <v>691854</v>
      </c>
      <c r="GV68" s="11" t="n">
        <v>-3598533</v>
      </c>
      <c r="GW68" s="11" t="n">
        <v>17521098</v>
      </c>
      <c r="GX68" s="11" t="n">
        <v>-5710</v>
      </c>
      <c r="GY68" s="11" t="n">
        <v>7641967</v>
      </c>
      <c r="GZ68" s="11" t="n">
        <v>161841</v>
      </c>
      <c r="HA68" s="11" t="n">
        <v>11536020</v>
      </c>
      <c r="HB68" s="11" t="n">
        <v>13109752</v>
      </c>
      <c r="HC68" s="11" t="n">
        <v>6754757</v>
      </c>
      <c r="HD68" s="11" t="n">
        <v>56794</v>
      </c>
      <c r="HE68" s="11" t="n">
        <v>1882</v>
      </c>
      <c r="HF68" s="11" t="n">
        <v>86660</v>
      </c>
      <c r="HG68" s="11" t="n">
        <v>103294</v>
      </c>
      <c r="HH68" s="11" t="n">
        <v>51454</v>
      </c>
      <c r="HI68" s="11" t="n">
        <v>-909034</v>
      </c>
      <c r="HJ68" s="11" t="n">
        <v>-1239254</v>
      </c>
      <c r="HK68" s="11" t="n">
        <v>-7848351</v>
      </c>
      <c r="HL68" s="11" t="n">
        <v>-1677776</v>
      </c>
      <c r="HM68" s="11" t="n">
        <v>1345998</v>
      </c>
      <c r="HN68" s="11" t="n">
        <v>1393231</v>
      </c>
      <c r="HO68" s="11" t="n">
        <v>767966</v>
      </c>
      <c r="HP68" s="11" t="n">
        <v>-9721636</v>
      </c>
      <c r="HQ68" s="11" t="n">
        <v>-1437326</v>
      </c>
      <c r="HR68" s="11" t="n">
        <v>4058965</v>
      </c>
      <c r="HS68" s="11" t="n">
        <v>-7394717</v>
      </c>
      <c r="HT68" s="11" t="n">
        <v>-189251</v>
      </c>
      <c r="HU68" s="11" t="n">
        <v>-11187080</v>
      </c>
      <c r="HV68" s="11" t="n">
        <v>-12668642</v>
      </c>
      <c r="HW68" s="11" t="n">
        <v>-6541197</v>
      </c>
      <c r="HX68" s="11" t="n">
        <v>43692032</v>
      </c>
      <c r="HY68" s="11" t="n">
        <v>32520662</v>
      </c>
      <c r="HZ68" s="11" t="n">
        <v>-22690347</v>
      </c>
      <c r="IA68" s="11" t="n">
        <v>6671663</v>
      </c>
      <c r="IB68" s="11" t="n">
        <v>-65267094</v>
      </c>
      <c r="IC68" s="11" t="n">
        <v>-75433973</v>
      </c>
      <c r="ID68" s="11" t="n">
        <v>-38478223</v>
      </c>
      <c r="IE68" s="11" t="n">
        <v>-90041492</v>
      </c>
      <c r="IF68" s="11" t="n">
        <v>-18673822</v>
      </c>
      <c r="IG68" s="11" t="n">
        <v>31501265</v>
      </c>
      <c r="IH68" s="11" t="n">
        <v>-554910</v>
      </c>
      <c r="II68" s="11" t="n">
        <v>-957470</v>
      </c>
      <c r="IJ68" s="11" t="n">
        <v>-7763055</v>
      </c>
      <c r="IK68" s="11" t="n">
        <v>-1573910</v>
      </c>
      <c r="IL68" s="11" t="n">
        <v>814990</v>
      </c>
      <c r="IM68" s="11" t="n">
        <v>751995</v>
      </c>
      <c r="IN68" s="11" t="n">
        <v>450580</v>
      </c>
      <c r="IO68" s="11" t="n">
        <v>-10103980</v>
      </c>
      <c r="IP68" s="11" t="n">
        <v>-1534130</v>
      </c>
      <c r="IQ68" s="11" t="n">
        <v>4170595</v>
      </c>
      <c r="IR68" s="11" t="n">
        <v>3216860</v>
      </c>
      <c r="IS68" s="11" t="n">
        <v>47571090</v>
      </c>
      <c r="IT68" s="11" t="n">
        <v>8798870</v>
      </c>
      <c r="IU68" s="11" t="n">
        <v>37078500</v>
      </c>
      <c r="IV68" s="11" t="n">
        <v>6057930</v>
      </c>
      <c r="IW68" s="11" t="n">
        <v>-11833455</v>
      </c>
      <c r="IX68" s="11" t="n">
        <v>-65507740</v>
      </c>
      <c r="IY68" s="11" t="n">
        <v>-10310750</v>
      </c>
      <c r="IZ68" s="11" t="n">
        <v>26703205</v>
      </c>
      <c r="JA68" s="11" t="n">
        <v>4518120</v>
      </c>
      <c r="JB68" s="11" t="n">
        <v>406977</v>
      </c>
      <c r="JC68" s="11" t="n">
        <v>13501</v>
      </c>
      <c r="JD68" s="11" t="n">
        <v>569280</v>
      </c>
      <c r="JE68" s="11" t="n">
        <v>678332</v>
      </c>
      <c r="JF68" s="11" t="n">
        <v>342067</v>
      </c>
      <c r="JG68" s="11" t="n">
        <v>-6533911</v>
      </c>
      <c r="JH68" s="11" t="n">
        <v>60328518</v>
      </c>
      <c r="JI68" s="11" t="n">
        <v>26545846</v>
      </c>
      <c r="JJ68" s="11" t="n">
        <v>23636780</v>
      </c>
      <c r="JK68" s="11" t="n">
        <v>11140974</v>
      </c>
      <c r="JL68" s="11" t="n">
        <v>11771074</v>
      </c>
      <c r="JM68" s="11" t="n">
        <v>6275921</v>
      </c>
      <c r="JN68" s="11" t="n">
        <v>-63420648</v>
      </c>
      <c r="JO68" s="11" t="n">
        <v>-17643378</v>
      </c>
      <c r="JP68" s="11" t="n">
        <v>17084814</v>
      </c>
      <c r="JQ68" s="11" t="n">
        <v>-148</v>
      </c>
      <c r="JR68" s="11" t="n">
        <v>514350</v>
      </c>
      <c r="JS68" s="11" t="n">
        <v>615253</v>
      </c>
      <c r="JT68" s="11" t="n">
        <v>265016</v>
      </c>
      <c r="JU68" s="11" t="n">
        <v>17270</v>
      </c>
      <c r="JV68" s="11" t="n">
        <v>20657</v>
      </c>
      <c r="JW68" s="11" t="n">
        <v>8916</v>
      </c>
      <c r="JX68" s="11" t="n">
        <v>3320</v>
      </c>
      <c r="JY68" s="11" t="n">
        <v>-61610</v>
      </c>
      <c r="JZ68" s="11" t="n">
        <v>-75407</v>
      </c>
      <c r="KA68" s="11" t="n">
        <v>-8235818</v>
      </c>
      <c r="KB68" s="11" t="n">
        <v>-9868075</v>
      </c>
      <c r="KC68" s="11" t="n">
        <v>-4246168</v>
      </c>
      <c r="KD68" s="11" t="n">
        <v>57653002</v>
      </c>
      <c r="KE68" s="11" t="n">
        <v>9411944</v>
      </c>
      <c r="KF68" s="11" t="n">
        <v>-18447052</v>
      </c>
      <c r="KG68" s="11" t="n">
        <v>1988938</v>
      </c>
      <c r="KH68" s="11" t="n">
        <v>-670486</v>
      </c>
      <c r="KI68" s="11" t="n">
        <v>-1828813</v>
      </c>
      <c r="KJ68" s="11" t="n">
        <v>6966558</v>
      </c>
      <c r="KK68" s="11" t="n">
        <v>3995669</v>
      </c>
      <c r="KL68" s="11" t="n">
        <v>-60108540</v>
      </c>
      <c r="KM68" s="11" t="n">
        <v>-24478589</v>
      </c>
      <c r="KN68" s="11" t="n">
        <v>-23227333</v>
      </c>
      <c r="KO68" s="11" t="n">
        <v>-7583180</v>
      </c>
      <c r="KP68" s="11" t="n">
        <v>-7471861</v>
      </c>
      <c r="KQ68" s="11" t="n">
        <v>-4128928</v>
      </c>
      <c r="KR68" s="11" t="n">
        <v>65945680</v>
      </c>
      <c r="KS68" s="11" t="n">
        <v>18031220</v>
      </c>
      <c r="KT68" s="11" t="n">
        <v>-18139909</v>
      </c>
      <c r="KU68" s="11" t="n">
        <v>372726374</v>
      </c>
      <c r="KV68" s="11" t="n">
        <v>132372365</v>
      </c>
      <c r="KW68" s="11" t="n">
        <v>140844759</v>
      </c>
      <c r="KX68" s="11" t="n">
        <v>292092794</v>
      </c>
      <c r="KY68" s="11" t="n">
        <v>47918578</v>
      </c>
      <c r="KZ68" s="11" t="n">
        <v>-93357074</v>
      </c>
      <c r="LA68" s="11" t="n">
        <v>445771706</v>
      </c>
      <c r="LB68" s="11" t="n">
        <v>117854908</v>
      </c>
      <c r="LC68" s="11" t="n">
        <v>-126591191</v>
      </c>
      <c r="LD68" s="11" t="n">
        <v>35049366</v>
      </c>
      <c r="LE68" s="11" t="n">
        <v>-5027990</v>
      </c>
      <c r="LF68" s="11" t="n">
        <v>-6031605</v>
      </c>
      <c r="LG68" s="11" t="n">
        <v>-2593460</v>
      </c>
      <c r="LH68" s="11" t="n">
        <v>59933110</v>
      </c>
      <c r="LI68" s="11" t="n">
        <v>9786170</v>
      </c>
      <c r="LJ68" s="11" t="n">
        <v>-19174225</v>
      </c>
      <c r="LK68" s="11" t="n">
        <v>2044790</v>
      </c>
      <c r="LL68" s="11" t="n">
        <v>-273680</v>
      </c>
      <c r="LM68" s="11" t="n">
        <v>-1383020</v>
      </c>
      <c r="LN68" s="11" t="n">
        <v>7242090</v>
      </c>
      <c r="LO68" s="11" t="n">
        <v>-396071680</v>
      </c>
      <c r="LP68" s="11" t="n">
        <v>-64691270</v>
      </c>
      <c r="LQ68" s="11" t="n">
        <v>126691555</v>
      </c>
      <c r="LR68" s="11" t="n">
        <v>223590</v>
      </c>
      <c r="LS68" s="11" t="n">
        <v>47867430</v>
      </c>
    </row>
    <row r="69" customFormat="false" ht="15" hidden="false" customHeight="true" outlineLevel="0" collapsed="false">
      <c r="A69" s="7" t="s">
        <v>135</v>
      </c>
      <c r="B69" s="11" t="n">
        <v>8394512</v>
      </c>
      <c r="C69" s="11" t="n">
        <v>-331884703</v>
      </c>
      <c r="D69" s="11" t="n">
        <v>8659475</v>
      </c>
      <c r="E69" s="11" t="n">
        <v>168243325</v>
      </c>
      <c r="F69" s="11" t="n">
        <v>58518447</v>
      </c>
      <c r="G69" s="11" t="n">
        <v>-353795770</v>
      </c>
      <c r="H69" s="11" t="n">
        <v>-452280392</v>
      </c>
      <c r="I69" s="11" t="n">
        <v>-314101625</v>
      </c>
      <c r="J69" s="11" t="n">
        <v>3994843</v>
      </c>
      <c r="K69" s="11" t="n">
        <v>-102191</v>
      </c>
      <c r="L69" s="11" t="n">
        <v>6066015</v>
      </c>
      <c r="M69" s="11" t="n">
        <v>-1828395</v>
      </c>
      <c r="N69" s="11" t="n">
        <v>15820194</v>
      </c>
      <c r="O69" s="11" t="n">
        <v>5337480</v>
      </c>
      <c r="P69" s="11" t="n">
        <v>-8391331</v>
      </c>
      <c r="Q69" s="11" t="n">
        <v>-80721</v>
      </c>
      <c r="R69" s="11" t="n">
        <v>-319890335</v>
      </c>
      <c r="S69" s="11" t="n">
        <v>44439072</v>
      </c>
      <c r="T69" s="11" t="n">
        <v>-457098856</v>
      </c>
      <c r="U69" s="11" t="n">
        <v>4212418</v>
      </c>
      <c r="V69" s="11" t="n">
        <v>481235964</v>
      </c>
      <c r="W69" s="11" t="n">
        <v>8305600</v>
      </c>
      <c r="X69" s="11" t="n">
        <v>-1173729</v>
      </c>
      <c r="Y69" s="11" t="n">
        <v>12012590</v>
      </c>
      <c r="Z69" s="11" t="n">
        <v>94</v>
      </c>
      <c r="AA69" s="11" t="n">
        <v>-12479925</v>
      </c>
      <c r="AB69" s="11" t="n">
        <v>-78931215</v>
      </c>
      <c r="AC69" s="11" t="n">
        <v>572728050</v>
      </c>
      <c r="AD69" s="11" t="n">
        <v>433799490</v>
      </c>
      <c r="AE69" s="11" t="n">
        <v>58795525</v>
      </c>
      <c r="AF69" s="11" t="n">
        <v>33223464</v>
      </c>
      <c r="AG69" s="11" t="n">
        <v>-61302690</v>
      </c>
      <c r="AH69" s="11" t="n">
        <v>-126910236</v>
      </c>
      <c r="AI69" s="11" t="n">
        <v>627408204</v>
      </c>
      <c r="AJ69" s="11" t="n">
        <v>945613760</v>
      </c>
      <c r="AK69" s="11" t="n">
        <v>651824146</v>
      </c>
      <c r="AL69" s="11" t="n">
        <v>116845600</v>
      </c>
      <c r="AM69" s="11" t="n">
        <v>-30416</v>
      </c>
      <c r="AN69" s="11" t="n">
        <v>-28375776</v>
      </c>
      <c r="AO69" s="11" t="n">
        <v>-356992</v>
      </c>
      <c r="AP69" s="11" t="n">
        <v>149502144</v>
      </c>
      <c r="AQ69" s="11" t="n">
        <v>181626448</v>
      </c>
      <c r="AR69" s="11" t="n">
        <v>117388000</v>
      </c>
      <c r="AS69" s="11" t="n">
        <v>-119331171</v>
      </c>
      <c r="AT69" s="11" t="n">
        <v>-1219964456</v>
      </c>
      <c r="AU69" s="11" t="n">
        <v>-800420902</v>
      </c>
      <c r="AV69" s="11" t="n">
        <v>-986119936</v>
      </c>
      <c r="AW69" s="11" t="n">
        <v>-885348187</v>
      </c>
      <c r="AX69" s="11" t="n">
        <v>-268972000</v>
      </c>
      <c r="AY69" s="11" t="n">
        <v>-28661825</v>
      </c>
      <c r="AZ69" s="11" t="n">
        <v>-156229</v>
      </c>
      <c r="BA69" s="11" t="n">
        <v>152939090</v>
      </c>
      <c r="BB69" s="11" t="n">
        <v>185720519</v>
      </c>
      <c r="BC69" s="11" t="n">
        <v>119955125</v>
      </c>
      <c r="BD69" s="11" t="n">
        <v>190653706</v>
      </c>
      <c r="BE69" s="11" t="n">
        <v>1800403440</v>
      </c>
      <c r="BF69" s="11" t="n">
        <v>2111335409</v>
      </c>
      <c r="BG69" s="11" t="n">
        <v>1290947000</v>
      </c>
      <c r="BH69" s="11" t="n">
        <v>1027139044</v>
      </c>
      <c r="BI69" s="11" t="n">
        <v>1246890491</v>
      </c>
      <c r="BJ69" s="11" t="n">
        <v>804958250</v>
      </c>
      <c r="BK69" s="11" t="n">
        <v>400049374</v>
      </c>
      <c r="BL69" s="11" t="n">
        <v>646552000</v>
      </c>
      <c r="BM69" s="11" t="n">
        <v>471364125</v>
      </c>
      <c r="BN69" s="11" t="n">
        <v>1407951</v>
      </c>
      <c r="BO69" s="11" t="n">
        <v>-97938264</v>
      </c>
      <c r="BP69" s="11" t="n">
        <v>25280062</v>
      </c>
      <c r="BQ69" s="11" t="n">
        <v>-149059584</v>
      </c>
      <c r="BR69" s="11" t="n">
        <v>12139847</v>
      </c>
      <c r="BS69" s="11" t="n">
        <v>172664800</v>
      </c>
      <c r="BT69" s="11" t="n">
        <v>367413</v>
      </c>
      <c r="BU69" s="11" t="n">
        <v>-2279</v>
      </c>
      <c r="BV69" s="11" t="n">
        <v>-1762650</v>
      </c>
      <c r="BW69" s="11" t="n">
        <v>-2191699</v>
      </c>
      <c r="BX69" s="11" t="n">
        <v>-1459433</v>
      </c>
      <c r="BY69" s="11" t="n">
        <v>-6438450</v>
      </c>
      <c r="BZ69" s="11" t="n">
        <v>161509392</v>
      </c>
      <c r="CA69" s="11" t="n">
        <v>149288475</v>
      </c>
      <c r="CB69" s="11" t="n">
        <v>56461512</v>
      </c>
      <c r="CC69" s="11" t="n">
        <v>-31890036</v>
      </c>
      <c r="CD69" s="11" t="n">
        <v>-39332775</v>
      </c>
      <c r="CE69" s="11" t="n">
        <v>-25924946</v>
      </c>
      <c r="CF69" s="11" t="n">
        <v>247233066</v>
      </c>
      <c r="CG69" s="11" t="n">
        <v>370673472</v>
      </c>
      <c r="CH69" s="11" t="n">
        <v>256196399</v>
      </c>
      <c r="CI69" s="11" t="n">
        <v>114721803</v>
      </c>
      <c r="CJ69" s="11" t="n">
        <v>-16173018</v>
      </c>
      <c r="CK69" s="11" t="n">
        <v>164112840</v>
      </c>
      <c r="CL69" s="11" t="n">
        <v>-1729935</v>
      </c>
      <c r="CM69" s="11" t="n">
        <v>-173096748</v>
      </c>
      <c r="CN69" s="11" t="n">
        <v>-934845734</v>
      </c>
      <c r="CO69" s="11" t="n">
        <v>729753792</v>
      </c>
      <c r="CP69" s="11" t="n">
        <v>-868835851</v>
      </c>
      <c r="CQ69" s="11" t="n">
        <v>-2028211328</v>
      </c>
      <c r="CR69" s="11" t="n">
        <v>1234445968</v>
      </c>
      <c r="CS69" s="11" t="n">
        <v>108388076</v>
      </c>
      <c r="CT69" s="11" t="n">
        <v>-1124602776</v>
      </c>
      <c r="CU69" s="11" t="n">
        <v>-1231890440</v>
      </c>
      <c r="CV69" s="11" t="n">
        <v>-1800333568</v>
      </c>
      <c r="CW69" s="11" t="n">
        <v>-1280349356</v>
      </c>
      <c r="CX69" s="11" t="n">
        <v>-4034747</v>
      </c>
      <c r="CY69" s="11" t="n">
        <v>186449370</v>
      </c>
      <c r="CZ69" s="11" t="n">
        <v>178131242</v>
      </c>
      <c r="DA69" s="11" t="n">
        <v>73746025</v>
      </c>
      <c r="DB69" s="11" t="n">
        <v>-20513060</v>
      </c>
      <c r="DC69" s="11" t="n">
        <v>-25173067</v>
      </c>
      <c r="DD69" s="11" t="n">
        <v>-16484202</v>
      </c>
      <c r="DE69" s="11" t="n">
        <v>257633410</v>
      </c>
      <c r="DF69" s="11" t="n">
        <v>386817920</v>
      </c>
      <c r="DG69" s="11" t="n">
        <v>267659347</v>
      </c>
      <c r="DH69" s="11" t="n">
        <v>-1493674452</v>
      </c>
      <c r="DI69" s="11" t="n">
        <v>-1482113775</v>
      </c>
      <c r="DJ69" s="11" t="n">
        <v>-672273922</v>
      </c>
      <c r="DK69" s="11" t="n">
        <v>2545164378</v>
      </c>
      <c r="DL69" s="11" t="n">
        <v>3765414720</v>
      </c>
      <c r="DM69" s="11" t="n">
        <v>2590742167</v>
      </c>
      <c r="DN69" s="11" t="n">
        <v>1783923072</v>
      </c>
      <c r="DO69" s="11" t="n">
        <v>2684588672</v>
      </c>
      <c r="DP69" s="11" t="n">
        <v>1860901408</v>
      </c>
      <c r="DQ69" s="11" t="n">
        <v>-77332288</v>
      </c>
      <c r="DR69" s="11" t="n">
        <v>-2584764</v>
      </c>
      <c r="DS69" s="11" t="n">
        <v>-4676</v>
      </c>
      <c r="DT69" s="11" t="n">
        <v>2750468</v>
      </c>
      <c r="DU69" s="11" t="n">
        <v>-2996</v>
      </c>
      <c r="DV69" s="11" t="n">
        <v>606424</v>
      </c>
      <c r="DW69" s="11" t="n">
        <v>74928</v>
      </c>
      <c r="DX69" s="11" t="n">
        <v>-242676</v>
      </c>
      <c r="DY69" s="11" t="n">
        <v>2851219</v>
      </c>
      <c r="DZ69" s="11" t="n">
        <v>-56938267</v>
      </c>
      <c r="EA69" s="11" t="n">
        <v>18136933</v>
      </c>
      <c r="EB69" s="11" t="n">
        <v>-132913196</v>
      </c>
      <c r="EC69" s="11" t="n">
        <v>-142224531</v>
      </c>
      <c r="ED69" s="11" t="n">
        <v>-87120981</v>
      </c>
      <c r="EE69" s="11" t="n">
        <v>2931000</v>
      </c>
      <c r="EF69" s="11" t="n">
        <v>29506</v>
      </c>
      <c r="EG69" s="11" t="n">
        <v>428490</v>
      </c>
      <c r="EH69" s="11" t="n">
        <v>-174641</v>
      </c>
      <c r="EI69" s="11" t="n">
        <v>-425300</v>
      </c>
      <c r="EJ69" s="11" t="n">
        <v>-19233658</v>
      </c>
      <c r="EK69" s="11" t="n">
        <v>128075430</v>
      </c>
      <c r="EL69" s="11" t="n">
        <v>149691713</v>
      </c>
      <c r="EM69" s="11" t="n">
        <v>98051900</v>
      </c>
      <c r="EN69" s="11" t="n">
        <v>4101134</v>
      </c>
      <c r="EO69" s="11" t="n">
        <v>360907</v>
      </c>
      <c r="EP69" s="11" t="n">
        <v>-1803806</v>
      </c>
      <c r="EQ69" s="11" t="n">
        <v>29515054</v>
      </c>
      <c r="ER69" s="11" t="n">
        <v>32918710</v>
      </c>
      <c r="ES69" s="11" t="n">
        <v>15878541</v>
      </c>
      <c r="ET69" s="11" t="n">
        <v>-33691</v>
      </c>
      <c r="EU69" s="11" t="n">
        <v>3176707</v>
      </c>
      <c r="EV69" s="11" t="n">
        <v>-564409</v>
      </c>
      <c r="EW69" s="11" t="n">
        <v>5159804</v>
      </c>
      <c r="EX69" s="11" t="n">
        <v>1679127</v>
      </c>
      <c r="EY69" s="11" t="n">
        <v>-2699271</v>
      </c>
      <c r="EZ69" s="11" t="n">
        <v>-30104</v>
      </c>
      <c r="FA69" s="11" t="n">
        <v>-982</v>
      </c>
      <c r="FB69" s="11" t="n">
        <v>1430</v>
      </c>
      <c r="FC69" s="11" t="n">
        <v>2061</v>
      </c>
      <c r="FD69" s="11" t="n">
        <v>-1720</v>
      </c>
      <c r="FE69" s="11" t="n">
        <v>596910</v>
      </c>
      <c r="FF69" s="11" t="n">
        <v>-4745286</v>
      </c>
      <c r="FG69" s="11" t="n">
        <v>-1694685</v>
      </c>
      <c r="FH69" s="11" t="n">
        <v>2574064</v>
      </c>
      <c r="FI69" s="11" t="n">
        <v>-126438</v>
      </c>
      <c r="FJ69" s="11" t="n">
        <v>-14415</v>
      </c>
      <c r="FK69" s="11" t="n">
        <v>49862</v>
      </c>
      <c r="FL69" s="11" t="n">
        <v>-244374</v>
      </c>
      <c r="FM69" s="11" t="n">
        <v>148850</v>
      </c>
      <c r="FN69" s="11" t="n">
        <v>-79401</v>
      </c>
      <c r="FO69" s="11" t="n">
        <v>-2762024</v>
      </c>
      <c r="FP69" s="11" t="n">
        <v>386187</v>
      </c>
      <c r="FQ69" s="11" t="n">
        <v>-3959260</v>
      </c>
      <c r="FR69" s="11" t="n">
        <v>1597</v>
      </c>
      <c r="FS69" s="11" t="n">
        <v>4113105</v>
      </c>
      <c r="FT69" s="11" t="n">
        <v>9857477</v>
      </c>
      <c r="FU69" s="11" t="n">
        <v>-49689636</v>
      </c>
      <c r="FV69" s="11" t="n">
        <v>-137807197</v>
      </c>
      <c r="FW69" s="11" t="n">
        <v>-166533441</v>
      </c>
      <c r="FX69" s="11" t="n">
        <v>-7182712</v>
      </c>
      <c r="FY69" s="11" t="n">
        <v>19273942</v>
      </c>
      <c r="FZ69" s="11" t="n">
        <v>37964148</v>
      </c>
      <c r="GA69" s="11" t="n">
        <v>-197570288</v>
      </c>
      <c r="GB69" s="11" t="n">
        <v>-312715560</v>
      </c>
      <c r="GC69" s="11" t="n">
        <v>-205121142</v>
      </c>
      <c r="GD69" s="11" t="n">
        <v>425576</v>
      </c>
      <c r="GE69" s="11" t="n">
        <v>-3654960</v>
      </c>
      <c r="GF69" s="11" t="n">
        <v>-167536</v>
      </c>
      <c r="GG69" s="11" t="n">
        <v>3816200</v>
      </c>
      <c r="GH69" s="11" t="n">
        <v>-99010</v>
      </c>
      <c r="GI69" s="11" t="n">
        <v>23671</v>
      </c>
      <c r="GJ69" s="11" t="n">
        <v>100170</v>
      </c>
      <c r="GK69" s="11" t="n">
        <v>-242270</v>
      </c>
      <c r="GL69" s="11" t="n">
        <v>27550</v>
      </c>
      <c r="GM69" s="11" t="n">
        <v>-251695</v>
      </c>
      <c r="GN69" s="11" t="n">
        <v>5388066</v>
      </c>
      <c r="GO69" s="11" t="n">
        <v>-20635575</v>
      </c>
      <c r="GP69" s="11" t="n">
        <v>-39279434</v>
      </c>
      <c r="GQ69" s="11" t="n">
        <v>179344926</v>
      </c>
      <c r="GR69" s="11" t="n">
        <v>289026690</v>
      </c>
      <c r="GS69" s="11" t="n">
        <v>200505199</v>
      </c>
      <c r="GT69" s="11" t="n">
        <v>4501164</v>
      </c>
      <c r="GU69" s="11" t="n">
        <v>7870120</v>
      </c>
      <c r="GV69" s="11" t="n">
        <v>2672336</v>
      </c>
      <c r="GW69" s="11" t="n">
        <v>20510060</v>
      </c>
      <c r="GX69" s="11" t="n">
        <v>-74452</v>
      </c>
      <c r="GY69" s="11" t="n">
        <v>29547328</v>
      </c>
      <c r="GZ69" s="11" t="n">
        <v>-151624</v>
      </c>
      <c r="HA69" s="11" t="n">
        <v>54474368</v>
      </c>
      <c r="HB69" s="11" t="n">
        <v>56967756</v>
      </c>
      <c r="HC69" s="11" t="n">
        <v>32767200</v>
      </c>
      <c r="HD69" s="11" t="n">
        <v>-25772</v>
      </c>
      <c r="HE69" s="11" t="n">
        <v>-188</v>
      </c>
      <c r="HF69" s="11" t="n">
        <v>81080</v>
      </c>
      <c r="HG69" s="11" t="n">
        <v>100900</v>
      </c>
      <c r="HH69" s="11" t="n">
        <v>66268</v>
      </c>
      <c r="HI69" s="11" t="n">
        <v>127096</v>
      </c>
      <c r="HJ69" s="11" t="n">
        <v>-51034368</v>
      </c>
      <c r="HK69" s="11" t="n">
        <v>-59763316</v>
      </c>
      <c r="HL69" s="11" t="n">
        <v>-37641952</v>
      </c>
      <c r="HM69" s="11" t="n">
        <v>27568</v>
      </c>
      <c r="HN69" s="11" t="n">
        <v>61636</v>
      </c>
      <c r="HO69" s="11" t="n">
        <v>52216</v>
      </c>
      <c r="HP69" s="11" t="n">
        <v>-11786360</v>
      </c>
      <c r="HQ69" s="11" t="n">
        <v>-12802112</v>
      </c>
      <c r="HR69" s="11" t="n">
        <v>-6298404</v>
      </c>
      <c r="HS69" s="11" t="n">
        <v>-30953207</v>
      </c>
      <c r="HT69" s="11" t="n">
        <v>-355165</v>
      </c>
      <c r="HU69" s="11" t="n">
        <v>-56261500</v>
      </c>
      <c r="HV69" s="11" t="n">
        <v>-58743718</v>
      </c>
      <c r="HW69" s="11" t="n">
        <v>-33635617</v>
      </c>
      <c r="HX69" s="11" t="n">
        <v>203989494</v>
      </c>
      <c r="HY69" s="11" t="n">
        <v>-319392288</v>
      </c>
      <c r="HZ69" s="11" t="n">
        <v>-370907969</v>
      </c>
      <c r="IA69" s="11" t="n">
        <v>-274100312</v>
      </c>
      <c r="IB69" s="11" t="n">
        <v>-374442360</v>
      </c>
      <c r="IC69" s="11" t="n">
        <v>-391391911</v>
      </c>
      <c r="ID69" s="11" t="n">
        <v>-224812354</v>
      </c>
      <c r="IE69" s="11" t="n">
        <v>-68023588</v>
      </c>
      <c r="IF69" s="11" t="n">
        <v>-151142272</v>
      </c>
      <c r="IG69" s="11" t="n">
        <v>-117143049</v>
      </c>
      <c r="IH69" s="11" t="n">
        <v>-44782</v>
      </c>
      <c r="II69" s="11" t="n">
        <v>-53184030</v>
      </c>
      <c r="IJ69" s="11" t="n">
        <v>-62283373</v>
      </c>
      <c r="IK69" s="11" t="n">
        <v>-39193900</v>
      </c>
      <c r="IL69" s="11" t="n">
        <v>-528850</v>
      </c>
      <c r="IM69" s="11" t="n">
        <v>-629667</v>
      </c>
      <c r="IN69" s="11" t="n">
        <v>-401058</v>
      </c>
      <c r="IO69" s="11" t="n">
        <v>-12274280</v>
      </c>
      <c r="IP69" s="11" t="n">
        <v>-13447070</v>
      </c>
      <c r="IQ69" s="11" t="n">
        <v>-6702237</v>
      </c>
      <c r="IR69" s="11" t="n">
        <v>350958348</v>
      </c>
      <c r="IS69" s="11" t="n">
        <v>410999860</v>
      </c>
      <c r="IT69" s="11" t="n">
        <v>258694312</v>
      </c>
      <c r="IU69" s="11" t="n">
        <v>-5377422</v>
      </c>
      <c r="IV69" s="11" t="n">
        <v>66536880</v>
      </c>
      <c r="IW69" s="11" t="n">
        <v>81883668</v>
      </c>
      <c r="IX69" s="11" t="n">
        <v>-81050738</v>
      </c>
      <c r="IY69" s="11" t="n">
        <v>-88074812</v>
      </c>
      <c r="IZ69" s="11" t="n">
        <v>-43399368</v>
      </c>
      <c r="JA69" s="11" t="n">
        <v>16715598</v>
      </c>
      <c r="JB69" s="11" t="n">
        <v>293631</v>
      </c>
      <c r="JC69" s="11" t="n">
        <v>14281</v>
      </c>
      <c r="JD69" s="11" t="n">
        <v>561420</v>
      </c>
      <c r="JE69" s="11" t="n">
        <v>694178</v>
      </c>
      <c r="JF69" s="11" t="n">
        <v>504853</v>
      </c>
      <c r="JG69" s="11" t="n">
        <v>-6265606</v>
      </c>
      <c r="JH69" s="11" t="n">
        <v>-7966176</v>
      </c>
      <c r="JI69" s="11" t="n">
        <v>-50819399</v>
      </c>
      <c r="JJ69" s="11" t="n">
        <v>-71127592</v>
      </c>
      <c r="JK69" s="11" t="n">
        <v>11592344</v>
      </c>
      <c r="JL69" s="11" t="n">
        <v>12340979</v>
      </c>
      <c r="JM69" s="11" t="n">
        <v>7313386</v>
      </c>
      <c r="JN69" s="11" t="n">
        <v>-78333292</v>
      </c>
      <c r="JO69" s="11" t="n">
        <v>-122298752</v>
      </c>
      <c r="JP69" s="11" t="n">
        <v>-80777859</v>
      </c>
      <c r="JQ69" s="11" t="n">
        <v>4202</v>
      </c>
      <c r="JR69" s="11" t="n">
        <v>514110</v>
      </c>
      <c r="JS69" s="11" t="n">
        <v>638233</v>
      </c>
      <c r="JT69" s="11" t="n">
        <v>436112</v>
      </c>
      <c r="JU69" s="11" t="n">
        <v>16970</v>
      </c>
      <c r="JV69" s="11" t="n">
        <v>21107</v>
      </c>
      <c r="JW69" s="11" t="n">
        <v>13986</v>
      </c>
      <c r="JX69" s="11" t="n">
        <v>4880</v>
      </c>
      <c r="JY69" s="11" t="n">
        <v>-50090</v>
      </c>
      <c r="JZ69" s="11" t="n">
        <v>-66323</v>
      </c>
      <c r="KA69" s="11" t="n">
        <v>-10856268</v>
      </c>
      <c r="KB69" s="11" t="n">
        <v>-12891600</v>
      </c>
      <c r="KC69" s="11" t="n">
        <v>-8288048</v>
      </c>
      <c r="KD69" s="11" t="n">
        <v>71663022</v>
      </c>
      <c r="KE69" s="11" t="n">
        <v>112703568</v>
      </c>
      <c r="KF69" s="11" t="n">
        <v>79123208</v>
      </c>
      <c r="KG69" s="11" t="n">
        <v>2468538</v>
      </c>
      <c r="KH69" s="11" t="n">
        <v>2662444</v>
      </c>
      <c r="KI69" s="11" t="n">
        <v>1277032</v>
      </c>
      <c r="KJ69" s="11" t="n">
        <v>8051962</v>
      </c>
      <c r="KK69" s="11" t="n">
        <v>4536551</v>
      </c>
      <c r="KL69" s="11" t="n">
        <v>11519220</v>
      </c>
      <c r="KM69" s="11" t="n">
        <v>56923369</v>
      </c>
      <c r="KN69" s="11" t="n">
        <v>77235797</v>
      </c>
      <c r="KO69" s="11" t="n">
        <v>-8113600</v>
      </c>
      <c r="KP69" s="11" t="n">
        <v>-7956419</v>
      </c>
      <c r="KQ69" s="11" t="n">
        <v>-4043466</v>
      </c>
      <c r="KR69" s="11" t="n">
        <v>81604220</v>
      </c>
      <c r="KS69" s="11" t="n">
        <v>127868680</v>
      </c>
      <c r="KT69" s="11" t="n">
        <v>84723539</v>
      </c>
      <c r="KU69" s="11" t="n">
        <v>-122725224</v>
      </c>
      <c r="KV69" s="11" t="n">
        <v>-429500315</v>
      </c>
      <c r="KW69" s="11" t="n">
        <v>-549176090</v>
      </c>
      <c r="KX69" s="11" t="n">
        <v>449333556</v>
      </c>
      <c r="KY69" s="11" t="n">
        <v>694955328</v>
      </c>
      <c r="KZ69" s="11" t="n">
        <v>421431595</v>
      </c>
      <c r="LA69" s="11" t="n">
        <v>552917944</v>
      </c>
      <c r="LB69" s="11" t="n">
        <v>872812816</v>
      </c>
      <c r="LC69" s="11" t="n">
        <v>580353920</v>
      </c>
      <c r="LD69" s="11" t="n">
        <v>-64622536</v>
      </c>
      <c r="LE69" s="11" t="n">
        <v>-7778070</v>
      </c>
      <c r="LF69" s="11" t="n">
        <v>-9045995</v>
      </c>
      <c r="LG69" s="11" t="n">
        <v>-5632578</v>
      </c>
      <c r="LH69" s="11" t="n">
        <v>74627430</v>
      </c>
      <c r="LI69" s="11" t="n">
        <v>118121130</v>
      </c>
      <c r="LJ69" s="11" t="n">
        <v>83334083</v>
      </c>
      <c r="LK69" s="11" t="n">
        <v>2537170</v>
      </c>
      <c r="LL69" s="11" t="n">
        <v>3141180</v>
      </c>
      <c r="LM69" s="11" t="n">
        <v>1815912</v>
      </c>
      <c r="LN69" s="11" t="n">
        <v>8392210</v>
      </c>
      <c r="LO69" s="11" t="n">
        <v>-491675670</v>
      </c>
      <c r="LP69" s="11" t="n">
        <v>-789205428</v>
      </c>
      <c r="LQ69" s="11" t="n">
        <v>-561803480</v>
      </c>
      <c r="LR69" s="11" t="n">
        <v>105307242</v>
      </c>
      <c r="LS69" s="11" t="n">
        <v>58871488</v>
      </c>
    </row>
    <row r="70" customFormat="false" ht="15" hidden="false" customHeight="true" outlineLevel="0" collapsed="false">
      <c r="A70" s="7" t="s">
        <v>136</v>
      </c>
      <c r="B70" s="11" t="n">
        <v>1024181</v>
      </c>
      <c r="C70" s="11" t="n">
        <v>-348985697</v>
      </c>
      <c r="D70" s="11" t="n">
        <v>-282888</v>
      </c>
      <c r="E70" s="11" t="n">
        <v>208820831</v>
      </c>
      <c r="F70" s="11" t="n">
        <v>-2831197</v>
      </c>
      <c r="G70" s="11" t="n">
        <v>-19025928</v>
      </c>
      <c r="H70" s="11" t="n">
        <v>-30577495</v>
      </c>
      <c r="I70" s="11" t="n">
        <v>-29221727</v>
      </c>
      <c r="J70" s="11" t="n">
        <v>-31064294</v>
      </c>
      <c r="K70" s="11" t="n">
        <v>-119624</v>
      </c>
      <c r="L70" s="11" t="n">
        <v>20013641</v>
      </c>
      <c r="M70" s="11" t="n">
        <v>-668258</v>
      </c>
      <c r="N70" s="11" t="n">
        <v>-1280994</v>
      </c>
      <c r="O70" s="11" t="n">
        <v>2637187</v>
      </c>
      <c r="P70" s="11" t="n">
        <v>-2872926</v>
      </c>
      <c r="Q70" s="11" t="n">
        <v>32181176</v>
      </c>
      <c r="R70" s="11" t="n">
        <v>-485854323</v>
      </c>
      <c r="S70" s="11" t="n">
        <v>141833668</v>
      </c>
      <c r="T70" s="11" t="n">
        <v>-140579094</v>
      </c>
      <c r="U70" s="11" t="n">
        <v>-1826053049</v>
      </c>
      <c r="V70" s="11" t="n">
        <v>92618164</v>
      </c>
      <c r="W70" s="11" t="n">
        <v>18862256</v>
      </c>
      <c r="X70" s="11" t="n">
        <v>-146104</v>
      </c>
      <c r="Y70" s="11" t="n">
        <v>-1868400</v>
      </c>
      <c r="Z70" s="11" t="n">
        <v>-4299856</v>
      </c>
      <c r="AA70" s="11" t="n">
        <v>-2619560</v>
      </c>
      <c r="AB70" s="11" t="n">
        <v>-80926741</v>
      </c>
      <c r="AC70" s="11" t="n">
        <v>110605314</v>
      </c>
      <c r="AD70" s="11" t="n">
        <v>1135215932</v>
      </c>
      <c r="AE70" s="11" t="n">
        <v>-14737279</v>
      </c>
      <c r="AF70" s="11" t="n">
        <v>-8872926</v>
      </c>
      <c r="AG70" s="11" t="n">
        <v>-27241329</v>
      </c>
      <c r="AH70" s="11" t="n">
        <v>-11124824</v>
      </c>
      <c r="AI70" s="11" t="n">
        <v>-87235086</v>
      </c>
      <c r="AJ70" s="11" t="n">
        <v>16820490</v>
      </c>
      <c r="AK70" s="11" t="n">
        <v>161016499</v>
      </c>
      <c r="AL70" s="11" t="n">
        <v>104943121</v>
      </c>
      <c r="AM70" s="11" t="n">
        <v>413662</v>
      </c>
      <c r="AN70" s="11" t="n">
        <v>-58802185</v>
      </c>
      <c r="AO70" s="11" t="n">
        <v>3342735</v>
      </c>
      <c r="AP70" s="11" t="n">
        <v>6644262</v>
      </c>
      <c r="AQ70" s="11" t="n">
        <v>14506739</v>
      </c>
      <c r="AR70" s="11" t="n">
        <v>9444527</v>
      </c>
      <c r="AS70" s="11" t="n">
        <v>-111967486</v>
      </c>
      <c r="AT70" s="11" t="n">
        <v>-1360294926</v>
      </c>
      <c r="AU70" s="11" t="n">
        <v>-848924218</v>
      </c>
      <c r="AV70" s="11" t="n">
        <v>-314507046</v>
      </c>
      <c r="AW70" s="11" t="n">
        <v>-1809979548</v>
      </c>
      <c r="AX70" s="11" t="n">
        <v>-223969792</v>
      </c>
      <c r="AY70" s="11" t="n">
        <v>-68100082</v>
      </c>
      <c r="AZ70" s="11" t="n">
        <v>220214</v>
      </c>
      <c r="BA70" s="11" t="n">
        <v>5849280</v>
      </c>
      <c r="BB70" s="11" t="n">
        <v>8343218</v>
      </c>
      <c r="BC70" s="11" t="n">
        <v>9193858</v>
      </c>
      <c r="BD70" s="11" t="n">
        <v>519002140</v>
      </c>
      <c r="BE70" s="11" t="n">
        <v>262350282</v>
      </c>
      <c r="BF70" s="11" t="n">
        <v>1202215014</v>
      </c>
      <c r="BG70" s="11" t="n">
        <v>247917682</v>
      </c>
      <c r="BH70" s="11" t="n">
        <v>43729986</v>
      </c>
      <c r="BI70" s="11" t="n">
        <v>59697482</v>
      </c>
      <c r="BJ70" s="11" t="n">
        <v>69266246</v>
      </c>
      <c r="BK70" s="11" t="n">
        <v>-71119542</v>
      </c>
      <c r="BL70" s="11" t="n">
        <v>14124378</v>
      </c>
      <c r="BM70" s="11" t="n">
        <v>131931748</v>
      </c>
      <c r="BN70" s="11" t="n">
        <v>-289404</v>
      </c>
      <c r="BO70" s="11" t="n">
        <v>-267184791</v>
      </c>
      <c r="BP70" s="11" t="n">
        <v>-32914712</v>
      </c>
      <c r="BQ70" s="11" t="n">
        <v>-70268634</v>
      </c>
      <c r="BR70" s="11" t="n">
        <v>-710222353</v>
      </c>
      <c r="BS70" s="11" t="n">
        <v>7914868</v>
      </c>
      <c r="BT70" s="11" t="n">
        <v>-1215342</v>
      </c>
      <c r="BU70" s="11" t="n">
        <v>-120524</v>
      </c>
      <c r="BV70" s="11" t="n">
        <v>-258660</v>
      </c>
      <c r="BW70" s="11" t="n">
        <v>-2759530</v>
      </c>
      <c r="BX70" s="11" t="n">
        <v>57244</v>
      </c>
      <c r="BY70" s="11" t="n">
        <v>26953505</v>
      </c>
      <c r="BZ70" s="11" t="n">
        <v>56289492</v>
      </c>
      <c r="CA70" s="11" t="n">
        <v>434888974</v>
      </c>
      <c r="CB70" s="11" t="n">
        <v>19610837</v>
      </c>
      <c r="CC70" s="11" t="n">
        <v>-154326</v>
      </c>
      <c r="CD70" s="11" t="n">
        <v>-18072647</v>
      </c>
      <c r="CE70" s="11" t="n">
        <v>3214324</v>
      </c>
      <c r="CF70" s="11" t="n">
        <v>-35252760</v>
      </c>
      <c r="CG70" s="11" t="n">
        <v>6825054</v>
      </c>
      <c r="CH70" s="11" t="n">
        <v>65011723</v>
      </c>
      <c r="CI70" s="11" t="n">
        <v>281317482</v>
      </c>
      <c r="CJ70" s="11" t="n">
        <v>32776760</v>
      </c>
      <c r="CK70" s="11" t="n">
        <v>74104740</v>
      </c>
      <c r="CL70" s="11" t="n">
        <v>752769646</v>
      </c>
      <c r="CM70" s="11" t="n">
        <v>-9062296</v>
      </c>
      <c r="CN70" s="11" t="n">
        <v>-1734710406</v>
      </c>
      <c r="CO70" s="11" t="n">
        <v>110103138</v>
      </c>
      <c r="CP70" s="11" t="n">
        <v>4597851210</v>
      </c>
      <c r="CQ70" s="11" t="n">
        <v>-672820440</v>
      </c>
      <c r="CR70" s="11" t="n">
        <v>469786260</v>
      </c>
      <c r="CS70" s="11" t="n">
        <v>5177566618</v>
      </c>
      <c r="CT70" s="11" t="n">
        <v>-134272968</v>
      </c>
      <c r="CU70" s="11" t="n">
        <v>916545486</v>
      </c>
      <c r="CV70" s="11" t="n">
        <v>-173687736</v>
      </c>
      <c r="CW70" s="11" t="n">
        <v>-1652267440</v>
      </c>
      <c r="CX70" s="11" t="n">
        <v>20488538</v>
      </c>
      <c r="CY70" s="11" t="n">
        <v>59767740</v>
      </c>
      <c r="CZ70" s="11" t="n">
        <v>478806568</v>
      </c>
      <c r="DA70" s="11" t="n">
        <v>17587694</v>
      </c>
      <c r="DB70" s="11" t="n">
        <v>1566540</v>
      </c>
      <c r="DC70" s="11" t="n">
        <v>961826</v>
      </c>
      <c r="DD70" s="11" t="n">
        <v>2709184</v>
      </c>
      <c r="DE70" s="11" t="n">
        <v>-33803460</v>
      </c>
      <c r="DF70" s="11" t="n">
        <v>6558300</v>
      </c>
      <c r="DG70" s="11" t="n">
        <v>62486586</v>
      </c>
      <c r="DH70" s="11" t="n">
        <v>-376569462</v>
      </c>
      <c r="DI70" s="11" t="n">
        <v>-3287367634</v>
      </c>
      <c r="DJ70" s="11" t="n">
        <v>-59450442</v>
      </c>
      <c r="DK70" s="11" t="n">
        <v>-789446388</v>
      </c>
      <c r="DL70" s="11" t="n">
        <v>149828646</v>
      </c>
      <c r="DM70" s="11" t="n">
        <v>1432603630</v>
      </c>
      <c r="DN70" s="11" t="n">
        <v>-233672046</v>
      </c>
      <c r="DO70" s="11" t="n">
        <v>45247956</v>
      </c>
      <c r="DP70" s="11" t="n">
        <v>431895278</v>
      </c>
      <c r="DQ70" s="11" t="n">
        <v>1885626</v>
      </c>
      <c r="DR70" s="11" t="n">
        <v>-1952283</v>
      </c>
      <c r="DS70" s="11" t="n">
        <v>-6341</v>
      </c>
      <c r="DT70" s="11" t="n">
        <v>1335391</v>
      </c>
      <c r="DU70" s="11" t="n">
        <v>-27529</v>
      </c>
      <c r="DV70" s="11" t="n">
        <v>-52406</v>
      </c>
      <c r="DW70" s="11" t="n">
        <v>115930</v>
      </c>
      <c r="DX70" s="11" t="n">
        <v>-105866</v>
      </c>
      <c r="DY70" s="11" t="n">
        <v>1621433</v>
      </c>
      <c r="DZ70" s="11" t="n">
        <v>-56977234</v>
      </c>
      <c r="EA70" s="11" t="n">
        <v>3983602</v>
      </c>
      <c r="EB70" s="11" t="n">
        <v>-18409882</v>
      </c>
      <c r="EC70" s="11" t="n">
        <v>-97789195</v>
      </c>
      <c r="ED70" s="11" t="n">
        <v>-19628719</v>
      </c>
      <c r="EE70" s="11" t="n">
        <v>924023</v>
      </c>
      <c r="EF70" s="11" t="n">
        <v>-9925</v>
      </c>
      <c r="EG70" s="11" t="n">
        <v>-103320</v>
      </c>
      <c r="EH70" s="11" t="n">
        <v>-221335</v>
      </c>
      <c r="EI70" s="11" t="n">
        <v>-151679</v>
      </c>
      <c r="EJ70" s="11" t="n">
        <v>-1921412</v>
      </c>
      <c r="EK70" s="11" t="n">
        <v>14122102</v>
      </c>
      <c r="EL70" s="11" t="n">
        <v>63505875</v>
      </c>
      <c r="EM70" s="11" t="n">
        <v>16516031</v>
      </c>
      <c r="EN70" s="11" t="n">
        <v>-366530</v>
      </c>
      <c r="EO70" s="11" t="n">
        <v>-1142365</v>
      </c>
      <c r="EP70" s="11" t="n">
        <v>-492801</v>
      </c>
      <c r="EQ70" s="11" t="n">
        <v>-3718210</v>
      </c>
      <c r="ER70" s="11" t="n">
        <v>471406</v>
      </c>
      <c r="ES70" s="11" t="n">
        <v>6468380</v>
      </c>
      <c r="ET70" s="11" t="n">
        <v>-35698</v>
      </c>
      <c r="EU70" s="11" t="n">
        <v>-2353771</v>
      </c>
      <c r="EV70" s="11" t="n">
        <v>-438848</v>
      </c>
      <c r="EW70" s="11" t="n">
        <v>-852298</v>
      </c>
      <c r="EX70" s="11" t="n">
        <v>1510721</v>
      </c>
      <c r="EY70" s="11" t="n">
        <v>-2265334</v>
      </c>
      <c r="EZ70" s="11" t="n">
        <v>-32063</v>
      </c>
      <c r="FA70" s="11" t="n">
        <v>-922</v>
      </c>
      <c r="FB70" s="11" t="n">
        <v>-1810</v>
      </c>
      <c r="FC70" s="11" t="n">
        <v>2787</v>
      </c>
      <c r="FD70" s="11" t="n">
        <v>-5422</v>
      </c>
      <c r="FE70" s="11" t="n">
        <v>333369</v>
      </c>
      <c r="FF70" s="11" t="n">
        <v>646168</v>
      </c>
      <c r="FG70" s="11" t="n">
        <v>-1173127</v>
      </c>
      <c r="FH70" s="11" t="n">
        <v>1677160</v>
      </c>
      <c r="FI70" s="11" t="n">
        <v>-238</v>
      </c>
      <c r="FJ70" s="11" t="n">
        <v>-4757</v>
      </c>
      <c r="FK70" s="11" t="n">
        <v>-8146</v>
      </c>
      <c r="FL70" s="11" t="n">
        <v>-10058</v>
      </c>
      <c r="FM70" s="11" t="n">
        <v>-14592</v>
      </c>
      <c r="FN70" s="11" t="n">
        <v>52598</v>
      </c>
      <c r="FO70" s="11" t="n">
        <v>2996725</v>
      </c>
      <c r="FP70" s="11" t="n">
        <v>291636</v>
      </c>
      <c r="FQ70" s="11" t="n">
        <v>1044490</v>
      </c>
      <c r="FR70" s="11" t="n">
        <v>533399</v>
      </c>
      <c r="FS70" s="11" t="n">
        <v>2240348</v>
      </c>
      <c r="FT70" s="11" t="n">
        <v>-17610578</v>
      </c>
      <c r="FU70" s="11" t="n">
        <v>-2678370</v>
      </c>
      <c r="FV70" s="11" t="n">
        <v>161989873</v>
      </c>
      <c r="FW70" s="11" t="n">
        <v>-42448229</v>
      </c>
      <c r="FX70" s="11" t="n">
        <v>5877404</v>
      </c>
      <c r="FY70" s="11" t="n">
        <v>18899146</v>
      </c>
      <c r="FZ70" s="11" t="n">
        <v>9034660</v>
      </c>
      <c r="GA70" s="11" t="n">
        <v>56937304</v>
      </c>
      <c r="GB70" s="11" t="n">
        <v>-12792722</v>
      </c>
      <c r="GC70" s="11" t="n">
        <v>-128658963</v>
      </c>
      <c r="GD70" s="11" t="n">
        <v>184541</v>
      </c>
      <c r="GE70" s="11" t="n">
        <v>786190</v>
      </c>
      <c r="GF70" s="11" t="n">
        <v>713044</v>
      </c>
      <c r="GG70" s="11" t="n">
        <v>1557063</v>
      </c>
      <c r="GH70" s="11" t="n">
        <v>12190</v>
      </c>
      <c r="GI70" s="11" t="n">
        <v>36545</v>
      </c>
      <c r="GJ70" s="11" t="n">
        <v>13568</v>
      </c>
      <c r="GK70" s="11" t="n">
        <v>108590</v>
      </c>
      <c r="GL70" s="11" t="n">
        <v>-45050</v>
      </c>
      <c r="GM70" s="11" t="n">
        <v>-255923</v>
      </c>
      <c r="GN70" s="11" t="n">
        <v>-4455194</v>
      </c>
      <c r="GO70" s="11" t="n">
        <v>-14165761</v>
      </c>
      <c r="GP70" s="11" t="n">
        <v>-6536249</v>
      </c>
      <c r="GQ70" s="11" t="n">
        <v>-43135294</v>
      </c>
      <c r="GR70" s="11" t="n">
        <v>9744632</v>
      </c>
      <c r="GS70" s="11" t="n">
        <v>94268207</v>
      </c>
      <c r="GT70" s="11" t="n">
        <v>-53460</v>
      </c>
      <c r="GU70" s="11" t="n">
        <v>-104198</v>
      </c>
      <c r="GV70" s="11" t="n">
        <v>-252877</v>
      </c>
      <c r="GW70" s="11" t="n">
        <v>-1125778</v>
      </c>
      <c r="GX70" s="11" t="n">
        <v>138785</v>
      </c>
      <c r="GY70" s="11" t="n">
        <v>24743276</v>
      </c>
      <c r="GZ70" s="11" t="n">
        <v>3551116</v>
      </c>
      <c r="HA70" s="11" t="n">
        <v>7295420</v>
      </c>
      <c r="HB70" s="11" t="n">
        <v>39531407</v>
      </c>
      <c r="HC70" s="11" t="n">
        <v>7155455</v>
      </c>
      <c r="HD70" s="11" t="n">
        <v>175297</v>
      </c>
      <c r="HE70" s="11" t="n">
        <v>9577</v>
      </c>
      <c r="HF70" s="11" t="n">
        <v>19970</v>
      </c>
      <c r="HG70" s="11" t="n">
        <v>136639</v>
      </c>
      <c r="HH70" s="11" t="n">
        <v>15715</v>
      </c>
      <c r="HI70" s="11" t="n">
        <v>-2777920</v>
      </c>
      <c r="HJ70" s="11" t="n">
        <v>-5654372</v>
      </c>
      <c r="HK70" s="11" t="n">
        <v>-25570779</v>
      </c>
      <c r="HL70" s="11" t="n">
        <v>-6236187</v>
      </c>
      <c r="HM70" s="11" t="n">
        <v>7548</v>
      </c>
      <c r="HN70" s="11" t="n">
        <v>768301</v>
      </c>
      <c r="HO70" s="11" t="n">
        <v>-91667</v>
      </c>
      <c r="HP70" s="11" t="n">
        <v>1494374</v>
      </c>
      <c r="HQ70" s="11" t="n">
        <v>-203530</v>
      </c>
      <c r="HR70" s="11" t="n">
        <v>-2568564</v>
      </c>
      <c r="HS70" s="11" t="n">
        <v>-24600506</v>
      </c>
      <c r="HT70" s="11" t="n">
        <v>-2666126</v>
      </c>
      <c r="HU70" s="11" t="n">
        <v>-7367810</v>
      </c>
      <c r="HV70" s="11" t="n">
        <v>-39783782</v>
      </c>
      <c r="HW70" s="11" t="n">
        <v>-7338210</v>
      </c>
      <c r="HX70" s="11" t="n">
        <v>154127312</v>
      </c>
      <c r="HY70" s="11" t="n">
        <v>-20410944</v>
      </c>
      <c r="HZ70" s="11" t="n">
        <v>-85661154</v>
      </c>
      <c r="IA70" s="11" t="n">
        <v>-39943378</v>
      </c>
      <c r="IB70" s="11" t="n">
        <v>-48372944</v>
      </c>
      <c r="IC70" s="11" t="n">
        <v>-258537398</v>
      </c>
      <c r="ID70" s="11" t="n">
        <v>-50304358</v>
      </c>
      <c r="IE70" s="11" t="n">
        <v>7353078</v>
      </c>
      <c r="IF70" s="11" t="n">
        <v>-5874490</v>
      </c>
      <c r="IG70" s="11" t="n">
        <v>-39043876</v>
      </c>
      <c r="IH70" s="11" t="n">
        <v>-1669956</v>
      </c>
      <c r="II70" s="11" t="n">
        <v>-5766350</v>
      </c>
      <c r="IJ70" s="11" t="n">
        <v>-26030112</v>
      </c>
      <c r="IK70" s="11" t="n">
        <v>-6483188</v>
      </c>
      <c r="IL70" s="11" t="n">
        <v>-124790</v>
      </c>
      <c r="IM70" s="11" t="n">
        <v>-120420</v>
      </c>
      <c r="IN70" s="11" t="n">
        <v>-204488</v>
      </c>
      <c r="IO70" s="11" t="n">
        <v>1529330</v>
      </c>
      <c r="IP70" s="11" t="n">
        <v>-221630</v>
      </c>
      <c r="IQ70" s="11" t="n">
        <v>-2719916</v>
      </c>
      <c r="IR70" s="11" t="n">
        <v>37512944</v>
      </c>
      <c r="IS70" s="11" t="n">
        <v>168899028</v>
      </c>
      <c r="IT70" s="11" t="n">
        <v>43330004</v>
      </c>
      <c r="IU70" s="11" t="n">
        <v>-1518138</v>
      </c>
      <c r="IV70" s="11" t="n">
        <v>3983638</v>
      </c>
      <c r="IW70" s="11" t="n">
        <v>19689564</v>
      </c>
      <c r="IX70" s="11" t="n">
        <v>9916190</v>
      </c>
      <c r="IY70" s="11" t="n">
        <v>-1355602</v>
      </c>
      <c r="IZ70" s="11" t="n">
        <v>-17557364</v>
      </c>
      <c r="JA70" s="11" t="n">
        <v>-998176</v>
      </c>
      <c r="JB70" s="11" t="n">
        <v>285111</v>
      </c>
      <c r="JC70" s="11" t="n">
        <v>33736</v>
      </c>
      <c r="JD70" s="11" t="n">
        <v>72810</v>
      </c>
      <c r="JE70" s="11" t="n">
        <v>830237</v>
      </c>
      <c r="JF70" s="11" t="n">
        <v>-30200</v>
      </c>
      <c r="JG70" s="11" t="n">
        <v>-1280564</v>
      </c>
      <c r="JH70" s="11" t="n">
        <v>-2006316</v>
      </c>
      <c r="JI70" s="11" t="n">
        <v>66807971</v>
      </c>
      <c r="JJ70" s="11" t="n">
        <v>-20083913</v>
      </c>
      <c r="JK70" s="11" t="n">
        <v>89624</v>
      </c>
      <c r="JL70" s="11" t="n">
        <v>11634084</v>
      </c>
      <c r="JM70" s="11" t="n">
        <v>-2512088</v>
      </c>
      <c r="JN70" s="11" t="n">
        <v>22903382</v>
      </c>
      <c r="JO70" s="11" t="n">
        <v>-5341430</v>
      </c>
      <c r="JP70" s="11" t="n">
        <v>-51407371</v>
      </c>
      <c r="JQ70" s="11" t="n">
        <v>22937</v>
      </c>
      <c r="JR70" s="11" t="n">
        <v>50940</v>
      </c>
      <c r="JS70" s="11" t="n">
        <v>767956</v>
      </c>
      <c r="JT70" s="11" t="n">
        <v>-70429</v>
      </c>
      <c r="JU70" s="11" t="n">
        <v>170</v>
      </c>
      <c r="JV70" s="11" t="n">
        <v>24077</v>
      </c>
      <c r="JW70" s="11" t="n">
        <v>-5904</v>
      </c>
      <c r="JX70" s="11" t="n">
        <v>47780</v>
      </c>
      <c r="JY70" s="11" t="n">
        <v>-12590</v>
      </c>
      <c r="JZ70" s="11" t="n">
        <v>-123743</v>
      </c>
      <c r="KA70" s="11" t="n">
        <v>-67388</v>
      </c>
      <c r="KB70" s="11" t="n">
        <v>-8823901</v>
      </c>
      <c r="KC70" s="11" t="n">
        <v>1932067</v>
      </c>
      <c r="KD70" s="11" t="n">
        <v>-17340476</v>
      </c>
      <c r="KE70" s="11" t="n">
        <v>4083944</v>
      </c>
      <c r="KF70" s="11" t="n">
        <v>37593579</v>
      </c>
      <c r="KG70" s="11" t="n">
        <v>5338</v>
      </c>
      <c r="KH70" s="11" t="n">
        <v>-3026</v>
      </c>
      <c r="KI70" s="11" t="n">
        <v>-243185</v>
      </c>
      <c r="KJ70" s="11" t="n">
        <v>-455158</v>
      </c>
      <c r="KK70" s="11" t="n">
        <v>-502798</v>
      </c>
      <c r="KL70" s="11" t="n">
        <v>2229930</v>
      </c>
      <c r="KM70" s="11" t="n">
        <v>-65435432</v>
      </c>
      <c r="KN70" s="11" t="n">
        <v>20428286</v>
      </c>
      <c r="KO70" s="11" t="n">
        <v>392260</v>
      </c>
      <c r="KP70" s="11" t="n">
        <v>-6278566</v>
      </c>
      <c r="KQ70" s="11" t="n">
        <v>2363936</v>
      </c>
      <c r="KR70" s="11" t="n">
        <v>-23204030</v>
      </c>
      <c r="KS70" s="11" t="n">
        <v>5453060</v>
      </c>
      <c r="KT70" s="11" t="n">
        <v>52555562</v>
      </c>
      <c r="KU70" s="11" t="n">
        <v>-13553808</v>
      </c>
      <c r="KV70" s="11" t="n">
        <v>411717446</v>
      </c>
      <c r="KW70" s="11" t="n">
        <v>-127171098</v>
      </c>
      <c r="KX70" s="11" t="n">
        <v>-62056338</v>
      </c>
      <c r="KY70" s="11" t="n">
        <v>13328574</v>
      </c>
      <c r="KZ70" s="11" t="n">
        <v>177379390</v>
      </c>
      <c r="LA70" s="11" t="n">
        <v>-151953284</v>
      </c>
      <c r="LB70" s="11" t="n">
        <v>35489004</v>
      </c>
      <c r="LC70" s="11" t="n">
        <v>347697406</v>
      </c>
      <c r="LD70" s="11" t="n">
        <v>13058842</v>
      </c>
      <c r="LE70" s="11" t="n">
        <v>269230</v>
      </c>
      <c r="LF70" s="11" t="n">
        <v>-3909936</v>
      </c>
      <c r="LG70" s="11" t="n">
        <v>1519240</v>
      </c>
      <c r="LH70" s="11" t="n">
        <v>-17697560</v>
      </c>
      <c r="LI70" s="11" t="n">
        <v>4200710</v>
      </c>
      <c r="LJ70" s="11" t="n">
        <v>38860208</v>
      </c>
      <c r="LK70" s="11" t="n">
        <v>-311590</v>
      </c>
      <c r="LL70" s="11" t="n">
        <v>80560</v>
      </c>
      <c r="LM70" s="11" t="n">
        <v>588328</v>
      </c>
      <c r="LN70" s="11" t="n">
        <v>-433890</v>
      </c>
      <c r="LO70" s="11" t="n">
        <v>115060454</v>
      </c>
      <c r="LP70" s="11" t="n">
        <v>-27141690</v>
      </c>
      <c r="LQ70" s="11" t="n">
        <v>-255105944</v>
      </c>
      <c r="LR70" s="11" t="n">
        <v>-11120278</v>
      </c>
      <c r="LS70" s="11" t="n">
        <v>-3016718</v>
      </c>
    </row>
    <row r="71" customFormat="false" ht="15" hidden="false" customHeight="true" outlineLevel="0" collapsed="false">
      <c r="A71" s="7" t="s">
        <v>137</v>
      </c>
      <c r="B71" s="11" t="n">
        <v>12322090</v>
      </c>
      <c r="C71" s="11" t="n">
        <v>31852026</v>
      </c>
      <c r="D71" s="11" t="n">
        <v>12295580</v>
      </c>
      <c r="E71" s="11" t="n">
        <v>-71214302</v>
      </c>
      <c r="F71" s="11" t="n">
        <v>51268786</v>
      </c>
      <c r="G71" s="11" t="n">
        <v>-51797800</v>
      </c>
      <c r="H71" s="11" t="n">
        <v>-657836470</v>
      </c>
      <c r="I71" s="11" t="n">
        <v>-227679098</v>
      </c>
      <c r="J71" s="11" t="n">
        <v>-20613438</v>
      </c>
      <c r="K71" s="11" t="n">
        <v>-128810</v>
      </c>
      <c r="L71" s="11" t="n">
        <v>25135636</v>
      </c>
      <c r="M71" s="11" t="n">
        <v>-917278</v>
      </c>
      <c r="N71" s="11" t="n">
        <v>-628720</v>
      </c>
      <c r="O71" s="11" t="n">
        <v>7525890</v>
      </c>
      <c r="P71" s="11" t="n">
        <v>-24223306</v>
      </c>
      <c r="Q71" s="11" t="n">
        <v>20236122</v>
      </c>
      <c r="R71" s="11" t="n">
        <v>-54158886</v>
      </c>
      <c r="S71" s="11" t="n">
        <v>83395656</v>
      </c>
      <c r="T71" s="11" t="n">
        <v>-88276968</v>
      </c>
      <c r="U71" s="11" t="n">
        <v>-1081030608</v>
      </c>
      <c r="V71" s="11" t="n">
        <v>-443497032</v>
      </c>
      <c r="W71" s="11" t="n">
        <v>24337114</v>
      </c>
      <c r="X71" s="11" t="n">
        <v>-379362</v>
      </c>
      <c r="Y71" s="11" t="n">
        <v>-1168840</v>
      </c>
      <c r="Z71" s="11" t="n">
        <v>632950</v>
      </c>
      <c r="AA71" s="11" t="n">
        <v>-26551254</v>
      </c>
      <c r="AB71" s="11" t="n">
        <v>-99281066</v>
      </c>
      <c r="AC71" s="11" t="n">
        <v>109295136</v>
      </c>
      <c r="AD71" s="11" t="n">
        <v>1298415046</v>
      </c>
      <c r="AE71" s="11" t="n">
        <v>604435186</v>
      </c>
      <c r="AF71" s="11" t="n">
        <v>-6471848</v>
      </c>
      <c r="AG71" s="11" t="n">
        <v>-17657368</v>
      </c>
      <c r="AH71" s="11" t="n">
        <v>-117735264</v>
      </c>
      <c r="AI71" s="11" t="n">
        <v>-65201560</v>
      </c>
      <c r="AJ71" s="11" t="n">
        <v>90209336</v>
      </c>
      <c r="AK71" s="11" t="n">
        <v>1432262056</v>
      </c>
      <c r="AL71" s="11" t="n">
        <v>-44087640</v>
      </c>
      <c r="AM71" s="11" t="n">
        <v>127930</v>
      </c>
      <c r="AN71" s="11" t="n">
        <v>90519160</v>
      </c>
      <c r="AO71" s="11" t="n">
        <v>13861020</v>
      </c>
      <c r="AP71" s="11" t="n">
        <v>25236080</v>
      </c>
      <c r="AQ71" s="11" t="n">
        <v>264089810</v>
      </c>
      <c r="AR71" s="11" t="n">
        <v>75362520</v>
      </c>
      <c r="AS71" s="11" t="n">
        <v>44323482</v>
      </c>
      <c r="AT71" s="11" t="n">
        <v>-20812368</v>
      </c>
      <c r="AU71" s="11" t="n">
        <v>219266484</v>
      </c>
      <c r="AV71" s="11" t="n">
        <v>-120095088</v>
      </c>
      <c r="AW71" s="11" t="n">
        <v>-1671036486</v>
      </c>
      <c r="AX71" s="11" t="n">
        <v>-619812480</v>
      </c>
      <c r="AY71" s="11" t="n">
        <v>91063774</v>
      </c>
      <c r="AZ71" s="11" t="n">
        <v>13298918</v>
      </c>
      <c r="BA71" s="11" t="n">
        <v>25719560</v>
      </c>
      <c r="BB71" s="11" t="n">
        <v>270351410</v>
      </c>
      <c r="BC71" s="11" t="n">
        <v>77564186</v>
      </c>
      <c r="BD71" s="11" t="n">
        <v>-456733420</v>
      </c>
      <c r="BE71" s="11" t="n">
        <v>234661776</v>
      </c>
      <c r="BF71" s="11" t="n">
        <v>3306243762</v>
      </c>
      <c r="BG71" s="11" t="n">
        <v>1237000496</v>
      </c>
      <c r="BH71" s="11" t="n">
        <v>163267232</v>
      </c>
      <c r="BI71" s="11" t="n">
        <v>1838799134</v>
      </c>
      <c r="BJ71" s="11" t="n">
        <v>569676852</v>
      </c>
      <c r="BK71" s="11" t="n">
        <v>237130440</v>
      </c>
      <c r="BL71" s="11" t="n">
        <v>149496976</v>
      </c>
      <c r="BM71" s="11" t="n">
        <v>856308922</v>
      </c>
      <c r="BN71" s="11" t="n">
        <v>-674886</v>
      </c>
      <c r="BO71" s="11" t="n">
        <v>-61494456</v>
      </c>
      <c r="BP71" s="11" t="n">
        <v>-26469852</v>
      </c>
      <c r="BQ71" s="11" t="n">
        <v>-44466576</v>
      </c>
      <c r="BR71" s="11" t="n">
        <v>-414864702</v>
      </c>
      <c r="BS71" s="11" t="n">
        <v>-212742240</v>
      </c>
      <c r="BT71" s="11" t="n">
        <v>-1207212</v>
      </c>
      <c r="BU71" s="11" t="n">
        <v>-135374</v>
      </c>
      <c r="BV71" s="11" t="n">
        <v>-257280</v>
      </c>
      <c r="BW71" s="11" t="n">
        <v>-2838820</v>
      </c>
      <c r="BX71" s="11" t="n">
        <v>-536318</v>
      </c>
      <c r="BY71" s="11" t="n">
        <v>35013280</v>
      </c>
      <c r="BZ71" s="11" t="n">
        <v>56097312</v>
      </c>
      <c r="CA71" s="11" t="n">
        <v>483426764</v>
      </c>
      <c r="CB71" s="11" t="n">
        <v>331677352</v>
      </c>
      <c r="CC71" s="11" t="n">
        <v>-1171376</v>
      </c>
      <c r="CD71" s="11" t="n">
        <v>-28125122</v>
      </c>
      <c r="CE71" s="11" t="n">
        <v>21638484</v>
      </c>
      <c r="CF71" s="11" t="n">
        <v>-28888160</v>
      </c>
      <c r="CG71" s="11" t="n">
        <v>45764912</v>
      </c>
      <c r="CH71" s="11" t="n">
        <v>565188074</v>
      </c>
      <c r="CI71" s="11" t="n">
        <v>62142006</v>
      </c>
      <c r="CJ71" s="11" t="n">
        <v>23254956</v>
      </c>
      <c r="CK71" s="11" t="n">
        <v>46542840</v>
      </c>
      <c r="CL71" s="11" t="n">
        <v>442663914</v>
      </c>
      <c r="CM71" s="11" t="n">
        <v>223368264</v>
      </c>
      <c r="CN71" s="11" t="n">
        <v>-318333516</v>
      </c>
      <c r="CO71" s="11" t="n">
        <v>146520144</v>
      </c>
      <c r="CP71" s="11" t="n">
        <v>2134955802</v>
      </c>
      <c r="CQ71" s="11" t="n">
        <v>764099904</v>
      </c>
      <c r="CR71" s="11" t="n">
        <v>293255184</v>
      </c>
      <c r="CS71" s="11" t="n">
        <v>3066574056</v>
      </c>
      <c r="CT71" s="11" t="n">
        <v>1430187408</v>
      </c>
      <c r="CU71" s="11" t="n">
        <v>555304344</v>
      </c>
      <c r="CV71" s="11" t="n">
        <v>45628224</v>
      </c>
      <c r="CW71" s="11" t="n">
        <v>-2231049912</v>
      </c>
      <c r="CX71" s="11" t="n">
        <v>29132698</v>
      </c>
      <c r="CY71" s="11" t="n">
        <v>59564400</v>
      </c>
      <c r="CZ71" s="11" t="n">
        <v>530429168</v>
      </c>
      <c r="DA71" s="11" t="n">
        <v>350170210</v>
      </c>
      <c r="DB71" s="11" t="n">
        <v>470680</v>
      </c>
      <c r="DC71" s="11" t="n">
        <v>-9025894</v>
      </c>
      <c r="DD71" s="11" t="n">
        <v>26324748</v>
      </c>
      <c r="DE71" s="11" t="n">
        <v>-27024080</v>
      </c>
      <c r="DF71" s="11" t="n">
        <v>48165800</v>
      </c>
      <c r="DG71" s="11" t="n">
        <v>587793598</v>
      </c>
      <c r="DH71" s="11" t="n">
        <v>-373819152</v>
      </c>
      <c r="DI71" s="11" t="n">
        <v>-3718103414</v>
      </c>
      <c r="DJ71" s="11" t="n">
        <v>-2152025892</v>
      </c>
      <c r="DK71" s="11" t="n">
        <v>-795738768</v>
      </c>
      <c r="DL71" s="11" t="n">
        <v>93235440</v>
      </c>
      <c r="DM71" s="11" t="n">
        <v>5508303758</v>
      </c>
      <c r="DN71" s="11" t="n">
        <v>-175887896</v>
      </c>
      <c r="DO71" s="11" t="n">
        <v>303019632</v>
      </c>
      <c r="DP71" s="11" t="n">
        <v>4026475440</v>
      </c>
      <c r="DQ71" s="11" t="n">
        <v>601160968</v>
      </c>
      <c r="DR71" s="11" t="n">
        <v>-4604639</v>
      </c>
      <c r="DS71" s="11" t="n">
        <v>-6215</v>
      </c>
      <c r="DT71" s="11" t="n">
        <v>4534223</v>
      </c>
      <c r="DU71" s="11" t="n">
        <v>49681</v>
      </c>
      <c r="DV71" s="11" t="n">
        <v>160030</v>
      </c>
      <c r="DW71" s="11" t="n">
        <v>100530</v>
      </c>
      <c r="DX71" s="11" t="n">
        <v>-720683</v>
      </c>
      <c r="DY71" s="11" t="n">
        <v>4578667</v>
      </c>
      <c r="DZ71" s="11" t="n">
        <v>-14891302</v>
      </c>
      <c r="EA71" s="11" t="n">
        <v>19287044</v>
      </c>
      <c r="EB71" s="11" t="n">
        <v>-18942638</v>
      </c>
      <c r="EC71" s="11" t="n">
        <v>-245566895</v>
      </c>
      <c r="ED71" s="11" t="n">
        <v>-86944282</v>
      </c>
      <c r="EE71" s="11" t="n">
        <v>4488549</v>
      </c>
      <c r="EF71" s="11" t="n">
        <v>75433</v>
      </c>
      <c r="EG71" s="11" t="n">
        <v>133560</v>
      </c>
      <c r="EH71" s="11" t="n">
        <v>-231485</v>
      </c>
      <c r="EI71" s="11" t="n">
        <v>-833969</v>
      </c>
      <c r="EJ71" s="11" t="n">
        <v>-19152766</v>
      </c>
      <c r="EK71" s="11" t="n">
        <v>18135426</v>
      </c>
      <c r="EL71" s="11" t="n">
        <v>241486475</v>
      </c>
      <c r="EM71" s="11" t="n">
        <v>87945368</v>
      </c>
      <c r="EN71" s="11" t="n">
        <v>874682</v>
      </c>
      <c r="EO71" s="11" t="n">
        <v>3070585</v>
      </c>
      <c r="EP71" s="11" t="n">
        <v>-2080590</v>
      </c>
      <c r="EQ71" s="11" t="n">
        <v>8120890</v>
      </c>
      <c r="ER71" s="11" t="n">
        <v>5986426</v>
      </c>
      <c r="ES71" s="11" t="n">
        <v>40332455</v>
      </c>
      <c r="ET71" s="11" t="n">
        <v>-37738</v>
      </c>
      <c r="EU71" s="11" t="n">
        <v>1807697</v>
      </c>
      <c r="EV71" s="11" t="n">
        <v>-425888</v>
      </c>
      <c r="EW71" s="11" t="n">
        <v>-502658</v>
      </c>
      <c r="EX71" s="11" t="n">
        <v>2644173</v>
      </c>
      <c r="EY71" s="11" t="n">
        <v>-7846382</v>
      </c>
      <c r="EZ71" s="11" t="n">
        <v>-34721</v>
      </c>
      <c r="FA71" s="11" t="n">
        <v>-982</v>
      </c>
      <c r="FB71" s="11" t="n">
        <v>-1990</v>
      </c>
      <c r="FC71" s="11" t="n">
        <v>2745</v>
      </c>
      <c r="FD71" s="11" t="n">
        <v>-4684</v>
      </c>
      <c r="FE71" s="11" t="n">
        <v>438879</v>
      </c>
      <c r="FF71" s="11" t="n">
        <v>557796</v>
      </c>
      <c r="FG71" s="11" t="n">
        <v>-2564271</v>
      </c>
      <c r="FH71" s="11" t="n">
        <v>7443465</v>
      </c>
      <c r="FI71" s="11" t="n">
        <v>-9378</v>
      </c>
      <c r="FJ71" s="11" t="n">
        <v>-37827</v>
      </c>
      <c r="FK71" s="11" t="n">
        <v>151314</v>
      </c>
      <c r="FL71" s="11" t="n">
        <v>-102870</v>
      </c>
      <c r="FM71" s="11" t="n">
        <v>351366</v>
      </c>
      <c r="FN71" s="11" t="n">
        <v>-242541</v>
      </c>
      <c r="FO71" s="11" t="n">
        <v>-1675457</v>
      </c>
      <c r="FP71" s="11" t="n">
        <v>265416</v>
      </c>
      <c r="FQ71" s="11" t="n">
        <v>655070</v>
      </c>
      <c r="FR71" s="11" t="n">
        <v>-616679</v>
      </c>
      <c r="FS71" s="11" t="n">
        <v>8514690</v>
      </c>
      <c r="FT71" s="11" t="n">
        <v>6194428</v>
      </c>
      <c r="FU71" s="11" t="n">
        <v>-9062118</v>
      </c>
      <c r="FV71" s="11" t="n">
        <v>-87853871</v>
      </c>
      <c r="FW71" s="11" t="n">
        <v>-59507762</v>
      </c>
      <c r="FX71" s="11" t="n">
        <v>3857464</v>
      </c>
      <c r="FY71" s="11" t="n">
        <v>11637332</v>
      </c>
      <c r="FZ71" s="11" t="n">
        <v>40907016</v>
      </c>
      <c r="GA71" s="11" t="n">
        <v>37684556</v>
      </c>
      <c r="GB71" s="11" t="n">
        <v>-22787440</v>
      </c>
      <c r="GC71" s="11" t="n">
        <v>-468377084</v>
      </c>
      <c r="GD71" s="11" t="n">
        <v>287795</v>
      </c>
      <c r="GE71" s="11" t="n">
        <v>691050</v>
      </c>
      <c r="GF71" s="11" t="n">
        <v>-689248</v>
      </c>
      <c r="GG71" s="11" t="n">
        <v>8041931</v>
      </c>
      <c r="GH71" s="11" t="n">
        <v>3050</v>
      </c>
      <c r="GI71" s="11" t="n">
        <v>3259</v>
      </c>
      <c r="GJ71" s="11" t="n">
        <v>188622</v>
      </c>
      <c r="GK71" s="11" t="n">
        <v>15130</v>
      </c>
      <c r="GL71" s="11" t="n">
        <v>367690</v>
      </c>
      <c r="GM71" s="11" t="n">
        <v>-542803</v>
      </c>
      <c r="GN71" s="11" t="n">
        <v>-4111530</v>
      </c>
      <c r="GO71" s="11" t="n">
        <v>-12542493</v>
      </c>
      <c r="GP71" s="11" t="n">
        <v>-39953994</v>
      </c>
      <c r="GQ71" s="11" t="n">
        <v>-39963702</v>
      </c>
      <c r="GR71" s="11" t="n">
        <v>18952494</v>
      </c>
      <c r="GS71" s="11" t="n">
        <v>446165061</v>
      </c>
      <c r="GT71" s="11" t="n">
        <v>-86364</v>
      </c>
      <c r="GU71" s="11" t="n">
        <v>2271288</v>
      </c>
      <c r="GV71" s="11" t="n">
        <v>7767960</v>
      </c>
      <c r="GW71" s="11" t="n">
        <v>21678612</v>
      </c>
      <c r="GX71" s="11" t="n">
        <v>70043</v>
      </c>
      <c r="GY71" s="11" t="n">
        <v>17602928</v>
      </c>
      <c r="GZ71" s="11" t="n">
        <v>5001966</v>
      </c>
      <c r="HA71" s="11" t="n">
        <v>8857888</v>
      </c>
      <c r="HB71" s="11" t="n">
        <v>98327971</v>
      </c>
      <c r="HC71" s="11" t="n">
        <v>30740760</v>
      </c>
      <c r="HD71" s="11" t="n">
        <v>92731</v>
      </c>
      <c r="HE71" s="11" t="n">
        <v>7507</v>
      </c>
      <c r="HF71" s="11" t="n">
        <v>14390</v>
      </c>
      <c r="HG71" s="11" t="n">
        <v>134245</v>
      </c>
      <c r="HH71" s="11" t="n">
        <v>30529</v>
      </c>
      <c r="HI71" s="11" t="n">
        <v>-4735550</v>
      </c>
      <c r="HJ71" s="11" t="n">
        <v>-8110656</v>
      </c>
      <c r="HK71" s="11" t="n">
        <v>-96439987</v>
      </c>
      <c r="HL71" s="11" t="n">
        <v>-33025736</v>
      </c>
      <c r="HM71" s="11" t="n">
        <v>78268</v>
      </c>
      <c r="HN71" s="11" t="n">
        <v>-951689</v>
      </c>
      <c r="HO71" s="11" t="n">
        <v>-1114542</v>
      </c>
      <c r="HP71" s="11" t="n">
        <v>-3223910</v>
      </c>
      <c r="HQ71" s="11" t="n">
        <v>-2454736</v>
      </c>
      <c r="HR71" s="11" t="n">
        <v>-16060687</v>
      </c>
      <c r="HS71" s="11" t="n">
        <v>-17730158</v>
      </c>
      <c r="HT71" s="11" t="n">
        <v>-4680370</v>
      </c>
      <c r="HU71" s="11" t="n">
        <v>-9096070</v>
      </c>
      <c r="HV71" s="11" t="n">
        <v>-101508778</v>
      </c>
      <c r="HW71" s="11" t="n">
        <v>-31889914</v>
      </c>
      <c r="HX71" s="11" t="n">
        <v>89908076</v>
      </c>
      <c r="HY71" s="11" t="n">
        <v>-43768992</v>
      </c>
      <c r="HZ71" s="11" t="n">
        <v>-620779362</v>
      </c>
      <c r="IA71" s="11" t="n">
        <v>-232961584</v>
      </c>
      <c r="IB71" s="11" t="n">
        <v>-57679420</v>
      </c>
      <c r="IC71" s="11" t="n">
        <v>-678614146</v>
      </c>
      <c r="ID71" s="11" t="n">
        <v>-223207668</v>
      </c>
      <c r="IE71" s="11" t="n">
        <v>-67890858</v>
      </c>
      <c r="IF71" s="11" t="n">
        <v>-40791824</v>
      </c>
      <c r="IG71" s="11" t="n">
        <v>-217203098</v>
      </c>
      <c r="IH71" s="11" t="n">
        <v>-4296148</v>
      </c>
      <c r="II71" s="11" t="n">
        <v>-8399850</v>
      </c>
      <c r="IJ71" s="11" t="n">
        <v>-100407256</v>
      </c>
      <c r="IK71" s="11" t="n">
        <v>-34491664</v>
      </c>
      <c r="IL71" s="11" t="n">
        <v>-13330</v>
      </c>
      <c r="IM71" s="11" t="n">
        <v>-1908972</v>
      </c>
      <c r="IN71" s="11" t="n">
        <v>-1377876</v>
      </c>
      <c r="IO71" s="11" t="n">
        <v>-3420890</v>
      </c>
      <c r="IP71" s="11" t="n">
        <v>-2587010</v>
      </c>
      <c r="IQ71" s="11" t="n">
        <v>-16876776</v>
      </c>
      <c r="IR71" s="11" t="n">
        <v>53200452</v>
      </c>
      <c r="IS71" s="11" t="n">
        <v>659575804</v>
      </c>
      <c r="IT71" s="11" t="n">
        <v>231352512</v>
      </c>
      <c r="IU71" s="11" t="n">
        <v>46233606</v>
      </c>
      <c r="IV71" s="11" t="n">
        <v>25221264</v>
      </c>
      <c r="IW71" s="11" t="n">
        <v>111635792</v>
      </c>
      <c r="IX71" s="11" t="n">
        <v>-21592838</v>
      </c>
      <c r="IY71" s="11" t="n">
        <v>-16344804</v>
      </c>
      <c r="IZ71" s="11" t="n">
        <v>-108741180</v>
      </c>
      <c r="JA71" s="11" t="n">
        <v>-3967646</v>
      </c>
      <c r="JB71" s="11" t="n">
        <v>171765</v>
      </c>
      <c r="JC71" s="11" t="n">
        <v>34516</v>
      </c>
      <c r="JD71" s="11" t="n">
        <v>64950</v>
      </c>
      <c r="JE71" s="11" t="n">
        <v>846083</v>
      </c>
      <c r="JF71" s="11" t="n">
        <v>132586</v>
      </c>
      <c r="JG71" s="11" t="n">
        <v>-3591794</v>
      </c>
      <c r="JH71" s="11" t="n">
        <v>-5399040</v>
      </c>
      <c r="JI71" s="11" t="n">
        <v>-28493437</v>
      </c>
      <c r="JJ71" s="11" t="n">
        <v>-42063944</v>
      </c>
      <c r="JK71" s="11" t="n">
        <v>273244</v>
      </c>
      <c r="JL71" s="11" t="n">
        <v>11966794</v>
      </c>
      <c r="JM71" s="11" t="n">
        <v>-5680188</v>
      </c>
      <c r="JN71" s="11" t="n">
        <v>15820378</v>
      </c>
      <c r="JO71" s="11" t="n">
        <v>-11738224</v>
      </c>
      <c r="JP71" s="11" t="n">
        <v>-185205118</v>
      </c>
      <c r="JQ71" s="11" t="n">
        <v>27287</v>
      </c>
      <c r="JR71" s="11" t="n">
        <v>50700</v>
      </c>
      <c r="JS71" s="11" t="n">
        <v>790936</v>
      </c>
      <c r="JT71" s="11" t="n">
        <v>100667</v>
      </c>
      <c r="JU71" s="11" t="n">
        <v>-130</v>
      </c>
      <c r="JV71" s="11" t="n">
        <v>24527</v>
      </c>
      <c r="JW71" s="11" t="n">
        <v>-834</v>
      </c>
      <c r="JX71" s="11" t="n">
        <v>49340</v>
      </c>
      <c r="JY71" s="11" t="n">
        <v>-1070</v>
      </c>
      <c r="JZ71" s="11" t="n">
        <v>-114659</v>
      </c>
      <c r="KA71" s="11" t="n">
        <v>-202488</v>
      </c>
      <c r="KB71" s="11" t="n">
        <v>-12012801</v>
      </c>
      <c r="KC71" s="11" t="n">
        <v>4577322</v>
      </c>
      <c r="KD71" s="11" t="n">
        <v>-16450836</v>
      </c>
      <c r="KE71" s="11" t="n">
        <v>9251808</v>
      </c>
      <c r="KF71" s="11" t="n">
        <v>176994957</v>
      </c>
      <c r="KG71" s="11" t="n">
        <v>239238</v>
      </c>
      <c r="KH71" s="11" t="n">
        <v>-27996</v>
      </c>
      <c r="KI71" s="11" t="n">
        <v>3747180</v>
      </c>
      <c r="KJ71" s="11" t="n">
        <v>8656446</v>
      </c>
      <c r="KK71" s="11" t="n">
        <v>2740454</v>
      </c>
      <c r="KL71" s="11" t="n">
        <v>5865150</v>
      </c>
      <c r="KM71" s="11" t="n">
        <v>34756792</v>
      </c>
      <c r="KN71" s="11" t="n">
        <v>44641154</v>
      </c>
      <c r="KO71" s="11" t="n">
        <v>142340</v>
      </c>
      <c r="KP71" s="11" t="n">
        <v>-6514634</v>
      </c>
      <c r="KQ71" s="11" t="n">
        <v>6855228</v>
      </c>
      <c r="KR71" s="11" t="n">
        <v>-15747970</v>
      </c>
      <c r="KS71" s="11" t="n">
        <v>12352960</v>
      </c>
      <c r="KT71" s="11" t="n">
        <v>193065278</v>
      </c>
      <c r="KU71" s="11" t="n">
        <v>-36506796</v>
      </c>
      <c r="KV71" s="11" t="n">
        <v>-272199130</v>
      </c>
      <c r="KW71" s="11" t="n">
        <v>-262378980</v>
      </c>
      <c r="KX71" s="11" t="n">
        <v>-119553042</v>
      </c>
      <c r="KY71" s="11" t="n">
        <v>33138096</v>
      </c>
      <c r="KZ71" s="11" t="n">
        <v>1106324590</v>
      </c>
      <c r="LA71" s="11" t="n">
        <v>-100922416</v>
      </c>
      <c r="LB71" s="11" t="n">
        <v>77693472</v>
      </c>
      <c r="LC71" s="11" t="n">
        <v>1304634240</v>
      </c>
      <c r="LD71" s="11" t="n">
        <v>162822128</v>
      </c>
      <c r="LE71" s="11" t="n">
        <v>122850</v>
      </c>
      <c r="LF71" s="11" t="n">
        <v>-7097576</v>
      </c>
      <c r="LG71" s="11" t="n">
        <v>5485692</v>
      </c>
      <c r="LH71" s="11" t="n">
        <v>-16748400</v>
      </c>
      <c r="LI71" s="11" t="n">
        <v>9739350</v>
      </c>
      <c r="LJ71" s="11" t="n">
        <v>185191592</v>
      </c>
      <c r="LK71" s="11" t="n">
        <v>-76610</v>
      </c>
      <c r="LL71" s="11" t="n">
        <v>-22380</v>
      </c>
      <c r="LM71" s="11" t="n">
        <v>4713900</v>
      </c>
      <c r="LN71" s="11" t="n">
        <v>9124630</v>
      </c>
      <c r="LO71" s="11" t="n">
        <v>106752174</v>
      </c>
      <c r="LP71" s="11" t="n">
        <v>-61315308</v>
      </c>
      <c r="LQ71" s="11" t="n">
        <v>-1224415860</v>
      </c>
      <c r="LR71" s="11" t="n">
        <v>-103894842</v>
      </c>
      <c r="LS71" s="11" t="n">
        <v>57684000</v>
      </c>
    </row>
    <row r="72" customFormat="false" ht="15" hidden="false" customHeight="true" outlineLevel="0" collapsed="false">
      <c r="A72" s="7" t="s">
        <v>138</v>
      </c>
      <c r="B72" s="11" t="n">
        <v>20981702</v>
      </c>
      <c r="C72" s="11" t="n">
        <v>-1565351051</v>
      </c>
      <c r="D72" s="11" t="n">
        <v>14926479</v>
      </c>
      <c r="E72" s="11" t="n">
        <v>867809591</v>
      </c>
      <c r="F72" s="11" t="n">
        <v>54631529</v>
      </c>
      <c r="G72" s="11" t="n">
        <v>-156001566</v>
      </c>
      <c r="H72" s="11" t="n">
        <v>-1009141900</v>
      </c>
      <c r="I72" s="11" t="n">
        <v>-435115253</v>
      </c>
      <c r="J72" s="11" t="n">
        <v>47522387</v>
      </c>
      <c r="K72" s="11" t="n">
        <v>87267</v>
      </c>
      <c r="L72" s="11" t="n">
        <v>-7656673</v>
      </c>
      <c r="M72" s="11" t="n">
        <v>104599</v>
      </c>
      <c r="N72" s="11" t="n">
        <v>2388302</v>
      </c>
      <c r="O72" s="11" t="n">
        <v>7152104</v>
      </c>
      <c r="P72" s="11" t="n">
        <v>-38827147</v>
      </c>
      <c r="Q72" s="11" t="n">
        <v>-40318245</v>
      </c>
      <c r="R72" s="11" t="n">
        <v>-1394310247</v>
      </c>
      <c r="S72" s="11" t="n">
        <v>-131541036</v>
      </c>
      <c r="T72" s="11" t="n">
        <v>175154320</v>
      </c>
      <c r="U72" s="11" t="n">
        <v>1752063698</v>
      </c>
      <c r="V72" s="11" t="n">
        <v>3882231804</v>
      </c>
      <c r="W72" s="11" t="n">
        <v>-9056382</v>
      </c>
      <c r="X72" s="11" t="n">
        <v>-152811</v>
      </c>
      <c r="Y72" s="11" t="n">
        <v>2347890</v>
      </c>
      <c r="Z72" s="11" t="n">
        <v>9285258</v>
      </c>
      <c r="AA72" s="11" t="n">
        <v>-25812081</v>
      </c>
      <c r="AB72" s="11" t="n">
        <v>24262463</v>
      </c>
      <c r="AC72" s="11" t="n">
        <v>41852582</v>
      </c>
      <c r="AD72" s="11" t="n">
        <v>-72444318</v>
      </c>
      <c r="AE72" s="11" t="n">
        <v>-1764685523</v>
      </c>
      <c r="AF72" s="11" t="n">
        <v>6996296</v>
      </c>
      <c r="AG72" s="11" t="n">
        <v>23653258</v>
      </c>
      <c r="AH72" s="11" t="n">
        <v>-98927808</v>
      </c>
      <c r="AI72" s="11" t="n">
        <v>61691668</v>
      </c>
      <c r="AJ72" s="11" t="n">
        <v>338212904</v>
      </c>
      <c r="AK72" s="11" t="n">
        <v>2015760706</v>
      </c>
      <c r="AL72" s="11" t="n">
        <v>597713720</v>
      </c>
      <c r="AM72" s="11" t="n">
        <v>2714454</v>
      </c>
      <c r="AN72" s="11" t="n">
        <v>-256731736</v>
      </c>
      <c r="AO72" s="11" t="n">
        <v>37172388</v>
      </c>
      <c r="AP72" s="11" t="n">
        <v>71136464</v>
      </c>
      <c r="AQ72" s="11" t="n">
        <v>403573278</v>
      </c>
      <c r="AR72" s="11" t="n">
        <v>148027720</v>
      </c>
      <c r="AS72" s="11" t="n">
        <v>-627729567</v>
      </c>
      <c r="AT72" s="11" t="n">
        <v>-5568013792</v>
      </c>
      <c r="AU72" s="11" t="n">
        <v>-4329574934</v>
      </c>
      <c r="AV72" s="11" t="n">
        <v>-863097872</v>
      </c>
      <c r="AW72" s="11" t="n">
        <v>-1360990439</v>
      </c>
      <c r="AX72" s="11" t="n">
        <v>1351606720</v>
      </c>
      <c r="AY72" s="11" t="n">
        <v>-294910779</v>
      </c>
      <c r="AZ72" s="11" t="n">
        <v>19376793</v>
      </c>
      <c r="BA72" s="11" t="n">
        <v>70789110</v>
      </c>
      <c r="BB72" s="11" t="n">
        <v>417659031</v>
      </c>
      <c r="BC72" s="11" t="n">
        <v>161599521</v>
      </c>
      <c r="BD72" s="11" t="n">
        <v>2205931726</v>
      </c>
      <c r="BE72" s="11" t="n">
        <v>1033393424</v>
      </c>
      <c r="BF72" s="11" t="n">
        <v>4344071299</v>
      </c>
      <c r="BG72" s="11" t="n">
        <v>798409056</v>
      </c>
      <c r="BH72" s="11" t="n">
        <v>461604332</v>
      </c>
      <c r="BI72" s="11" t="n">
        <v>2838665781</v>
      </c>
      <c r="BJ72" s="11" t="n">
        <v>1156305322</v>
      </c>
      <c r="BK72" s="11" t="n">
        <v>420782026</v>
      </c>
      <c r="BL72" s="11" t="n">
        <v>374612336</v>
      </c>
      <c r="BM72" s="11" t="n">
        <v>1249656217</v>
      </c>
      <c r="BN72" s="11" t="n">
        <v>3662079</v>
      </c>
      <c r="BO72" s="11" t="n">
        <v>-363364536</v>
      </c>
      <c r="BP72" s="11" t="n">
        <v>81213638</v>
      </c>
      <c r="BQ72" s="11" t="n">
        <v>93083664</v>
      </c>
      <c r="BR72" s="11" t="n">
        <v>710326303</v>
      </c>
      <c r="BS72" s="11" t="n">
        <v>1441358240</v>
      </c>
      <c r="BT72" s="11" t="n">
        <v>-77235</v>
      </c>
      <c r="BU72" s="11" t="n">
        <v>141075</v>
      </c>
      <c r="BV72" s="11" t="n">
        <v>-13110</v>
      </c>
      <c r="BW72" s="11" t="n">
        <v>753255</v>
      </c>
      <c r="BX72" s="11" t="n">
        <v>5638839</v>
      </c>
      <c r="BY72" s="11" t="n">
        <v>-12285130</v>
      </c>
      <c r="BZ72" s="11" t="n">
        <v>3264000</v>
      </c>
      <c r="CA72" s="11" t="n">
        <v>-59759525</v>
      </c>
      <c r="CB72" s="11" t="n">
        <v>-529106776</v>
      </c>
      <c r="CC72" s="11" t="n">
        <v>-3876620</v>
      </c>
      <c r="CD72" s="11" t="n">
        <v>-10659165</v>
      </c>
      <c r="CE72" s="11" t="n">
        <v>69526358</v>
      </c>
      <c r="CF72" s="11" t="n">
        <v>21689350</v>
      </c>
      <c r="CG72" s="11" t="n">
        <v>148489424</v>
      </c>
      <c r="CH72" s="11" t="n">
        <v>797280823</v>
      </c>
      <c r="CI72" s="11" t="n">
        <v>415726059</v>
      </c>
      <c r="CJ72" s="11" t="n">
        <v>-58765518</v>
      </c>
      <c r="CK72" s="11" t="n">
        <v>-92470080</v>
      </c>
      <c r="CL72" s="11" t="n">
        <v>-737658771</v>
      </c>
      <c r="CM72" s="11" t="n">
        <v>-1522021068</v>
      </c>
      <c r="CN72" s="11" t="n">
        <v>-3388599886</v>
      </c>
      <c r="CO72" s="11" t="n">
        <v>-1391820624</v>
      </c>
      <c r="CP72" s="11" t="n">
        <v>-7444437299</v>
      </c>
      <c r="CQ72" s="11" t="n">
        <v>-12605326528</v>
      </c>
      <c r="CR72" s="11" t="n">
        <v>-556984672</v>
      </c>
      <c r="CS72" s="11" t="n">
        <v>-4960367936</v>
      </c>
      <c r="CT72" s="11" t="n">
        <v>-10624212216</v>
      </c>
      <c r="CU72" s="11" t="n">
        <v>-813759376</v>
      </c>
      <c r="CV72" s="11" t="n">
        <v>-2291809088</v>
      </c>
      <c r="CW72" s="11" t="n">
        <v>-4888220716</v>
      </c>
      <c r="CX72" s="11" t="n">
        <v>-14775705</v>
      </c>
      <c r="CY72" s="11" t="n">
        <v>3438510</v>
      </c>
      <c r="CZ72" s="11" t="n">
        <v>-69953340</v>
      </c>
      <c r="DA72" s="11" t="n">
        <v>-608031399</v>
      </c>
      <c r="DB72" s="11" t="n">
        <v>-3772620</v>
      </c>
      <c r="DC72" s="11" t="n">
        <v>-16329465</v>
      </c>
      <c r="DD72" s="11" t="n">
        <v>31853538</v>
      </c>
      <c r="DE72" s="11" t="n">
        <v>21660990</v>
      </c>
      <c r="DF72" s="11" t="n">
        <v>147833400</v>
      </c>
      <c r="DG72" s="11" t="n">
        <v>822775551</v>
      </c>
      <c r="DH72" s="11" t="n">
        <v>-77495420</v>
      </c>
      <c r="DI72" s="11" t="n">
        <v>305602855</v>
      </c>
      <c r="DJ72" s="11" t="n">
        <v>4508070886</v>
      </c>
      <c r="DK72" s="11" t="n">
        <v>295772350</v>
      </c>
      <c r="DL72" s="11" t="n">
        <v>2139904784</v>
      </c>
      <c r="DM72" s="11" t="n">
        <v>8766991759</v>
      </c>
      <c r="DN72" s="11" t="n">
        <v>163672880</v>
      </c>
      <c r="DO72" s="11" t="n">
        <v>983962192</v>
      </c>
      <c r="DP72" s="11" t="n">
        <v>5640943556</v>
      </c>
      <c r="DQ72" s="11" t="n">
        <v>764117016</v>
      </c>
      <c r="DR72" s="11" t="n">
        <v>-5311397</v>
      </c>
      <c r="DS72" s="11" t="n">
        <v>-1197</v>
      </c>
      <c r="DT72" s="11" t="n">
        <v>6176149</v>
      </c>
      <c r="DU72" s="11" t="n">
        <v>135611</v>
      </c>
      <c r="DV72" s="11" t="n">
        <v>378378</v>
      </c>
      <c r="DW72" s="11" t="n">
        <v>-2170</v>
      </c>
      <c r="DX72" s="11" t="n">
        <v>-1153089</v>
      </c>
      <c r="DY72" s="11" t="n">
        <v>3867855</v>
      </c>
      <c r="DZ72" s="11" t="n">
        <v>-241093886</v>
      </c>
      <c r="EA72" s="11" t="n">
        <v>3712326</v>
      </c>
      <c r="EB72" s="11" t="n">
        <v>-67719990</v>
      </c>
      <c r="EC72" s="11" t="n">
        <v>-255296565</v>
      </c>
      <c r="ED72" s="11" t="n">
        <v>-24120101</v>
      </c>
      <c r="EE72" s="11" t="n">
        <v>4443249</v>
      </c>
      <c r="EF72" s="11" t="n">
        <v>99591</v>
      </c>
      <c r="EG72" s="11" t="n">
        <v>260280</v>
      </c>
      <c r="EH72" s="11" t="n">
        <v>-59115</v>
      </c>
      <c r="EI72" s="11" t="n">
        <v>-845136</v>
      </c>
      <c r="EJ72" s="11" t="n">
        <v>-10472360</v>
      </c>
      <c r="EK72" s="11" t="n">
        <v>61570266</v>
      </c>
      <c r="EL72" s="11" t="n">
        <v>296960065</v>
      </c>
      <c r="EM72" s="11" t="n">
        <v>80387899</v>
      </c>
      <c r="EN72" s="11" t="n">
        <v>1993494</v>
      </c>
      <c r="EO72" s="11" t="n">
        <v>6516735</v>
      </c>
      <c r="EP72" s="11" t="n">
        <v>-190099</v>
      </c>
      <c r="EQ72" s="11" t="n">
        <v>18214710</v>
      </c>
      <c r="ER72" s="11" t="n">
        <v>16420104</v>
      </c>
      <c r="ES72" s="11" t="n">
        <v>55414295</v>
      </c>
      <c r="ET72" s="11" t="n">
        <v>19380</v>
      </c>
      <c r="EU72" s="11" t="n">
        <v>12050391</v>
      </c>
      <c r="EV72" s="11" t="n">
        <v>333630</v>
      </c>
      <c r="EW72" s="11" t="n">
        <v>1461590</v>
      </c>
      <c r="EX72" s="11" t="n">
        <v>1805599</v>
      </c>
      <c r="EY72" s="11" t="n">
        <v>-12440551</v>
      </c>
      <c r="EZ72" s="11" t="n">
        <v>25251</v>
      </c>
      <c r="FA72" s="11" t="n">
        <v>570</v>
      </c>
      <c r="FB72" s="11" t="n">
        <v>1710</v>
      </c>
      <c r="FC72" s="11" t="n">
        <v>399</v>
      </c>
      <c r="FD72" s="11" t="n">
        <v>-7011</v>
      </c>
      <c r="FE72" s="11" t="n">
        <v>-80277</v>
      </c>
      <c r="FF72" s="11" t="n">
        <v>-841096</v>
      </c>
      <c r="FG72" s="11" t="n">
        <v>-2104493</v>
      </c>
      <c r="FH72" s="11" t="n">
        <v>11849900</v>
      </c>
      <c r="FI72" s="11" t="n">
        <v>-13550</v>
      </c>
      <c r="FJ72" s="11" t="n">
        <v>-46237</v>
      </c>
      <c r="FK72" s="11" t="n">
        <v>245203</v>
      </c>
      <c r="FL72" s="11" t="n">
        <v>-129226</v>
      </c>
      <c r="FM72" s="11" t="n">
        <v>568944</v>
      </c>
      <c r="FN72" s="11" t="n">
        <v>-397073</v>
      </c>
      <c r="FO72" s="11" t="n">
        <v>-9655005</v>
      </c>
      <c r="FP72" s="11" t="n">
        <v>-229410</v>
      </c>
      <c r="FQ72" s="11" t="n">
        <v>-1311450</v>
      </c>
      <c r="FR72" s="11" t="n">
        <v>-2246385</v>
      </c>
      <c r="FS72" s="11" t="n">
        <v>8971425</v>
      </c>
      <c r="FT72" s="11" t="n">
        <v>23566518</v>
      </c>
      <c r="FU72" s="11" t="n">
        <v>-87297550</v>
      </c>
      <c r="FV72" s="11" t="n">
        <v>-497252333</v>
      </c>
      <c r="FW72" s="11" t="n">
        <v>-619422241</v>
      </c>
      <c r="FX72" s="11" t="n">
        <v>-5275320</v>
      </c>
      <c r="FY72" s="11" t="n">
        <v>-17298192</v>
      </c>
      <c r="FZ72" s="11" t="n">
        <v>7180068</v>
      </c>
      <c r="GA72" s="11" t="n">
        <v>-47231220</v>
      </c>
      <c r="GB72" s="11" t="n">
        <v>-165253640</v>
      </c>
      <c r="GC72" s="11" t="n">
        <v>-606164662</v>
      </c>
      <c r="GD72" s="11" t="n">
        <v>-14937</v>
      </c>
      <c r="GE72" s="11" t="n">
        <v>-856830</v>
      </c>
      <c r="GF72" s="11" t="n">
        <v>-2728128</v>
      </c>
      <c r="GG72" s="11" t="n">
        <v>8196399</v>
      </c>
      <c r="GH72" s="11" t="n">
        <v>-18330</v>
      </c>
      <c r="GI72" s="11" t="n">
        <v>-61347</v>
      </c>
      <c r="GJ72" s="11" t="n">
        <v>180873</v>
      </c>
      <c r="GK72" s="11" t="n">
        <v>-171210</v>
      </c>
      <c r="GL72" s="11" t="n">
        <v>317160</v>
      </c>
      <c r="GM72" s="11" t="n">
        <v>-627957</v>
      </c>
      <c r="GN72" s="11" t="n">
        <v>2226458</v>
      </c>
      <c r="GO72" s="11" t="n">
        <v>7428265</v>
      </c>
      <c r="GP72" s="11" t="n">
        <v>-19047973</v>
      </c>
      <c r="GQ72" s="11" t="n">
        <v>19461598</v>
      </c>
      <c r="GR72" s="11" t="n">
        <v>129079696</v>
      </c>
      <c r="GS72" s="11" t="n">
        <v>597155743</v>
      </c>
      <c r="GT72" s="11" t="n">
        <v>-28548</v>
      </c>
      <c r="GU72" s="11" t="n">
        <v>3585512</v>
      </c>
      <c r="GV72" s="11" t="n">
        <v>11718322</v>
      </c>
      <c r="GW72" s="11" t="n">
        <v>32996248</v>
      </c>
      <c r="GX72" s="11" t="n">
        <v>653049</v>
      </c>
      <c r="GY72" s="11" t="n">
        <v>110952144</v>
      </c>
      <c r="GZ72" s="11" t="n">
        <v>13273178</v>
      </c>
      <c r="HA72" s="11" t="n">
        <v>28786784</v>
      </c>
      <c r="HB72" s="11" t="n">
        <v>102100433</v>
      </c>
      <c r="HC72" s="11" t="n">
        <v>4623880</v>
      </c>
      <c r="HD72" s="11" t="n">
        <v>784377</v>
      </c>
      <c r="HE72" s="11" t="n">
        <v>19665</v>
      </c>
      <c r="HF72" s="11" t="n">
        <v>53010</v>
      </c>
      <c r="HG72" s="11" t="n">
        <v>22743</v>
      </c>
      <c r="HH72" s="11" t="n">
        <v>-140733</v>
      </c>
      <c r="HI72" s="11" t="n">
        <v>-12601354</v>
      </c>
      <c r="HJ72" s="11" t="n">
        <v>-25569472</v>
      </c>
      <c r="HK72" s="11" t="n">
        <v>-118768801</v>
      </c>
      <c r="HL72" s="11" t="n">
        <v>-29464088</v>
      </c>
      <c r="HM72" s="11" t="n">
        <v>210580</v>
      </c>
      <c r="HN72" s="11" t="n">
        <v>-2612259</v>
      </c>
      <c r="HO72" s="11" t="n">
        <v>-2999626</v>
      </c>
      <c r="HP72" s="11" t="n">
        <v>-7285282</v>
      </c>
      <c r="HQ72" s="11" t="n">
        <v>-6578928</v>
      </c>
      <c r="HR72" s="11" t="n">
        <v>-22163821</v>
      </c>
      <c r="HS72" s="11" t="n">
        <v>-110440422</v>
      </c>
      <c r="HT72" s="11" t="n">
        <v>-9209328</v>
      </c>
      <c r="HU72" s="11" t="n">
        <v>-29289390</v>
      </c>
      <c r="HV72" s="11" t="n">
        <v>-105740700</v>
      </c>
      <c r="HW72" s="11" t="n">
        <v>-6332817</v>
      </c>
      <c r="HX72" s="11" t="n">
        <v>680041916</v>
      </c>
      <c r="HY72" s="11" t="n">
        <v>-107949088</v>
      </c>
      <c r="HZ72" s="11" t="n">
        <v>-698481226</v>
      </c>
      <c r="IA72" s="11" t="n">
        <v>-293969312</v>
      </c>
      <c r="IB72" s="11" t="n">
        <v>-189352332</v>
      </c>
      <c r="IC72" s="11" t="n">
        <v>-709347624</v>
      </c>
      <c r="ID72" s="11" t="n">
        <v>-63507914</v>
      </c>
      <c r="IE72" s="11" t="n">
        <v>-81885570</v>
      </c>
      <c r="IF72" s="11" t="n">
        <v>-71772272</v>
      </c>
      <c r="IG72" s="11" t="n">
        <v>-241407689</v>
      </c>
      <c r="IH72" s="11" t="n">
        <v>-7735674</v>
      </c>
      <c r="II72" s="11" t="n">
        <v>-26214690</v>
      </c>
      <c r="IJ72" s="11" t="n">
        <v>-123158946</v>
      </c>
      <c r="IK72" s="11" t="n">
        <v>-31406415</v>
      </c>
      <c r="IL72" s="11" t="n">
        <v>-134430</v>
      </c>
      <c r="IM72" s="11" t="n">
        <v>-2863404</v>
      </c>
      <c r="IN72" s="11" t="n">
        <v>-2175321</v>
      </c>
      <c r="IO72" s="11" t="n">
        <v>-7563270</v>
      </c>
      <c r="IP72" s="11" t="n">
        <v>-6825960</v>
      </c>
      <c r="IQ72" s="11" t="n">
        <v>-23007819</v>
      </c>
      <c r="IR72" s="11" t="n">
        <v>168979316</v>
      </c>
      <c r="IS72" s="11" t="n">
        <v>807281130</v>
      </c>
      <c r="IT72" s="11" t="n">
        <v>213977174</v>
      </c>
      <c r="IU72" s="11" t="n">
        <v>45414286</v>
      </c>
      <c r="IV72" s="11" t="n">
        <v>39080080</v>
      </c>
      <c r="IW72" s="11" t="n">
        <v>129193271</v>
      </c>
      <c r="IX72" s="11" t="n">
        <v>-48519786</v>
      </c>
      <c r="IY72" s="11" t="n">
        <v>-43799584</v>
      </c>
      <c r="IZ72" s="11" t="n">
        <v>-147807741</v>
      </c>
      <c r="JA72" s="11" t="n">
        <v>-550184</v>
      </c>
      <c r="JB72" s="11" t="n">
        <v>1076787</v>
      </c>
      <c r="JC72" s="11" t="n">
        <v>-7410</v>
      </c>
      <c r="JD72" s="11" t="n">
        <v>74670</v>
      </c>
      <c r="JE72" s="11" t="n">
        <v>-150537</v>
      </c>
      <c r="JF72" s="11" t="n">
        <v>-1546467</v>
      </c>
      <c r="JG72" s="11" t="n">
        <v>-23144574</v>
      </c>
      <c r="JH72" s="11" t="n">
        <v>-34779072</v>
      </c>
      <c r="JI72" s="11" t="n">
        <v>-193925451</v>
      </c>
      <c r="JJ72" s="11" t="n">
        <v>-270366792</v>
      </c>
      <c r="JK72" s="11" t="n">
        <v>1844300</v>
      </c>
      <c r="JL72" s="11" t="n">
        <v>-1901144</v>
      </c>
      <c r="JM72" s="11" t="n">
        <v>-31379374</v>
      </c>
      <c r="JN72" s="11" t="n">
        <v>-18309982</v>
      </c>
      <c r="JO72" s="11" t="n">
        <v>-68697872</v>
      </c>
      <c r="JP72" s="11" t="n">
        <v>-240715299</v>
      </c>
      <c r="JQ72" s="11" t="n">
        <v>-41325</v>
      </c>
      <c r="JR72" s="11" t="n">
        <v>2280</v>
      </c>
      <c r="JS72" s="11" t="n">
        <v>-218310</v>
      </c>
      <c r="JT72" s="11" t="n">
        <v>-1625412</v>
      </c>
      <c r="JU72" s="11" t="n">
        <v>2850</v>
      </c>
      <c r="JV72" s="11" t="n">
        <v>-4275</v>
      </c>
      <c r="JW72" s="11" t="n">
        <v>-48165</v>
      </c>
      <c r="JX72" s="11" t="n">
        <v>-14820</v>
      </c>
      <c r="JY72" s="11" t="n">
        <v>-109440</v>
      </c>
      <c r="JZ72" s="11" t="n">
        <v>-86298</v>
      </c>
      <c r="KA72" s="11" t="n">
        <v>-1383760</v>
      </c>
      <c r="KB72" s="11" t="n">
        <v>-2750105</v>
      </c>
      <c r="KC72" s="11" t="n">
        <v>24560624</v>
      </c>
      <c r="KD72" s="11" t="n">
        <v>7461800</v>
      </c>
      <c r="KE72" s="11" t="n">
        <v>53071552</v>
      </c>
      <c r="KF72" s="11" t="n">
        <v>237916116</v>
      </c>
      <c r="KG72" s="11" t="n">
        <v>332810</v>
      </c>
      <c r="KH72" s="11" t="n">
        <v>-81040</v>
      </c>
      <c r="KI72" s="11" t="n">
        <v>5746049</v>
      </c>
      <c r="KJ72" s="11" t="n">
        <v>13201312</v>
      </c>
      <c r="KK72" s="11" t="n">
        <v>16438044</v>
      </c>
      <c r="KL72" s="11" t="n">
        <v>35666310</v>
      </c>
      <c r="KM72" s="11" t="n">
        <v>199809786</v>
      </c>
      <c r="KN72" s="11" t="n">
        <v>271972797</v>
      </c>
      <c r="KO72" s="11" t="n">
        <v>-1385340</v>
      </c>
      <c r="KP72" s="11" t="n">
        <v>923064</v>
      </c>
      <c r="KQ72" s="11" t="n">
        <v>21736494</v>
      </c>
      <c r="KR72" s="11" t="n">
        <v>18842070</v>
      </c>
      <c r="KS72" s="11" t="n">
        <v>70083480</v>
      </c>
      <c r="KT72" s="11" t="n">
        <v>248941779</v>
      </c>
      <c r="KU72" s="11" t="n">
        <v>-235684156</v>
      </c>
      <c r="KV72" s="11" t="n">
        <v>-1334300360</v>
      </c>
      <c r="KW72" s="11" t="n">
        <v>-1718439490</v>
      </c>
      <c r="KX72" s="11" t="n">
        <v>-30269386</v>
      </c>
      <c r="KY72" s="11" t="n">
        <v>170901328</v>
      </c>
      <c r="KZ72" s="11" t="n">
        <v>1188241995</v>
      </c>
      <c r="LA72" s="11" t="n">
        <v>125684736</v>
      </c>
      <c r="LB72" s="11" t="n">
        <v>456475856</v>
      </c>
      <c r="LC72" s="11" t="n">
        <v>1667885920</v>
      </c>
      <c r="LD72" s="11" t="n">
        <v>149763704</v>
      </c>
      <c r="LE72" s="11" t="n">
        <v>-1403610</v>
      </c>
      <c r="LF72" s="11" t="n">
        <v>-4335630</v>
      </c>
      <c r="LG72" s="11" t="n">
        <v>14375469</v>
      </c>
      <c r="LH72" s="11" t="n">
        <v>7654140</v>
      </c>
      <c r="LI72" s="11" t="n">
        <v>54414240</v>
      </c>
      <c r="LJ72" s="11" t="n">
        <v>246472926</v>
      </c>
      <c r="LK72" s="11" t="n">
        <v>444210</v>
      </c>
      <c r="LL72" s="11" t="n">
        <v>644520</v>
      </c>
      <c r="LM72" s="11" t="n">
        <v>6540369</v>
      </c>
      <c r="LN72" s="11" t="n">
        <v>13706160</v>
      </c>
      <c r="LO72" s="11" t="n">
        <v>-51770030</v>
      </c>
      <c r="LP72" s="11" t="n">
        <v>-352845456</v>
      </c>
      <c r="LQ72" s="11" t="n">
        <v>-1620126535</v>
      </c>
      <c r="LR72" s="11" t="n">
        <v>-82856576</v>
      </c>
      <c r="LS72" s="11" t="n">
        <v>87895256</v>
      </c>
    </row>
    <row r="73" customFormat="false" ht="15" hidden="false" customHeight="true" outlineLevel="0" collapsed="false">
      <c r="A73" s="7" t="s">
        <v>139</v>
      </c>
      <c r="B73" s="11" t="n">
        <v>-459341</v>
      </c>
      <c r="C73" s="11" t="n">
        <v>40017302</v>
      </c>
      <c r="D73" s="11" t="n">
        <v>-40491</v>
      </c>
      <c r="E73" s="11" t="n">
        <v>-36424644</v>
      </c>
      <c r="F73" s="11" t="n">
        <v>-3883515</v>
      </c>
      <c r="G73" s="11" t="n">
        <v>-13357020</v>
      </c>
      <c r="H73" s="11" t="n">
        <v>29100730</v>
      </c>
      <c r="I73" s="11" t="n">
        <v>10071713</v>
      </c>
      <c r="J73" s="11" t="n">
        <v>-4327380</v>
      </c>
      <c r="K73" s="11" t="n">
        <v>-3368</v>
      </c>
      <c r="L73" s="11" t="n">
        <v>-646310</v>
      </c>
      <c r="M73" s="11" t="n">
        <v>173444</v>
      </c>
      <c r="N73" s="11" t="n">
        <v>-1559712</v>
      </c>
      <c r="O73" s="11" t="n">
        <v>-412879</v>
      </c>
      <c r="P73" s="11" t="n">
        <v>656167</v>
      </c>
      <c r="Q73" s="11" t="n">
        <v>674876</v>
      </c>
      <c r="R73" s="11" t="n">
        <v>399456740</v>
      </c>
      <c r="S73" s="11" t="n">
        <v>21475732</v>
      </c>
      <c r="T73" s="11" t="n">
        <v>261714864</v>
      </c>
      <c r="U73" s="11" t="n">
        <v>-238183862</v>
      </c>
      <c r="V73" s="11" t="n">
        <v>-152048614</v>
      </c>
      <c r="W73" s="11" t="n">
        <v>210102</v>
      </c>
      <c r="X73" s="11" t="n">
        <v>43764</v>
      </c>
      <c r="Y73" s="11" t="n">
        <v>-39552</v>
      </c>
      <c r="Z73" s="11" t="n">
        <v>-249769</v>
      </c>
      <c r="AA73" s="11" t="n">
        <v>-16007</v>
      </c>
      <c r="AB73" s="11" t="n">
        <v>19217946</v>
      </c>
      <c r="AC73" s="11" t="n">
        <v>-104887608</v>
      </c>
      <c r="AD73" s="11" t="n">
        <v>-73686136</v>
      </c>
      <c r="AE73" s="11" t="n">
        <v>37861198</v>
      </c>
      <c r="AF73" s="11" t="n">
        <v>-18230160</v>
      </c>
      <c r="AG73" s="11" t="n">
        <v>7497535</v>
      </c>
      <c r="AH73" s="11" t="n">
        <v>9350597</v>
      </c>
      <c r="AI73" s="11" t="n">
        <v>-110818740</v>
      </c>
      <c r="AJ73" s="11" t="n">
        <v>-15118476</v>
      </c>
      <c r="AK73" s="11" t="n">
        <v>-50623257</v>
      </c>
      <c r="AL73" s="11" t="n">
        <v>-14847826</v>
      </c>
      <c r="AM73" s="11" t="n">
        <v>-142777</v>
      </c>
      <c r="AN73" s="11" t="n">
        <v>10344639</v>
      </c>
      <c r="AO73" s="11" t="n">
        <v>265623</v>
      </c>
      <c r="AP73" s="11" t="n">
        <v>2286148</v>
      </c>
      <c r="AQ73" s="11" t="n">
        <v>-11398996</v>
      </c>
      <c r="AR73" s="11" t="n">
        <v>-4035676</v>
      </c>
      <c r="AS73" s="11" t="n">
        <v>13747420</v>
      </c>
      <c r="AT73" s="11" t="n">
        <v>276183126</v>
      </c>
      <c r="AU73" s="11" t="n">
        <v>102390684</v>
      </c>
      <c r="AV73" s="11" t="n">
        <v>232588064</v>
      </c>
      <c r="AW73" s="11" t="n">
        <v>52410932</v>
      </c>
      <c r="AX73" s="11" t="n">
        <v>26023854</v>
      </c>
      <c r="AY73" s="11" t="n">
        <v>12233757</v>
      </c>
      <c r="AZ73" s="11" t="n">
        <v>1230528</v>
      </c>
      <c r="BA73" s="11" t="n">
        <v>4353288</v>
      </c>
      <c r="BB73" s="11" t="n">
        <v>-10050206</v>
      </c>
      <c r="BC73" s="11" t="n">
        <v>-3486337</v>
      </c>
      <c r="BD73" s="11" t="n">
        <v>-66395853</v>
      </c>
      <c r="BE73" s="11" t="n">
        <v>-119522148</v>
      </c>
      <c r="BF73" s="11" t="n">
        <v>-248546994</v>
      </c>
      <c r="BG73" s="11" t="n">
        <v>-93198357</v>
      </c>
      <c r="BH73" s="11" t="n">
        <v>11604360</v>
      </c>
      <c r="BI73" s="11" t="n">
        <v>-79545150</v>
      </c>
      <c r="BJ73" s="11" t="n">
        <v>-28295601</v>
      </c>
      <c r="BK73" s="11" t="n">
        <v>-186632680</v>
      </c>
      <c r="BL73" s="11" t="n">
        <v>-67224956</v>
      </c>
      <c r="BM73" s="11" t="n">
        <v>5733652</v>
      </c>
      <c r="BN73" s="11" t="n">
        <v>-1236212</v>
      </c>
      <c r="BO73" s="11" t="n">
        <v>118346680</v>
      </c>
      <c r="BP73" s="11" t="n">
        <v>-3104044</v>
      </c>
      <c r="BQ73" s="11" t="n">
        <v>71953872</v>
      </c>
      <c r="BR73" s="11" t="n">
        <v>-94042186</v>
      </c>
      <c r="BS73" s="11" t="n">
        <v>-59229542</v>
      </c>
      <c r="BT73" s="11" t="n">
        <v>276742</v>
      </c>
      <c r="BU73" s="11" t="n">
        <v>-51964</v>
      </c>
      <c r="BV73" s="11" t="n">
        <v>501568</v>
      </c>
      <c r="BW73" s="11" t="n">
        <v>44755</v>
      </c>
      <c r="BX73" s="11" t="n">
        <v>-233547</v>
      </c>
      <c r="BY73" s="11" t="n">
        <v>4279806</v>
      </c>
      <c r="BZ73" s="11" t="n">
        <v>-31908968</v>
      </c>
      <c r="CA73" s="11" t="n">
        <v>-25337101</v>
      </c>
      <c r="CB73" s="11" t="n">
        <v>9098933</v>
      </c>
      <c r="CC73" s="11" t="n">
        <v>-1765168</v>
      </c>
      <c r="CD73" s="11" t="n">
        <v>4065427</v>
      </c>
      <c r="CE73" s="11" t="n">
        <v>1903285</v>
      </c>
      <c r="CF73" s="11" t="n">
        <v>-40760684</v>
      </c>
      <c r="CG73" s="11" t="n">
        <v>-10437556</v>
      </c>
      <c r="CH73" s="11" t="n">
        <v>-19910896</v>
      </c>
      <c r="CI73" s="11" t="n">
        <v>-132570412</v>
      </c>
      <c r="CJ73" s="11" t="n">
        <v>-5650928</v>
      </c>
      <c r="CK73" s="11" t="n">
        <v>-85986208</v>
      </c>
      <c r="CL73" s="11" t="n">
        <v>82708836</v>
      </c>
      <c r="CM73" s="11" t="n">
        <v>52673192</v>
      </c>
      <c r="CN73" s="11" t="n">
        <v>873857364</v>
      </c>
      <c r="CO73" s="11" t="n">
        <v>515468048</v>
      </c>
      <c r="CP73" s="11" t="n">
        <v>2167019246</v>
      </c>
      <c r="CQ73" s="11" t="n">
        <v>1309150362</v>
      </c>
      <c r="CR73" s="11" t="n">
        <v>-544818464</v>
      </c>
      <c r="CS73" s="11" t="n">
        <v>637558516</v>
      </c>
      <c r="CT73" s="11" t="n">
        <v>403006752</v>
      </c>
      <c r="CU73" s="11" t="n">
        <v>1727139008</v>
      </c>
      <c r="CV73" s="11" t="n">
        <v>1053932176</v>
      </c>
      <c r="CW73" s="11" t="n">
        <v>44244550</v>
      </c>
      <c r="CX73" s="11" t="n">
        <v>6837612</v>
      </c>
      <c r="CY73" s="11" t="n">
        <v>-34538640</v>
      </c>
      <c r="CZ73" s="11" t="n">
        <v>-23314931</v>
      </c>
      <c r="DA73" s="11" t="n">
        <v>13253825</v>
      </c>
      <c r="DB73" s="11" t="n">
        <v>-5907168</v>
      </c>
      <c r="DC73" s="11" t="n">
        <v>3272072</v>
      </c>
      <c r="DD73" s="11" t="n">
        <v>3281692</v>
      </c>
      <c r="DE73" s="11" t="n">
        <v>-36670424</v>
      </c>
      <c r="DF73" s="11" t="n">
        <v>-5126440</v>
      </c>
      <c r="DG73" s="11" t="n">
        <v>-17532421</v>
      </c>
      <c r="DH73" s="11" t="n">
        <v>254252928</v>
      </c>
      <c r="DI73" s="11" t="n">
        <v>265452603</v>
      </c>
      <c r="DJ73" s="11" t="n">
        <v>-19842213</v>
      </c>
      <c r="DK73" s="11" t="n">
        <v>-473920196</v>
      </c>
      <c r="DL73" s="11" t="n">
        <v>-392607940</v>
      </c>
      <c r="DM73" s="11" t="n">
        <v>-446887381</v>
      </c>
      <c r="DN73" s="11" t="n">
        <v>-351000760</v>
      </c>
      <c r="DO73" s="11" t="n">
        <v>-104885816</v>
      </c>
      <c r="DP73" s="11" t="n">
        <v>-136898501</v>
      </c>
      <c r="DQ73" s="11" t="n">
        <v>-346498188</v>
      </c>
      <c r="DR73" s="11" t="n">
        <v>290977</v>
      </c>
      <c r="DS73" s="11" t="n">
        <v>2836</v>
      </c>
      <c r="DT73" s="11" t="n">
        <v>-307906</v>
      </c>
      <c r="DU73" s="11" t="n">
        <v>-4208</v>
      </c>
      <c r="DV73" s="11" t="n">
        <v>-220702</v>
      </c>
      <c r="DW73" s="11" t="n">
        <v>21977</v>
      </c>
      <c r="DX73" s="11" t="n">
        <v>-29352</v>
      </c>
      <c r="DY73" s="11" t="n">
        <v>-272719</v>
      </c>
      <c r="DZ73" s="11" t="n">
        <v>3750664</v>
      </c>
      <c r="EA73" s="11" t="n">
        <v>-2093479</v>
      </c>
      <c r="EB73" s="11" t="n">
        <v>10766104</v>
      </c>
      <c r="EC73" s="11" t="n">
        <v>16519716</v>
      </c>
      <c r="ED73" s="11" t="n">
        <v>8937205</v>
      </c>
      <c r="EE73" s="11" t="n">
        <v>-252030</v>
      </c>
      <c r="EF73" s="11" t="n">
        <v>-24348</v>
      </c>
      <c r="EG73" s="11" t="n">
        <v>-101922</v>
      </c>
      <c r="EH73" s="11" t="n">
        <v>181607</v>
      </c>
      <c r="EI73" s="11" t="n">
        <v>59596</v>
      </c>
      <c r="EJ73" s="11" t="n">
        <v>2269518</v>
      </c>
      <c r="EK73" s="11" t="n">
        <v>-8547648</v>
      </c>
      <c r="EL73" s="11" t="n">
        <v>-17764112</v>
      </c>
      <c r="EM73" s="11" t="n">
        <v>-9078826</v>
      </c>
      <c r="EN73" s="11" t="n">
        <v>-1743570</v>
      </c>
      <c r="EO73" s="11" t="n">
        <v>-80785</v>
      </c>
      <c r="EP73" s="11" t="n">
        <v>-340424</v>
      </c>
      <c r="EQ73" s="11" t="n">
        <v>-13343120</v>
      </c>
      <c r="ER73" s="11" t="n">
        <v>-5692726</v>
      </c>
      <c r="ES73" s="11" t="n">
        <v>2341421</v>
      </c>
      <c r="ET73" s="11" t="n">
        <v>24584</v>
      </c>
      <c r="EU73" s="11" t="n">
        <v>-3310150</v>
      </c>
      <c r="EV73" s="11" t="n">
        <v>70228</v>
      </c>
      <c r="EW73" s="11" t="n">
        <v>-3067224</v>
      </c>
      <c r="EX73" s="11" t="n">
        <v>-54503</v>
      </c>
      <c r="EY73" s="11" t="n">
        <v>139139</v>
      </c>
      <c r="EZ73" s="11" t="n">
        <v>-6248</v>
      </c>
      <c r="FA73" s="11" t="n">
        <v>1040</v>
      </c>
      <c r="FB73" s="11" t="n">
        <v>-11248</v>
      </c>
      <c r="FC73" s="11" t="n">
        <v>-2388</v>
      </c>
      <c r="FD73" s="11" t="n">
        <v>3836</v>
      </c>
      <c r="FE73" s="11" t="n">
        <v>-122184</v>
      </c>
      <c r="FF73" s="11" t="n">
        <v>734972</v>
      </c>
      <c r="FG73" s="11" t="n">
        <v>307684</v>
      </c>
      <c r="FH73" s="11" t="n">
        <v>-481142</v>
      </c>
      <c r="FI73" s="11" t="n">
        <v>97624</v>
      </c>
      <c r="FJ73" s="11" t="n">
        <v>-4516</v>
      </c>
      <c r="FK73" s="11" t="n">
        <v>5072</v>
      </c>
      <c r="FL73" s="11" t="n">
        <v>273002</v>
      </c>
      <c r="FM73" s="11" t="n">
        <v>-414938</v>
      </c>
      <c r="FN73" s="11" t="n">
        <v>5011</v>
      </c>
      <c r="FO73" s="11" t="n">
        <v>2785562</v>
      </c>
      <c r="FP73" s="11" t="n">
        <v>111052</v>
      </c>
      <c r="FQ73" s="11" t="n">
        <v>1965160</v>
      </c>
      <c r="FR73" s="11" t="n">
        <v>-1344631</v>
      </c>
      <c r="FS73" s="11" t="n">
        <v>-885493</v>
      </c>
      <c r="FT73" s="11" t="n">
        <v>-22910154</v>
      </c>
      <c r="FU73" s="11" t="n">
        <v>82938832</v>
      </c>
      <c r="FV73" s="11" t="n">
        <v>187225504</v>
      </c>
      <c r="FW73" s="11" t="n">
        <v>103462998</v>
      </c>
      <c r="FX73" s="11" t="n">
        <v>19469192</v>
      </c>
      <c r="FY73" s="11" t="n">
        <v>-3594943</v>
      </c>
      <c r="FZ73" s="11" t="n">
        <v>-3158073</v>
      </c>
      <c r="GA73" s="11" t="n">
        <v>172119736</v>
      </c>
      <c r="GB73" s="11" t="n">
        <v>99356288</v>
      </c>
      <c r="GC73" s="11" t="n">
        <v>9573407</v>
      </c>
      <c r="GD73" s="11" t="n">
        <v>-146064</v>
      </c>
      <c r="GE73" s="11" t="n">
        <v>775044</v>
      </c>
      <c r="GF73" s="11" t="n">
        <v>612316</v>
      </c>
      <c r="GG73" s="11" t="n">
        <v>-209602</v>
      </c>
      <c r="GH73" s="11" t="n">
        <v>133944</v>
      </c>
      <c r="GI73" s="11" t="n">
        <v>-46096</v>
      </c>
      <c r="GJ73" s="11" t="n">
        <v>-54788</v>
      </c>
      <c r="GK73" s="11" t="n">
        <v>806102</v>
      </c>
      <c r="GL73" s="11" t="n">
        <v>98506</v>
      </c>
      <c r="GM73" s="11" t="n">
        <v>295825</v>
      </c>
      <c r="GN73" s="11" t="n">
        <v>-2025444</v>
      </c>
      <c r="GO73" s="11" t="n">
        <v>4781316</v>
      </c>
      <c r="GP73" s="11" t="n">
        <v>7149090</v>
      </c>
      <c r="GQ73" s="11" t="n">
        <v>-33861472</v>
      </c>
      <c r="GR73" s="11" t="n">
        <v>-35027948</v>
      </c>
      <c r="GS73" s="11" t="n">
        <v>-36830948</v>
      </c>
      <c r="GT73" s="11" t="n">
        <v>-3745370</v>
      </c>
      <c r="GU73" s="11" t="n">
        <v>-5796142</v>
      </c>
      <c r="GV73" s="11" t="n">
        <v>462713</v>
      </c>
      <c r="GW73" s="11" t="n">
        <v>-32127906</v>
      </c>
      <c r="GX73" s="11" t="n">
        <v>1227</v>
      </c>
      <c r="GY73" s="11" t="n">
        <v>-3399833</v>
      </c>
      <c r="GZ73" s="11" t="n">
        <v>32243</v>
      </c>
      <c r="HA73" s="11" t="n">
        <v>-5685816</v>
      </c>
      <c r="HB73" s="11" t="n">
        <v>-6510490</v>
      </c>
      <c r="HC73" s="11" t="n">
        <v>-3505244</v>
      </c>
      <c r="HD73" s="11" t="n">
        <v>-31838</v>
      </c>
      <c r="HE73" s="11" t="n">
        <v>332</v>
      </c>
      <c r="HF73" s="11" t="n">
        <v>-54486</v>
      </c>
      <c r="HG73" s="11" t="n">
        <v>-63547</v>
      </c>
      <c r="HH73" s="11" t="n">
        <v>-34040</v>
      </c>
      <c r="HI73" s="11" t="n">
        <v>-83286</v>
      </c>
      <c r="HJ73" s="11" t="n">
        <v>3437890</v>
      </c>
      <c r="HK73" s="11" t="n">
        <v>7146053</v>
      </c>
      <c r="HL73" s="11" t="n">
        <v>3366224</v>
      </c>
      <c r="HM73" s="11" t="n">
        <v>106682</v>
      </c>
      <c r="HN73" s="11" t="n">
        <v>91717</v>
      </c>
      <c r="HO73" s="11" t="n">
        <v>53944</v>
      </c>
      <c r="HP73" s="11" t="n">
        <v>5367556</v>
      </c>
      <c r="HQ73" s="11" t="n">
        <v>2085128</v>
      </c>
      <c r="HR73" s="11" t="n">
        <v>-921484</v>
      </c>
      <c r="HS73" s="11" t="n">
        <v>3170687</v>
      </c>
      <c r="HT73" s="11" t="n">
        <v>-21392</v>
      </c>
      <c r="HU73" s="11" t="n">
        <v>5283648</v>
      </c>
      <c r="HV73" s="11" t="n">
        <v>6032314</v>
      </c>
      <c r="HW73" s="11" t="n">
        <v>3247613</v>
      </c>
      <c r="HX73" s="11" t="n">
        <v>-24045015</v>
      </c>
      <c r="HY73" s="11" t="n">
        <v>52503704</v>
      </c>
      <c r="HZ73" s="11" t="n">
        <v>109100084</v>
      </c>
      <c r="IA73" s="11" t="n">
        <v>59241837</v>
      </c>
      <c r="IB73" s="11" t="n">
        <v>39714496</v>
      </c>
      <c r="IC73" s="11" t="n">
        <v>45010186</v>
      </c>
      <c r="ID73" s="11" t="n">
        <v>24228693</v>
      </c>
      <c r="IE73" s="11" t="n">
        <v>81915248</v>
      </c>
      <c r="IF73" s="11" t="n">
        <v>44943352</v>
      </c>
      <c r="IG73" s="11" t="n">
        <v>962098</v>
      </c>
      <c r="IH73" s="11" t="n">
        <v>-302844</v>
      </c>
      <c r="II73" s="11" t="n">
        <v>3697854</v>
      </c>
      <c r="IJ73" s="11" t="n">
        <v>7686091</v>
      </c>
      <c r="IK73" s="11" t="n">
        <v>3694118</v>
      </c>
      <c r="IL73" s="11" t="n">
        <v>479712</v>
      </c>
      <c r="IM73" s="11" t="n">
        <v>524312</v>
      </c>
      <c r="IN73" s="11" t="n">
        <v>285268</v>
      </c>
      <c r="IO73" s="11" t="n">
        <v>5772876</v>
      </c>
      <c r="IP73" s="11" t="n">
        <v>2368326</v>
      </c>
      <c r="IQ73" s="11" t="n">
        <v>-844413</v>
      </c>
      <c r="IR73" s="11" t="n">
        <v>-23027982</v>
      </c>
      <c r="IS73" s="11" t="n">
        <v>-47867187</v>
      </c>
      <c r="IT73" s="11" t="n">
        <v>-22356066</v>
      </c>
      <c r="IU73" s="11" t="n">
        <v>35344</v>
      </c>
      <c r="IV73" s="11" t="n">
        <v>-7920298</v>
      </c>
      <c r="IW73" s="11" t="n">
        <v>-16497865</v>
      </c>
      <c r="IX73" s="11" t="n">
        <v>35954540</v>
      </c>
      <c r="IY73" s="11" t="n">
        <v>13721014</v>
      </c>
      <c r="IZ73" s="11" t="n">
        <v>-6384221</v>
      </c>
      <c r="JA73" s="11" t="n">
        <v>-12387348</v>
      </c>
      <c r="JB73" s="11" t="n">
        <v>-273286</v>
      </c>
      <c r="JC73" s="11" t="n">
        <v>2428</v>
      </c>
      <c r="JD73" s="11" t="n">
        <v>-467448</v>
      </c>
      <c r="JE73" s="11" t="n">
        <v>-549827</v>
      </c>
      <c r="JF73" s="11" t="n">
        <v>-296737</v>
      </c>
      <c r="JG73" s="11" t="n">
        <v>453762</v>
      </c>
      <c r="JH73" s="11" t="n">
        <v>28843704</v>
      </c>
      <c r="JI73" s="11" t="n">
        <v>73426413</v>
      </c>
      <c r="JJ73" s="11" t="n">
        <v>41501331</v>
      </c>
      <c r="JK73" s="11" t="n">
        <v>-1032408</v>
      </c>
      <c r="JL73" s="11" t="n">
        <v>-1565283</v>
      </c>
      <c r="JM73" s="11" t="n">
        <v>-861417</v>
      </c>
      <c r="JN73" s="11" t="n">
        <v>67562856</v>
      </c>
      <c r="JO73" s="11" t="n">
        <v>39668040</v>
      </c>
      <c r="JP73" s="11" t="n">
        <v>3769746</v>
      </c>
      <c r="JQ73" s="11" t="n">
        <v>10944</v>
      </c>
      <c r="JR73" s="11" t="n">
        <v>-6236</v>
      </c>
      <c r="JS73" s="11" t="n">
        <v>113192</v>
      </c>
      <c r="JT73" s="11" t="n">
        <v>118058</v>
      </c>
      <c r="JU73" s="11" t="n">
        <v>-18664</v>
      </c>
      <c r="JV73" s="11" t="n">
        <v>-23024</v>
      </c>
      <c r="JW73" s="11" t="n">
        <v>-12932</v>
      </c>
      <c r="JX73" s="11" t="n">
        <v>206158</v>
      </c>
      <c r="JY73" s="11" t="n">
        <v>208706</v>
      </c>
      <c r="JZ73" s="11" t="n">
        <v>114617</v>
      </c>
      <c r="KA73" s="11" t="n">
        <v>1165428</v>
      </c>
      <c r="KB73" s="11" t="n">
        <v>2752488</v>
      </c>
      <c r="KC73" s="11" t="n">
        <v>1465938</v>
      </c>
      <c r="KD73" s="11" t="n">
        <v>-13622226</v>
      </c>
      <c r="KE73" s="11" t="n">
        <v>-13407318</v>
      </c>
      <c r="KF73" s="11" t="n">
        <v>-14530407</v>
      </c>
      <c r="KG73" s="11" t="n">
        <v>-2242290</v>
      </c>
      <c r="KH73" s="11" t="n">
        <v>-1122894</v>
      </c>
      <c r="KI73" s="11" t="n">
        <v>168441</v>
      </c>
      <c r="KJ73" s="11" t="n">
        <v>-12670692</v>
      </c>
      <c r="KK73" s="11" t="n">
        <v>1509612</v>
      </c>
      <c r="KL73" s="11" t="n">
        <v>-31120024</v>
      </c>
      <c r="KM73" s="11" t="n">
        <v>-77247235</v>
      </c>
      <c r="KN73" s="11" t="n">
        <v>-43466163</v>
      </c>
      <c r="KO73" s="11" t="n">
        <v>-2305664</v>
      </c>
      <c r="KP73" s="11" t="n">
        <v>-2350904</v>
      </c>
      <c r="KQ73" s="11" t="n">
        <v>-1252980</v>
      </c>
      <c r="KR73" s="11" t="n">
        <v>-69518512</v>
      </c>
      <c r="KS73" s="11" t="n">
        <v>-40557176</v>
      </c>
      <c r="KT73" s="11" t="n">
        <v>-3574121</v>
      </c>
      <c r="KU73" s="11" t="n">
        <v>211001976</v>
      </c>
      <c r="KV73" s="11" t="n">
        <v>533862891</v>
      </c>
      <c r="KW73" s="11" t="n">
        <v>301421223</v>
      </c>
      <c r="KX73" s="11" t="n">
        <v>-208336152</v>
      </c>
      <c r="KY73" s="11" t="n">
        <v>-138306672</v>
      </c>
      <c r="KZ73" s="11" t="n">
        <v>-52321131</v>
      </c>
      <c r="LA73" s="11" t="n">
        <v>-486789360</v>
      </c>
      <c r="LB73" s="11" t="n">
        <v>-285235416</v>
      </c>
      <c r="LC73" s="11" t="n">
        <v>-26293401</v>
      </c>
      <c r="LD73" s="11" t="n">
        <v>-37446888</v>
      </c>
      <c r="LE73" s="11" t="n">
        <v>1211784</v>
      </c>
      <c r="LF73" s="11" t="n">
        <v>3718704</v>
      </c>
      <c r="LG73" s="11" t="n">
        <v>2392788</v>
      </c>
      <c r="LH73" s="11" t="n">
        <v>-14652238</v>
      </c>
      <c r="LI73" s="11" t="n">
        <v>-14435510</v>
      </c>
      <c r="LJ73" s="11" t="n">
        <v>-15367169</v>
      </c>
      <c r="LK73" s="11" t="n">
        <v>-3792560</v>
      </c>
      <c r="LL73" s="11" t="n">
        <v>-2648776</v>
      </c>
      <c r="LM73" s="11" t="n">
        <v>-639736</v>
      </c>
      <c r="LN73" s="11" t="n">
        <v>-13151718</v>
      </c>
      <c r="LO73" s="11" t="n">
        <v>91233630</v>
      </c>
      <c r="LP73" s="11" t="n">
        <v>92491038</v>
      </c>
      <c r="LQ73" s="11" t="n">
        <v>103685193</v>
      </c>
      <c r="LR73" s="11" t="n">
        <v>-31521066</v>
      </c>
      <c r="LS73" s="11" t="n">
        <v>-90049350</v>
      </c>
    </row>
    <row r="74" customFormat="false" ht="15" hidden="false" customHeight="true" outlineLevel="0" collapsed="false">
      <c r="A74" s="7" t="s">
        <v>140</v>
      </c>
      <c r="B74" s="11" t="n">
        <v>-754861</v>
      </c>
      <c r="C74" s="11" t="n">
        <v>-34034443</v>
      </c>
      <c r="D74" s="11" t="n">
        <v>-82216</v>
      </c>
      <c r="E74" s="11" t="n">
        <v>-14349905</v>
      </c>
      <c r="F74" s="11" t="n">
        <v>-929447</v>
      </c>
      <c r="G74" s="11" t="n">
        <v>-91561980</v>
      </c>
      <c r="H74" s="11" t="n">
        <v>46013063</v>
      </c>
      <c r="I74" s="11" t="n">
        <v>-15549271</v>
      </c>
      <c r="J74" s="11" t="n">
        <v>-2738620</v>
      </c>
      <c r="K74" s="11" t="n">
        <v>-4848</v>
      </c>
      <c r="L74" s="11" t="n">
        <v>-3056174</v>
      </c>
      <c r="M74" s="11" t="n">
        <v>46116</v>
      </c>
      <c r="N74" s="11" t="n">
        <v>487008</v>
      </c>
      <c r="O74" s="11" t="n">
        <v>-599207</v>
      </c>
      <c r="P74" s="11" t="n">
        <v>2484871</v>
      </c>
      <c r="Q74" s="11" t="n">
        <v>79696</v>
      </c>
      <c r="R74" s="11" t="n">
        <v>-85732662</v>
      </c>
      <c r="S74" s="11" t="n">
        <v>5451248</v>
      </c>
      <c r="T74" s="11" t="n">
        <v>354142704</v>
      </c>
      <c r="U74" s="11" t="n">
        <v>-193950901</v>
      </c>
      <c r="V74" s="11" t="n">
        <v>168447893</v>
      </c>
      <c r="W74" s="11" t="n">
        <v>-240704</v>
      </c>
      <c r="X74" s="11" t="n">
        <v>10992</v>
      </c>
      <c r="Y74" s="11" t="n">
        <v>641088</v>
      </c>
      <c r="Z74" s="11" t="n">
        <v>-360776</v>
      </c>
      <c r="AA74" s="11" t="n">
        <v>370504</v>
      </c>
      <c r="AB74" s="11" t="n">
        <v>4639678</v>
      </c>
      <c r="AC74" s="11" t="n">
        <v>379961160</v>
      </c>
      <c r="AD74" s="11" t="n">
        <v>-197682077</v>
      </c>
      <c r="AE74" s="11" t="n">
        <v>110191069</v>
      </c>
      <c r="AF74" s="11" t="n">
        <v>-4994064</v>
      </c>
      <c r="AG74" s="11" t="n">
        <v>2073239</v>
      </c>
      <c r="AH74" s="11" t="n">
        <v>2109641</v>
      </c>
      <c r="AI74" s="11" t="n">
        <v>-42995796</v>
      </c>
      <c r="AJ74" s="11" t="n">
        <v>291374292</v>
      </c>
      <c r="AK74" s="11" t="n">
        <v>-139124016</v>
      </c>
      <c r="AL74" s="11" t="n">
        <v>12345189</v>
      </c>
      <c r="AM74" s="11" t="n">
        <v>-228862</v>
      </c>
      <c r="AN74" s="11" t="n">
        <v>243530</v>
      </c>
      <c r="AO74" s="11" t="n">
        <v>-1571125</v>
      </c>
      <c r="AP74" s="11" t="n">
        <v>29388068</v>
      </c>
      <c r="AQ74" s="11" t="n">
        <v>-18066239</v>
      </c>
      <c r="AR74" s="11" t="n">
        <v>5187468</v>
      </c>
      <c r="AS74" s="11" t="n">
        <v>-11663290</v>
      </c>
      <c r="AT74" s="11" t="n">
        <v>-223701955</v>
      </c>
      <c r="AU74" s="11" t="n">
        <v>-86037778</v>
      </c>
      <c r="AV74" s="11" t="n">
        <v>-172407136</v>
      </c>
      <c r="AW74" s="11" t="n">
        <v>-62043770</v>
      </c>
      <c r="AX74" s="11" t="n">
        <v>-20409195</v>
      </c>
      <c r="AY74" s="11" t="n">
        <v>4377190</v>
      </c>
      <c r="AZ74" s="11" t="n">
        <v>110674</v>
      </c>
      <c r="BA74" s="11" t="n">
        <v>30960968</v>
      </c>
      <c r="BB74" s="11" t="n">
        <v>-15918130</v>
      </c>
      <c r="BC74" s="11" t="n">
        <v>5279290</v>
      </c>
      <c r="BD74" s="11" t="n">
        <v>-30166935</v>
      </c>
      <c r="BE74" s="11" t="n">
        <v>529127740</v>
      </c>
      <c r="BF74" s="11" t="n">
        <v>-328594605</v>
      </c>
      <c r="BG74" s="11" t="n">
        <v>93597310</v>
      </c>
      <c r="BH74" s="11" t="n">
        <v>226756936</v>
      </c>
      <c r="BI74" s="11" t="n">
        <v>-118013628</v>
      </c>
      <c r="BJ74" s="11" t="n">
        <v>38750611</v>
      </c>
      <c r="BK74" s="11" t="n">
        <v>-400001576</v>
      </c>
      <c r="BL74" s="11" t="n">
        <v>23861092</v>
      </c>
      <c r="BM74" s="11" t="n">
        <v>55938185</v>
      </c>
      <c r="BN74" s="11" t="n">
        <v>-909592</v>
      </c>
      <c r="BO74" s="11" t="n">
        <v>-49097926</v>
      </c>
      <c r="BP74" s="11" t="n">
        <v>-4945816</v>
      </c>
      <c r="BQ74" s="11" t="n">
        <v>114583952</v>
      </c>
      <c r="BR74" s="11" t="n">
        <v>-75343523</v>
      </c>
      <c r="BS74" s="11" t="n">
        <v>59458239</v>
      </c>
      <c r="BT74" s="11" t="n">
        <v>928148</v>
      </c>
      <c r="BU74" s="11" t="n">
        <v>-24072</v>
      </c>
      <c r="BV74" s="11" t="n">
        <v>41088</v>
      </c>
      <c r="BW74" s="11" t="n">
        <v>65642</v>
      </c>
      <c r="BX74" s="11" t="n">
        <v>-720058</v>
      </c>
      <c r="BY74" s="11" t="n">
        <v>-6346070</v>
      </c>
      <c r="BZ74" s="11" t="n">
        <v>119139352</v>
      </c>
      <c r="CA74" s="11" t="n">
        <v>-73337336</v>
      </c>
      <c r="CB74" s="11" t="n">
        <v>21803942</v>
      </c>
      <c r="CC74" s="11" t="n">
        <v>-2809008</v>
      </c>
      <c r="CD74" s="11" t="n">
        <v>2350859</v>
      </c>
      <c r="CE74" s="11" t="n">
        <v>-5488783</v>
      </c>
      <c r="CF74" s="11" t="n">
        <v>-11672524</v>
      </c>
      <c r="CG74" s="11" t="n">
        <v>93393644</v>
      </c>
      <c r="CH74" s="11" t="n">
        <v>-55353113</v>
      </c>
      <c r="CI74" s="11" t="n">
        <v>29903620</v>
      </c>
      <c r="CJ74" s="11" t="n">
        <v>-1666624</v>
      </c>
      <c r="CK74" s="11" t="n">
        <v>-120957728</v>
      </c>
      <c r="CL74" s="11" t="n">
        <v>66610470</v>
      </c>
      <c r="CM74" s="11" t="n">
        <v>-57677750</v>
      </c>
      <c r="CN74" s="11" t="n">
        <v>-252558932</v>
      </c>
      <c r="CO74" s="11" t="n">
        <v>-2762006064</v>
      </c>
      <c r="CP74" s="11" t="n">
        <v>1118514505</v>
      </c>
      <c r="CQ74" s="11" t="n">
        <v>-1158586835</v>
      </c>
      <c r="CR74" s="11" t="n">
        <v>-867645088</v>
      </c>
      <c r="CS74" s="11" t="n">
        <v>500237966</v>
      </c>
      <c r="CT74" s="11" t="n">
        <v>-422560958</v>
      </c>
      <c r="CU74" s="11" t="n">
        <v>1628082112</v>
      </c>
      <c r="CV74" s="11" t="n">
        <v>-640934576</v>
      </c>
      <c r="CW74" s="11" t="n">
        <v>-423380635</v>
      </c>
      <c r="CX74" s="11" t="n">
        <v>909236</v>
      </c>
      <c r="CY74" s="11" t="n">
        <v>124776112</v>
      </c>
      <c r="CZ74" s="11" t="n">
        <v>-65811310</v>
      </c>
      <c r="DA74" s="11" t="n">
        <v>35181870</v>
      </c>
      <c r="DB74" s="11" t="n">
        <v>-3276384</v>
      </c>
      <c r="DC74" s="11" t="n">
        <v>1642546</v>
      </c>
      <c r="DD74" s="11" t="n">
        <v>-207074</v>
      </c>
      <c r="DE74" s="11" t="n">
        <v>-11738008</v>
      </c>
      <c r="DF74" s="11" t="n">
        <v>98358872</v>
      </c>
      <c r="DG74" s="11" t="n">
        <v>-48568280</v>
      </c>
      <c r="DH74" s="11" t="n">
        <v>-969849344</v>
      </c>
      <c r="DI74" s="11" t="n">
        <v>521817777</v>
      </c>
      <c r="DJ74" s="11" t="n">
        <v>-261910319</v>
      </c>
      <c r="DK74" s="11" t="n">
        <v>1411446044</v>
      </c>
      <c r="DL74" s="11" t="n">
        <v>1584805532</v>
      </c>
      <c r="DM74" s="11" t="n">
        <v>-1233853475</v>
      </c>
      <c r="DN74" s="11" t="n">
        <v>-128298104</v>
      </c>
      <c r="DO74" s="11" t="n">
        <v>722901640</v>
      </c>
      <c r="DP74" s="11" t="n">
        <v>-354302791</v>
      </c>
      <c r="DQ74" s="11" t="n">
        <v>-1261705452</v>
      </c>
      <c r="DR74" s="11" t="n">
        <v>162652</v>
      </c>
      <c r="DS74" s="11" t="n">
        <v>4611</v>
      </c>
      <c r="DT74" s="11" t="n">
        <v>-362115</v>
      </c>
      <c r="DU74" s="11" t="n">
        <v>10324</v>
      </c>
      <c r="DV74" s="11" t="n">
        <v>-582782</v>
      </c>
      <c r="DW74" s="11" t="n">
        <v>30394</v>
      </c>
      <c r="DX74" s="11" t="n">
        <v>-149728</v>
      </c>
      <c r="DY74" s="11" t="n">
        <v>190181</v>
      </c>
      <c r="DZ74" s="11" t="n">
        <v>-19418705</v>
      </c>
      <c r="EA74" s="11" t="n">
        <v>265208</v>
      </c>
      <c r="EB74" s="11" t="n">
        <v>-46005026</v>
      </c>
      <c r="EC74" s="11" t="n">
        <v>11284938</v>
      </c>
      <c r="ED74" s="11" t="n">
        <v>-10101236</v>
      </c>
      <c r="EE74" s="11" t="n">
        <v>-127095</v>
      </c>
      <c r="EF74" s="11" t="n">
        <v>-4553</v>
      </c>
      <c r="EG74" s="11" t="n">
        <v>-622772</v>
      </c>
      <c r="EH74" s="11" t="n">
        <v>284377</v>
      </c>
      <c r="EI74" s="11" t="n">
        <v>-111289</v>
      </c>
      <c r="EJ74" s="11" t="n">
        <v>642125</v>
      </c>
      <c r="EK74" s="11" t="n">
        <v>32844590</v>
      </c>
      <c r="EL74" s="11" t="n">
        <v>-21495175</v>
      </c>
      <c r="EM74" s="11" t="n">
        <v>4612825</v>
      </c>
      <c r="EN74" s="11" t="n">
        <v>-1969834</v>
      </c>
      <c r="EO74" s="11" t="n">
        <v>666730</v>
      </c>
      <c r="EP74" s="11" t="n">
        <v>-397020</v>
      </c>
      <c r="EQ74" s="11" t="n">
        <v>-31837186</v>
      </c>
      <c r="ER74" s="11" t="n">
        <v>-6156838</v>
      </c>
      <c r="ES74" s="11" t="n">
        <v>8500690</v>
      </c>
      <c r="ET74" s="11" t="n">
        <v>15684</v>
      </c>
      <c r="EU74" s="11" t="n">
        <v>-1972268</v>
      </c>
      <c r="EV74" s="11" t="n">
        <v>47392</v>
      </c>
      <c r="EW74" s="11" t="n">
        <v>-2009384</v>
      </c>
      <c r="EX74" s="11" t="n">
        <v>-18844</v>
      </c>
      <c r="EY74" s="11" t="n">
        <v>-7788</v>
      </c>
      <c r="EZ74" s="11" t="n">
        <v>-20994</v>
      </c>
      <c r="FA74" s="11" t="n">
        <v>348</v>
      </c>
      <c r="FB74" s="11" t="n">
        <v>-768</v>
      </c>
      <c r="FC74" s="11" t="n">
        <v>-3465</v>
      </c>
      <c r="FD74" s="11" t="n">
        <v>14217</v>
      </c>
      <c r="FE74" s="11" t="n">
        <v>19676</v>
      </c>
      <c r="FF74" s="11" t="n">
        <v>-2593108</v>
      </c>
      <c r="FG74" s="11" t="n">
        <v>410501</v>
      </c>
      <c r="FH74" s="11" t="n">
        <v>-1798217</v>
      </c>
      <c r="FI74" s="11" t="n">
        <v>42264</v>
      </c>
      <c r="FJ74" s="11" t="n">
        <v>-10052</v>
      </c>
      <c r="FK74" s="11" t="n">
        <v>43132</v>
      </c>
      <c r="FL74" s="11" t="n">
        <v>443002</v>
      </c>
      <c r="FM74" s="11" t="n">
        <v>-1821818</v>
      </c>
      <c r="FN74" s="11" t="n">
        <v>-18802</v>
      </c>
      <c r="FO74" s="11" t="n">
        <v>-433594</v>
      </c>
      <c r="FP74" s="11" t="n">
        <v>29840</v>
      </c>
      <c r="FQ74" s="11" t="n">
        <v>2086640</v>
      </c>
      <c r="FR74" s="11" t="n">
        <v>-1110203</v>
      </c>
      <c r="FS74" s="11" t="n">
        <v>964923</v>
      </c>
      <c r="FT74" s="11" t="n">
        <v>-2442208</v>
      </c>
      <c r="FU74" s="11" t="n">
        <v>-317946324</v>
      </c>
      <c r="FV74" s="11" t="n">
        <v>139087427</v>
      </c>
      <c r="FW74" s="11" t="n">
        <v>-121554679</v>
      </c>
      <c r="FX74" s="11" t="n">
        <v>10128160</v>
      </c>
      <c r="FY74" s="11" t="n">
        <v>-3318824</v>
      </c>
      <c r="FZ74" s="11" t="n">
        <v>2930504</v>
      </c>
      <c r="GA74" s="11" t="n">
        <v>144742718</v>
      </c>
      <c r="GB74" s="11" t="n">
        <v>-122586718</v>
      </c>
      <c r="GC74" s="11" t="n">
        <v>-1710614</v>
      </c>
      <c r="GD74" s="11" t="n">
        <v>-30322</v>
      </c>
      <c r="GE74" s="11" t="n">
        <v>-2814328</v>
      </c>
      <c r="GF74" s="11" t="n">
        <v>1390283</v>
      </c>
      <c r="GG74" s="11" t="n">
        <v>-898571</v>
      </c>
      <c r="GH74" s="11" t="n">
        <v>47760</v>
      </c>
      <c r="GI74" s="11" t="n">
        <v>-18041</v>
      </c>
      <c r="GJ74" s="11" t="n">
        <v>-5639</v>
      </c>
      <c r="GK74" s="11" t="n">
        <v>515356</v>
      </c>
      <c r="GL74" s="11" t="n">
        <v>-1938716</v>
      </c>
      <c r="GM74" s="11" t="n">
        <v>793184</v>
      </c>
      <c r="GN74" s="11" t="n">
        <v>6382916</v>
      </c>
      <c r="GO74" s="11" t="n">
        <v>-1895895</v>
      </c>
      <c r="GP74" s="11" t="n">
        <v>3439355</v>
      </c>
      <c r="GQ74" s="11" t="n">
        <v>116693794</v>
      </c>
      <c r="GR74" s="11" t="n">
        <v>130069582</v>
      </c>
      <c r="GS74" s="11" t="n">
        <v>-101513110</v>
      </c>
      <c r="GT74" s="11" t="n">
        <v>-811498</v>
      </c>
      <c r="GU74" s="11" t="n">
        <v>-6604342</v>
      </c>
      <c r="GV74" s="11" t="n">
        <v>2398930</v>
      </c>
      <c r="GW74" s="11" t="n">
        <v>-104205432</v>
      </c>
      <c r="GX74" s="11" t="n">
        <v>-124723</v>
      </c>
      <c r="GY74" s="11" t="n">
        <v>5974595</v>
      </c>
      <c r="GZ74" s="11" t="n">
        <v>-507376</v>
      </c>
      <c r="HA74" s="11" t="n">
        <v>15863294</v>
      </c>
      <c r="HB74" s="11" t="n">
        <v>-4389854</v>
      </c>
      <c r="HC74" s="11" t="n">
        <v>3566448</v>
      </c>
      <c r="HD74" s="11" t="n">
        <v>-108300</v>
      </c>
      <c r="HE74" s="11" t="n">
        <v>-6467</v>
      </c>
      <c r="HF74" s="11" t="n">
        <v>2824</v>
      </c>
      <c r="HG74" s="11" t="n">
        <v>-101141</v>
      </c>
      <c r="HH74" s="11" t="n">
        <v>-13708</v>
      </c>
      <c r="HI74" s="11" t="n">
        <v>750355</v>
      </c>
      <c r="HJ74" s="11" t="n">
        <v>-13909760</v>
      </c>
      <c r="HK74" s="11" t="n">
        <v>8656765</v>
      </c>
      <c r="HL74" s="11" t="n">
        <v>-2440180</v>
      </c>
      <c r="HM74" s="11" t="n">
        <v>-811038</v>
      </c>
      <c r="HN74" s="11" t="n">
        <v>-183826</v>
      </c>
      <c r="HO74" s="11" t="n">
        <v>-240688</v>
      </c>
      <c r="HP74" s="11" t="n">
        <v>12764546</v>
      </c>
      <c r="HQ74" s="11" t="n">
        <v>1824248</v>
      </c>
      <c r="HR74" s="11" t="n">
        <v>-3374600</v>
      </c>
      <c r="HS74" s="11" t="n">
        <v>-7904635</v>
      </c>
      <c r="HT74" s="11" t="n">
        <v>-389886</v>
      </c>
      <c r="HU74" s="11" t="n">
        <v>-16728892</v>
      </c>
      <c r="HV74" s="11" t="n">
        <v>3520550</v>
      </c>
      <c r="HW74" s="11" t="n">
        <v>-3575645</v>
      </c>
      <c r="HX74" s="11" t="n">
        <v>50832910</v>
      </c>
      <c r="HY74" s="11" t="n">
        <v>-204013650</v>
      </c>
      <c r="HZ74" s="11" t="n">
        <v>109573480</v>
      </c>
      <c r="IA74" s="11" t="n">
        <v>-54748835</v>
      </c>
      <c r="IB74" s="11" t="n">
        <v>-117642412</v>
      </c>
      <c r="IC74" s="11" t="n">
        <v>28044428</v>
      </c>
      <c r="ID74" s="11" t="n">
        <v>-25694576</v>
      </c>
      <c r="IE74" s="11" t="n">
        <v>141031516</v>
      </c>
      <c r="IF74" s="11" t="n">
        <v>-23581982</v>
      </c>
      <c r="IG74" s="11" t="n">
        <v>-25181410</v>
      </c>
      <c r="IH74" s="11" t="n">
        <v>71315</v>
      </c>
      <c r="II74" s="11" t="n">
        <v>-14705080</v>
      </c>
      <c r="IJ74" s="11" t="n">
        <v>9467045</v>
      </c>
      <c r="IK74" s="11" t="n">
        <v>-2236040</v>
      </c>
      <c r="IL74" s="11" t="n">
        <v>-876236</v>
      </c>
      <c r="IM74" s="11" t="n">
        <v>498712</v>
      </c>
      <c r="IN74" s="11" t="n">
        <v>-142549</v>
      </c>
      <c r="IO74" s="11" t="n">
        <v>13486164</v>
      </c>
      <c r="IP74" s="11" t="n">
        <v>1919592</v>
      </c>
      <c r="IQ74" s="11" t="n">
        <v>-3286515</v>
      </c>
      <c r="IR74" s="11" t="n">
        <v>92724430</v>
      </c>
      <c r="IS74" s="11" t="n">
        <v>-59891850</v>
      </c>
      <c r="IT74" s="11" t="n">
        <v>13885525</v>
      </c>
      <c r="IU74" s="11" t="n">
        <v>40497710</v>
      </c>
      <c r="IV74" s="11" t="n">
        <v>44139080</v>
      </c>
      <c r="IW74" s="11" t="n">
        <v>-34574525</v>
      </c>
      <c r="IX74" s="11" t="n">
        <v>87451576</v>
      </c>
      <c r="IY74" s="11" t="n">
        <v>14734318</v>
      </c>
      <c r="IZ74" s="11" t="n">
        <v>-22612990</v>
      </c>
      <c r="JA74" s="11" t="n">
        <v>-35193810</v>
      </c>
      <c r="JB74" s="11" t="n">
        <v>-936242</v>
      </c>
      <c r="JC74" s="11" t="n">
        <v>-12584</v>
      </c>
      <c r="JD74" s="11" t="n">
        <v>-11168</v>
      </c>
      <c r="JE74" s="11" t="n">
        <v>-437749</v>
      </c>
      <c r="JF74" s="11" t="n">
        <v>337929</v>
      </c>
      <c r="JG74" s="11" t="n">
        <v>4411464</v>
      </c>
      <c r="JH74" s="11" t="n">
        <v>-118543956</v>
      </c>
      <c r="JI74" s="11" t="n">
        <v>53922201</v>
      </c>
      <c r="JJ74" s="11" t="n">
        <v>-42959577</v>
      </c>
      <c r="JK74" s="11" t="n">
        <v>-1645968</v>
      </c>
      <c r="JL74" s="11" t="n">
        <v>-1337856</v>
      </c>
      <c r="JM74" s="11" t="n">
        <v>1014864</v>
      </c>
      <c r="JN74" s="11" t="n">
        <v>56069586</v>
      </c>
      <c r="JO74" s="11" t="n">
        <v>-43299930</v>
      </c>
      <c r="JP74" s="11" t="n">
        <v>-623382</v>
      </c>
      <c r="JQ74" s="11" t="n">
        <v>37618</v>
      </c>
      <c r="JR74" s="11" t="n">
        <v>-30896</v>
      </c>
      <c r="JS74" s="11" t="n">
        <v>379114</v>
      </c>
      <c r="JT74" s="11" t="n">
        <v>396332</v>
      </c>
      <c r="JU74" s="11" t="n">
        <v>-864</v>
      </c>
      <c r="JV74" s="11" t="n">
        <v>-12493</v>
      </c>
      <c r="JW74" s="11" t="n">
        <v>18905</v>
      </c>
      <c r="JX74" s="11" t="n">
        <v>18968</v>
      </c>
      <c r="JY74" s="11" t="n">
        <v>-6424</v>
      </c>
      <c r="JZ74" s="11" t="n">
        <v>322147</v>
      </c>
      <c r="KA74" s="11" t="n">
        <v>-4617492</v>
      </c>
      <c r="KB74" s="11" t="n">
        <v>380241</v>
      </c>
      <c r="KC74" s="11" t="n">
        <v>-3593577</v>
      </c>
      <c r="KD74" s="11" t="n">
        <v>46222764</v>
      </c>
      <c r="KE74" s="11" t="n">
        <v>51599952</v>
      </c>
      <c r="KF74" s="11" t="n">
        <v>-40222155</v>
      </c>
      <c r="KG74" s="11" t="n">
        <v>-1542210</v>
      </c>
      <c r="KH74" s="11" t="n">
        <v>2403066</v>
      </c>
      <c r="KI74" s="11" t="n">
        <v>1002342</v>
      </c>
      <c r="KJ74" s="11" t="n">
        <v>-41289582</v>
      </c>
      <c r="KK74" s="11" t="n">
        <v>2129164</v>
      </c>
      <c r="KL74" s="11" t="n">
        <v>124868808</v>
      </c>
      <c r="KM74" s="11" t="n">
        <v>-54170705</v>
      </c>
      <c r="KN74" s="11" t="n">
        <v>48257935</v>
      </c>
      <c r="KO74" s="11" t="n">
        <v>1652960</v>
      </c>
      <c r="KP74" s="11" t="n">
        <v>-1723618</v>
      </c>
      <c r="KQ74" s="11" t="n">
        <v>1417138</v>
      </c>
      <c r="KR74" s="11" t="n">
        <v>-59029796</v>
      </c>
      <c r="KS74" s="11" t="n">
        <v>45646036</v>
      </c>
      <c r="KT74" s="11" t="n">
        <v>3010985</v>
      </c>
      <c r="KU74" s="11" t="n">
        <v>-857955288</v>
      </c>
      <c r="KV74" s="11" t="n">
        <v>377873802</v>
      </c>
      <c r="KW74" s="11" t="n">
        <v>-325082754</v>
      </c>
      <c r="KX74" s="11" t="n">
        <v>332810634</v>
      </c>
      <c r="KY74" s="11" t="n">
        <v>380644482</v>
      </c>
      <c r="KZ74" s="11" t="n">
        <v>-293752575</v>
      </c>
      <c r="LA74" s="11" t="n">
        <v>-401179476</v>
      </c>
      <c r="LB74" s="11" t="n">
        <v>318666036</v>
      </c>
      <c r="LC74" s="11" t="n">
        <v>11656764</v>
      </c>
      <c r="LD74" s="11" t="n">
        <v>-301603362</v>
      </c>
      <c r="LE74" s="11" t="n">
        <v>-5087464</v>
      </c>
      <c r="LF74" s="11" t="n">
        <v>3038733</v>
      </c>
      <c r="LG74" s="11" t="n">
        <v>-1037671</v>
      </c>
      <c r="LH74" s="11" t="n">
        <v>48775696</v>
      </c>
      <c r="LI74" s="11" t="n">
        <v>54452248</v>
      </c>
      <c r="LJ74" s="11" t="n">
        <v>-42472825</v>
      </c>
      <c r="LK74" s="11" t="n">
        <v>-1759348</v>
      </c>
      <c r="LL74" s="11" t="n">
        <v>2580548</v>
      </c>
      <c r="LM74" s="11" t="n">
        <v>-1182509</v>
      </c>
      <c r="LN74" s="11" t="n">
        <v>-43571508</v>
      </c>
      <c r="LO74" s="11" t="n">
        <v>-321571134</v>
      </c>
      <c r="LP74" s="11" t="n">
        <v>-358625022</v>
      </c>
      <c r="LQ74" s="11" t="n">
        <v>279795735</v>
      </c>
      <c r="LR74" s="11" t="n">
        <v>-3555030</v>
      </c>
      <c r="LS74" s="11" t="n">
        <v>-287132442</v>
      </c>
    </row>
    <row r="75" customFormat="false" ht="15" hidden="false" customHeight="true" outlineLevel="0" collapsed="false">
      <c r="A75" s="7" t="s">
        <v>141</v>
      </c>
      <c r="B75" s="11" t="n">
        <v>-140186</v>
      </c>
      <c r="C75" s="11" t="n">
        <v>294357469</v>
      </c>
      <c r="D75" s="11" t="n">
        <v>2241658</v>
      </c>
      <c r="E75" s="11" t="n">
        <v>-129661608</v>
      </c>
      <c r="F75" s="11" t="n">
        <v>8192467</v>
      </c>
      <c r="G75" s="11" t="n">
        <v>-164421416</v>
      </c>
      <c r="H75" s="11" t="n">
        <v>5254322</v>
      </c>
      <c r="I75" s="11" t="n">
        <v>-69990490</v>
      </c>
      <c r="J75" s="11" t="n">
        <v>-13683392</v>
      </c>
      <c r="K75" s="11" t="n">
        <v>-99792</v>
      </c>
      <c r="L75" s="11" t="n">
        <v>4997044</v>
      </c>
      <c r="M75" s="11" t="n">
        <v>-357968</v>
      </c>
      <c r="N75" s="11" t="n">
        <v>6549824</v>
      </c>
      <c r="O75" s="11" t="n">
        <v>32914</v>
      </c>
      <c r="P75" s="11" t="n">
        <v>3401710</v>
      </c>
      <c r="Q75" s="11" t="n">
        <v>-9266008</v>
      </c>
      <c r="R75" s="11" t="n">
        <v>2163506950</v>
      </c>
      <c r="S75" s="11" t="n">
        <v>-48008952</v>
      </c>
      <c r="T75" s="11" t="n">
        <v>2295900256</v>
      </c>
      <c r="U75" s="11" t="n">
        <v>-581979865</v>
      </c>
      <c r="V75" s="11" t="n">
        <v>-311096935</v>
      </c>
      <c r="W75" s="11" t="n">
        <v>12394444</v>
      </c>
      <c r="X75" s="11" t="n">
        <v>-107720</v>
      </c>
      <c r="Y75" s="11" t="n">
        <v>12308480</v>
      </c>
      <c r="Z75" s="11" t="n">
        <v>-4266626</v>
      </c>
      <c r="AA75" s="11" t="n">
        <v>-4572350</v>
      </c>
      <c r="AB75" s="11" t="n">
        <v>-39066586</v>
      </c>
      <c r="AC75" s="11" t="n">
        <v>197164208</v>
      </c>
      <c r="AD75" s="11" t="n">
        <v>217737580</v>
      </c>
      <c r="AE75" s="11" t="n">
        <v>651460420</v>
      </c>
      <c r="AF75" s="11" t="n">
        <v>37082080</v>
      </c>
      <c r="AG75" s="11" t="n">
        <v>-15340519</v>
      </c>
      <c r="AH75" s="11" t="n">
        <v>-20073625</v>
      </c>
      <c r="AI75" s="11" t="n">
        <v>284098632</v>
      </c>
      <c r="AJ75" s="11" t="n">
        <v>719676600</v>
      </c>
      <c r="AK75" s="11" t="n">
        <v>-143932680</v>
      </c>
      <c r="AL75" s="11" t="n">
        <v>-108417483</v>
      </c>
      <c r="AM75" s="11" t="n">
        <v>-873506</v>
      </c>
      <c r="AN75" s="11" t="n">
        <v>46805598</v>
      </c>
      <c r="AO75" s="11" t="n">
        <v>-3371809</v>
      </c>
      <c r="AP75" s="11" t="n">
        <v>59736984</v>
      </c>
      <c r="AQ75" s="11" t="n">
        <v>-2143418</v>
      </c>
      <c r="AR75" s="11" t="n">
        <v>25670732</v>
      </c>
      <c r="AS75" s="11" t="n">
        <v>100495750</v>
      </c>
      <c r="AT75" s="11" t="n">
        <v>1997402157</v>
      </c>
      <c r="AU75" s="11" t="n">
        <v>744086510</v>
      </c>
      <c r="AV75" s="11" t="n">
        <v>1727195712</v>
      </c>
      <c r="AW75" s="11" t="n">
        <v>437067406</v>
      </c>
      <c r="AX75" s="11" t="n">
        <v>226991717</v>
      </c>
      <c r="AY75" s="11" t="n">
        <v>59478474</v>
      </c>
      <c r="AZ75" s="11" t="n">
        <v>2869570</v>
      </c>
      <c r="BA75" s="11" t="n">
        <v>69287984</v>
      </c>
      <c r="BB75" s="11" t="n">
        <v>1534592</v>
      </c>
      <c r="BC75" s="11" t="n">
        <v>25623894</v>
      </c>
      <c r="BD75" s="11" t="n">
        <v>-383353971</v>
      </c>
      <c r="BE75" s="11" t="n">
        <v>354890664</v>
      </c>
      <c r="BF75" s="11" t="n">
        <v>-228177858</v>
      </c>
      <c r="BG75" s="11" t="n">
        <v>374942226</v>
      </c>
      <c r="BH75" s="11" t="n">
        <v>463700656</v>
      </c>
      <c r="BI75" s="11" t="n">
        <v>-1117722</v>
      </c>
      <c r="BJ75" s="11" t="n">
        <v>183241831</v>
      </c>
      <c r="BK75" s="11" t="n">
        <v>-274966640</v>
      </c>
      <c r="BL75" s="11" t="n">
        <v>283889432</v>
      </c>
      <c r="BM75" s="11" t="n">
        <v>107975006</v>
      </c>
      <c r="BN75" s="11" t="n">
        <v>-8084456</v>
      </c>
      <c r="BO75" s="11" t="n">
        <v>704010474</v>
      </c>
      <c r="BP75" s="11" t="n">
        <v>-52271944</v>
      </c>
      <c r="BQ75" s="11" t="n">
        <v>765334176</v>
      </c>
      <c r="BR75" s="11" t="n">
        <v>-234671663</v>
      </c>
      <c r="BS75" s="11" t="n">
        <v>-125134801</v>
      </c>
      <c r="BT75" s="11" t="n">
        <v>2181932</v>
      </c>
      <c r="BU75" s="11" t="n">
        <v>-169720</v>
      </c>
      <c r="BV75" s="11" t="n">
        <v>1711744</v>
      </c>
      <c r="BW75" s="11" t="n">
        <v>-1730890</v>
      </c>
      <c r="BX75" s="11" t="n">
        <v>-2922406</v>
      </c>
      <c r="BY75" s="11" t="n">
        <v>671762</v>
      </c>
      <c r="BZ75" s="11" t="n">
        <v>57495696</v>
      </c>
      <c r="CA75" s="11" t="n">
        <v>87393274</v>
      </c>
      <c r="CB75" s="11" t="n">
        <v>220716002</v>
      </c>
      <c r="CC75" s="11" t="n">
        <v>-4999264</v>
      </c>
      <c r="CD75" s="11" t="n">
        <v>-6264925</v>
      </c>
      <c r="CE75" s="11" t="n">
        <v>-16268499</v>
      </c>
      <c r="CF75" s="11" t="n">
        <v>114171128</v>
      </c>
      <c r="CG75" s="11" t="n">
        <v>250161352</v>
      </c>
      <c r="CH75" s="11" t="n">
        <v>-58038698</v>
      </c>
      <c r="CI75" s="11" t="n">
        <v>-801512524</v>
      </c>
      <c r="CJ75" s="11" t="n">
        <v>-7032320</v>
      </c>
      <c r="CK75" s="11" t="n">
        <v>-838206784</v>
      </c>
      <c r="CL75" s="11" t="n">
        <v>184933758</v>
      </c>
      <c r="CM75" s="11" t="n">
        <v>99065306</v>
      </c>
      <c r="CN75" s="11" t="n">
        <v>5794755356</v>
      </c>
      <c r="CO75" s="11" t="n">
        <v>-2884371168</v>
      </c>
      <c r="CP75" s="11" t="n">
        <v>7161517645</v>
      </c>
      <c r="CQ75" s="11" t="n">
        <v>3779363405</v>
      </c>
      <c r="CR75" s="11" t="n">
        <v>-6085353536</v>
      </c>
      <c r="CS75" s="11" t="n">
        <v>1399863302</v>
      </c>
      <c r="CT75" s="11" t="n">
        <v>749379314</v>
      </c>
      <c r="CU75" s="11" t="n">
        <v>6823867264</v>
      </c>
      <c r="CV75" s="11" t="n">
        <v>3595885088</v>
      </c>
      <c r="CW75" s="11" t="n">
        <v>13132745</v>
      </c>
      <c r="CX75" s="11" t="n">
        <v>18724420</v>
      </c>
      <c r="CY75" s="11" t="n">
        <v>56519072</v>
      </c>
      <c r="CZ75" s="11" t="n">
        <v>121692434</v>
      </c>
      <c r="DA75" s="11" t="n">
        <v>262997442</v>
      </c>
      <c r="DB75" s="11" t="n">
        <v>-19085760</v>
      </c>
      <c r="DC75" s="11" t="n">
        <v>5388010</v>
      </c>
      <c r="DD75" s="11" t="n">
        <v>4621790</v>
      </c>
      <c r="DE75" s="11" t="n">
        <v>140304368</v>
      </c>
      <c r="DF75" s="11" t="n">
        <v>282023440</v>
      </c>
      <c r="DG75" s="11" t="n">
        <v>-45640718</v>
      </c>
      <c r="DH75" s="11" t="n">
        <v>-476003008</v>
      </c>
      <c r="DI75" s="11" t="n">
        <v>-712506171</v>
      </c>
      <c r="DJ75" s="11" t="n">
        <v>-1813121323</v>
      </c>
      <c r="DK75" s="11" t="n">
        <v>942927848</v>
      </c>
      <c r="DL75" s="11" t="n">
        <v>1212942184</v>
      </c>
      <c r="DM75" s="11" t="n">
        <v>-1776068180</v>
      </c>
      <c r="DN75" s="11" t="n">
        <v>863227312</v>
      </c>
      <c r="DO75" s="11" t="n">
        <v>1965603440</v>
      </c>
      <c r="DP75" s="11" t="n">
        <v>-345861817</v>
      </c>
      <c r="DQ75" s="11" t="n">
        <v>-1694059464</v>
      </c>
      <c r="DR75" s="11" t="n">
        <v>980855</v>
      </c>
      <c r="DS75" s="11" t="n">
        <v>7992</v>
      </c>
      <c r="DT75" s="11" t="n">
        <v>-468772</v>
      </c>
      <c r="DU75" s="11" t="n">
        <v>28365</v>
      </c>
      <c r="DV75" s="11" t="n">
        <v>-574316</v>
      </c>
      <c r="DW75" s="11" t="n">
        <v>-4760</v>
      </c>
      <c r="DX75" s="11" t="n">
        <v>-239964</v>
      </c>
      <c r="DY75" s="11" t="n">
        <v>-1096853</v>
      </c>
      <c r="DZ75" s="11" t="n">
        <v>77092598</v>
      </c>
      <c r="EA75" s="11" t="n">
        <v>-2238650</v>
      </c>
      <c r="EB75" s="11" t="n">
        <v>55502234</v>
      </c>
      <c r="EC75" s="11" t="n">
        <v>46758375</v>
      </c>
      <c r="ED75" s="11" t="n">
        <v>14157431</v>
      </c>
      <c r="EE75" s="11" t="n">
        <v>103940</v>
      </c>
      <c r="EF75" s="11" t="n">
        <v>13479</v>
      </c>
      <c r="EG75" s="11" t="n">
        <v>-190004</v>
      </c>
      <c r="EH75" s="11" t="n">
        <v>375664</v>
      </c>
      <c r="EI75" s="11" t="n">
        <v>-152988</v>
      </c>
      <c r="EJ75" s="11" t="n">
        <v>-1159514</v>
      </c>
      <c r="EK75" s="11" t="n">
        <v>18613984</v>
      </c>
      <c r="EL75" s="11" t="n">
        <v>-21972724</v>
      </c>
      <c r="EM75" s="11" t="n">
        <v>12094388</v>
      </c>
      <c r="EN75" s="11" t="n">
        <v>294262</v>
      </c>
      <c r="EO75" s="11" t="n">
        <v>1341325</v>
      </c>
      <c r="EP75" s="11" t="n">
        <v>-138267</v>
      </c>
      <c r="EQ75" s="11" t="n">
        <v>-27108892</v>
      </c>
      <c r="ER75" s="11" t="n">
        <v>5288956</v>
      </c>
      <c r="ES75" s="11" t="n">
        <v>11370628</v>
      </c>
      <c r="ET75" s="11" t="n">
        <v>81864</v>
      </c>
      <c r="EU75" s="11" t="n">
        <v>-10792914</v>
      </c>
      <c r="EV75" s="11" t="n">
        <v>264040</v>
      </c>
      <c r="EW75" s="11" t="n">
        <v>-10230432</v>
      </c>
      <c r="EX75" s="11" t="n">
        <v>-234325</v>
      </c>
      <c r="EY75" s="11" t="n">
        <v>378517</v>
      </c>
      <c r="EZ75" s="11" t="n">
        <v>-48816</v>
      </c>
      <c r="FA75" s="11" t="n">
        <v>-216</v>
      </c>
      <c r="FB75" s="11" t="n">
        <v>-35424</v>
      </c>
      <c r="FC75" s="11" t="n">
        <v>-1512</v>
      </c>
      <c r="FD75" s="11" t="n">
        <v>23112</v>
      </c>
      <c r="FE75" s="11" t="n">
        <v>185926</v>
      </c>
      <c r="FF75" s="11" t="n">
        <v>-1430184</v>
      </c>
      <c r="FG75" s="11" t="n">
        <v>59612</v>
      </c>
      <c r="FH75" s="11" t="n">
        <v>-2821364</v>
      </c>
      <c r="FI75" s="11" t="n">
        <v>-141248</v>
      </c>
      <c r="FJ75" s="11" t="n">
        <v>-5495</v>
      </c>
      <c r="FK75" s="11" t="n">
        <v>75543</v>
      </c>
      <c r="FL75" s="11" t="n">
        <v>87556</v>
      </c>
      <c r="FM75" s="11" t="n">
        <v>-2724484</v>
      </c>
      <c r="FN75" s="11" t="n">
        <v>-59164</v>
      </c>
      <c r="FO75" s="11" t="n">
        <v>5635014</v>
      </c>
      <c r="FP75" s="11" t="n">
        <v>-108424</v>
      </c>
      <c r="FQ75" s="11" t="n">
        <v>6807984</v>
      </c>
      <c r="FR75" s="11" t="n">
        <v>-3640505</v>
      </c>
      <c r="FS75" s="11" t="n">
        <v>-1604887</v>
      </c>
      <c r="FT75" s="11" t="n">
        <v>-3880316</v>
      </c>
      <c r="FU75" s="11" t="n">
        <v>-193361652</v>
      </c>
      <c r="FV75" s="11" t="n">
        <v>496092080</v>
      </c>
      <c r="FW75" s="11" t="n">
        <v>185532820</v>
      </c>
      <c r="FX75" s="11" t="n">
        <v>8408528</v>
      </c>
      <c r="FY75" s="11" t="n">
        <v>-12052250</v>
      </c>
      <c r="FZ75" s="11" t="n">
        <v>-4674998</v>
      </c>
      <c r="GA75" s="11" t="n">
        <v>474435890</v>
      </c>
      <c r="GB75" s="11" t="n">
        <v>169082254</v>
      </c>
      <c r="GC75" s="11" t="n">
        <v>21426490</v>
      </c>
      <c r="GD75" s="11" t="n">
        <v>79522</v>
      </c>
      <c r="GE75" s="11" t="n">
        <v>-1621272</v>
      </c>
      <c r="GF75" s="11" t="n">
        <v>2274932</v>
      </c>
      <c r="GG75" s="11" t="n">
        <v>-633884</v>
      </c>
      <c r="GH75" s="11" t="n">
        <v>-64880</v>
      </c>
      <c r="GI75" s="11" t="n">
        <v>7603</v>
      </c>
      <c r="GJ75" s="11" t="n">
        <v>34845</v>
      </c>
      <c r="GK75" s="11" t="n">
        <v>1701052</v>
      </c>
      <c r="GL75" s="11" t="n">
        <v>-1227580</v>
      </c>
      <c r="GM75" s="11" t="n">
        <v>1057436</v>
      </c>
      <c r="GN75" s="11" t="n">
        <v>3845164</v>
      </c>
      <c r="GO75" s="11" t="n">
        <v>-8567448</v>
      </c>
      <c r="GP75" s="11" t="n">
        <v>-2181764</v>
      </c>
      <c r="GQ75" s="11" t="n">
        <v>64669864</v>
      </c>
      <c r="GR75" s="11" t="n">
        <v>75131672</v>
      </c>
      <c r="GS75" s="11" t="n">
        <v>-130707640</v>
      </c>
      <c r="GT75" s="11" t="n">
        <v>6622334</v>
      </c>
      <c r="GU75" s="11" t="n">
        <v>95170</v>
      </c>
      <c r="GV75" s="11" t="n">
        <v>3545494</v>
      </c>
      <c r="GW75" s="11" t="n">
        <v>-127794912</v>
      </c>
      <c r="GX75" s="11" t="n">
        <v>69121</v>
      </c>
      <c r="GY75" s="11" t="n">
        <v>-35050401</v>
      </c>
      <c r="GZ75" s="11" t="n">
        <v>-1654900</v>
      </c>
      <c r="HA75" s="11" t="n">
        <v>-26197878</v>
      </c>
      <c r="HB75" s="11" t="n">
        <v>-18678395</v>
      </c>
      <c r="HC75" s="11" t="n">
        <v>-5970832</v>
      </c>
      <c r="HD75" s="11" t="n">
        <v>-252556</v>
      </c>
      <c r="HE75" s="11" t="n">
        <v>-15483</v>
      </c>
      <c r="HF75" s="11" t="n">
        <v>-172988</v>
      </c>
      <c r="HG75" s="11" t="n">
        <v>-151856</v>
      </c>
      <c r="HH75" s="11" t="n">
        <v>-31740</v>
      </c>
      <c r="HI75" s="11" t="n">
        <v>1804523</v>
      </c>
      <c r="HJ75" s="11" t="n">
        <v>-8002380</v>
      </c>
      <c r="HK75" s="11" t="n">
        <v>8756716</v>
      </c>
      <c r="HL75" s="11" t="n">
        <v>-5721412</v>
      </c>
      <c r="HM75" s="11" t="n">
        <v>-1726594</v>
      </c>
      <c r="HN75" s="11" t="n">
        <v>-548185</v>
      </c>
      <c r="HO75" s="11" t="n">
        <v>-577536</v>
      </c>
      <c r="HP75" s="11" t="n">
        <v>10809548</v>
      </c>
      <c r="HQ75" s="11" t="n">
        <v>-2913176</v>
      </c>
      <c r="HR75" s="11" t="n">
        <v>-4540652</v>
      </c>
      <c r="HS75" s="11" t="n">
        <v>33762809</v>
      </c>
      <c r="HT75" s="11" t="n">
        <v>2008370</v>
      </c>
      <c r="HU75" s="11" t="n">
        <v>25384844</v>
      </c>
      <c r="HV75" s="11" t="n">
        <v>17592272</v>
      </c>
      <c r="HW75" s="11" t="n">
        <v>5679279</v>
      </c>
      <c r="HX75" s="11" t="n">
        <v>-210067870</v>
      </c>
      <c r="HY75" s="11" t="n">
        <v>-75736902</v>
      </c>
      <c r="HZ75" s="11" t="n">
        <v>202816723</v>
      </c>
      <c r="IA75" s="11" t="n">
        <v>36617729</v>
      </c>
      <c r="IB75" s="11" t="n">
        <v>153436060</v>
      </c>
      <c r="IC75" s="11" t="n">
        <v>121521350</v>
      </c>
      <c r="ID75" s="11" t="n">
        <v>37513940</v>
      </c>
      <c r="IE75" s="11" t="n">
        <v>191952484</v>
      </c>
      <c r="IF75" s="11" t="n">
        <v>40271126</v>
      </c>
      <c r="IG75" s="11" t="n">
        <v>-15036181</v>
      </c>
      <c r="IH75" s="11" t="n">
        <v>224587</v>
      </c>
      <c r="II75" s="11" t="n">
        <v>-8254132</v>
      </c>
      <c r="IJ75" s="11" t="n">
        <v>9896432</v>
      </c>
      <c r="IK75" s="11" t="n">
        <v>-5247384</v>
      </c>
      <c r="IL75" s="11" t="n">
        <v>-659852</v>
      </c>
      <c r="IM75" s="11" t="n">
        <v>471664</v>
      </c>
      <c r="IN75" s="11" t="n">
        <v>-349917</v>
      </c>
      <c r="IO75" s="11" t="n">
        <v>11741568</v>
      </c>
      <c r="IP75" s="11" t="n">
        <v>-2556852</v>
      </c>
      <c r="IQ75" s="11" t="n">
        <v>-4398864</v>
      </c>
      <c r="IR75" s="11" t="n">
        <v>51859946</v>
      </c>
      <c r="IS75" s="11" t="n">
        <v>-62923449</v>
      </c>
      <c r="IT75" s="11" t="n">
        <v>32404973</v>
      </c>
      <c r="IU75" s="11" t="n">
        <v>27383708</v>
      </c>
      <c r="IV75" s="11" t="n">
        <v>20723044</v>
      </c>
      <c r="IW75" s="11" t="n">
        <v>-42254840</v>
      </c>
      <c r="IX75" s="11" t="n">
        <v>75960292</v>
      </c>
      <c r="IY75" s="11" t="n">
        <v>-14407822</v>
      </c>
      <c r="IZ75" s="11" t="n">
        <v>-29982703</v>
      </c>
      <c r="JA75" s="11" t="n">
        <v>-37961244</v>
      </c>
      <c r="JB75" s="11" t="n">
        <v>-2164794</v>
      </c>
      <c r="JC75" s="11" t="n">
        <v>-156728</v>
      </c>
      <c r="JD75" s="11" t="n">
        <v>-1465584</v>
      </c>
      <c r="JE75" s="11" t="n">
        <v>-1542421</v>
      </c>
      <c r="JF75" s="11" t="n">
        <v>-525011</v>
      </c>
      <c r="JG75" s="11" t="n">
        <v>27645168</v>
      </c>
      <c r="JH75" s="11" t="n">
        <v>-77309388</v>
      </c>
      <c r="JI75" s="11" t="n">
        <v>197155671</v>
      </c>
      <c r="JJ75" s="11" t="n">
        <v>79226643</v>
      </c>
      <c r="JK75" s="11" t="n">
        <v>-24313104</v>
      </c>
      <c r="JL75" s="11" t="n">
        <v>-5423460</v>
      </c>
      <c r="JM75" s="11" t="n">
        <v>-968676</v>
      </c>
      <c r="JN75" s="11" t="n">
        <v>188559198</v>
      </c>
      <c r="JO75" s="11" t="n">
        <v>72386370</v>
      </c>
      <c r="JP75" s="11" t="n">
        <v>8634513</v>
      </c>
      <c r="JQ75" s="11" t="n">
        <v>87746</v>
      </c>
      <c r="JR75" s="11" t="n">
        <v>-62808</v>
      </c>
      <c r="JS75" s="11" t="n">
        <v>879772</v>
      </c>
      <c r="JT75" s="11" t="n">
        <v>924236</v>
      </c>
      <c r="JU75" s="11" t="n">
        <v>-63952</v>
      </c>
      <c r="JV75" s="11" t="n">
        <v>1175</v>
      </c>
      <c r="JW75" s="11" t="n">
        <v>45633</v>
      </c>
      <c r="JX75" s="11" t="n">
        <v>640364</v>
      </c>
      <c r="JY75" s="11" t="n">
        <v>640948</v>
      </c>
      <c r="JZ75" s="11" t="n">
        <v>445156</v>
      </c>
      <c r="KA75" s="11" t="n">
        <v>-2331516</v>
      </c>
      <c r="KB75" s="11" t="n">
        <v>-3243645</v>
      </c>
      <c r="KC75" s="11" t="n">
        <v>-8591505</v>
      </c>
      <c r="KD75" s="11" t="n">
        <v>25698372</v>
      </c>
      <c r="KE75" s="11" t="n">
        <v>30707796</v>
      </c>
      <c r="KF75" s="11" t="n">
        <v>-51975840</v>
      </c>
      <c r="KG75" s="11" t="n">
        <v>2395290</v>
      </c>
      <c r="KH75" s="11" t="n">
        <v>7474278</v>
      </c>
      <c r="KI75" s="11" t="n">
        <v>1571835</v>
      </c>
      <c r="KJ75" s="11" t="n">
        <v>-50835036</v>
      </c>
      <c r="KK75" s="11" t="n">
        <v>-13655332</v>
      </c>
      <c r="KL75" s="11" t="n">
        <v>79147080</v>
      </c>
      <c r="KM75" s="11" t="n">
        <v>-202439501</v>
      </c>
      <c r="KN75" s="11" t="n">
        <v>-78577813</v>
      </c>
      <c r="KO75" s="11" t="n">
        <v>14974912</v>
      </c>
      <c r="KP75" s="11" t="n">
        <v>-4926874</v>
      </c>
      <c r="KQ75" s="11" t="n">
        <v>-2377198</v>
      </c>
      <c r="KR75" s="11" t="n">
        <v>-193445756</v>
      </c>
      <c r="KS75" s="11" t="n">
        <v>-72392788</v>
      </c>
      <c r="KT75" s="11" t="n">
        <v>-6890773</v>
      </c>
      <c r="KU75" s="11" t="n">
        <v>-523074696</v>
      </c>
      <c r="KV75" s="11" t="n">
        <v>1341581634</v>
      </c>
      <c r="KW75" s="11" t="n">
        <v>503711082</v>
      </c>
      <c r="KX75" s="11" t="n">
        <v>-21331482</v>
      </c>
      <c r="KY75" s="11" t="n">
        <v>90426534</v>
      </c>
      <c r="KZ75" s="11" t="n">
        <v>-252467730</v>
      </c>
      <c r="LA75" s="11" t="n">
        <v>-1282498572</v>
      </c>
      <c r="LB75" s="11" t="n">
        <v>-461327268</v>
      </c>
      <c r="LC75" s="11" t="n">
        <v>-51810102</v>
      </c>
      <c r="LD75" s="11" t="n">
        <v>-240525294</v>
      </c>
      <c r="LE75" s="11" t="n">
        <v>-2811896</v>
      </c>
      <c r="LF75" s="11" t="n">
        <v>2655993</v>
      </c>
      <c r="LG75" s="11" t="n">
        <v>-2644991</v>
      </c>
      <c r="LH75" s="11" t="n">
        <v>26291908</v>
      </c>
      <c r="LI75" s="11" t="n">
        <v>31511204</v>
      </c>
      <c r="LJ75" s="11" t="n">
        <v>-54495400</v>
      </c>
      <c r="LK75" s="11" t="n">
        <v>-1898116</v>
      </c>
      <c r="LL75" s="11" t="n">
        <v>3390100</v>
      </c>
      <c r="LM75" s="11" t="n">
        <v>-1416689</v>
      </c>
      <c r="LN75" s="11" t="n">
        <v>-52969284</v>
      </c>
      <c r="LO75" s="11" t="n">
        <v>-174518298</v>
      </c>
      <c r="LP75" s="11" t="n">
        <v>-205041594</v>
      </c>
      <c r="LQ75" s="11" t="n">
        <v>357832710</v>
      </c>
      <c r="LR75" s="11" t="n">
        <v>-38531640</v>
      </c>
      <c r="LS75" s="11" t="n">
        <v>-348813474</v>
      </c>
    </row>
    <row r="76" customFormat="false" ht="15" hidden="false" customHeight="true" outlineLevel="0" collapsed="false">
      <c r="A76" s="7" t="s">
        <v>142</v>
      </c>
      <c r="B76" s="11" t="n">
        <v>2517252</v>
      </c>
      <c r="C76" s="11" t="n">
        <v>641590791</v>
      </c>
      <c r="D76" s="11" t="n">
        <v>2381085</v>
      </c>
      <c r="E76" s="11" t="n">
        <v>244367241</v>
      </c>
      <c r="F76" s="11" t="n">
        <v>5691319</v>
      </c>
      <c r="G76" s="11" t="n">
        <v>192007370</v>
      </c>
      <c r="H76" s="11" t="n">
        <v>-131450754</v>
      </c>
      <c r="I76" s="11" t="n">
        <v>-100905471</v>
      </c>
      <c r="J76" s="11" t="n">
        <v>-14007000</v>
      </c>
      <c r="K76" s="11" t="n">
        <v>-76152</v>
      </c>
      <c r="L76" s="11" t="n">
        <v>1580832</v>
      </c>
      <c r="M76" s="11" t="n">
        <v>-267352</v>
      </c>
      <c r="N76" s="11" t="n">
        <v>3341584</v>
      </c>
      <c r="O76" s="11" t="n">
        <v>1034652</v>
      </c>
      <c r="P76" s="11" t="n">
        <v>-1592964</v>
      </c>
      <c r="Q76" s="11" t="n">
        <v>-6160116</v>
      </c>
      <c r="R76" s="11" t="n">
        <v>1762675806</v>
      </c>
      <c r="S76" s="11" t="n">
        <v>-36473216</v>
      </c>
      <c r="T76" s="11" t="n">
        <v>1920100472</v>
      </c>
      <c r="U76" s="11" t="n">
        <v>-467735259</v>
      </c>
      <c r="V76" s="11" t="n">
        <v>-967489137</v>
      </c>
      <c r="W76" s="11" t="n">
        <v>8887926</v>
      </c>
      <c r="X76" s="11" t="n">
        <v>-80716</v>
      </c>
      <c r="Y76" s="11" t="n">
        <v>8969440</v>
      </c>
      <c r="Z76" s="11" t="n">
        <v>-2997969</v>
      </c>
      <c r="AA76" s="11" t="n">
        <v>-4559391</v>
      </c>
      <c r="AB76" s="11" t="n">
        <v>-29527870</v>
      </c>
      <c r="AC76" s="11" t="n">
        <v>203810452</v>
      </c>
      <c r="AD76" s="11" t="n">
        <v>182991855</v>
      </c>
      <c r="AE76" s="11" t="n">
        <v>-91271601</v>
      </c>
      <c r="AF76" s="11" t="n">
        <v>27947768</v>
      </c>
      <c r="AG76" s="11" t="n">
        <v>-11621835</v>
      </c>
      <c r="AH76" s="11" t="n">
        <v>-14318529</v>
      </c>
      <c r="AI76" s="11" t="n">
        <v>253417038</v>
      </c>
      <c r="AJ76" s="11" t="n">
        <v>12443442</v>
      </c>
      <c r="AK76" s="11" t="n">
        <v>124659099</v>
      </c>
      <c r="AL76" s="11" t="n">
        <v>-235613313</v>
      </c>
      <c r="AM76" s="11" t="n">
        <v>-12579</v>
      </c>
      <c r="AN76" s="11" t="n">
        <v>-73168971</v>
      </c>
      <c r="AO76" s="11" t="n">
        <v>4284935</v>
      </c>
      <c r="AP76" s="11" t="n">
        <v>-56274086</v>
      </c>
      <c r="AQ76" s="11" t="n">
        <v>52149126</v>
      </c>
      <c r="AR76" s="11" t="n">
        <v>38946957</v>
      </c>
      <c r="AS76" s="11" t="n">
        <v>219662058</v>
      </c>
      <c r="AT76" s="11" t="n">
        <v>4223509311</v>
      </c>
      <c r="AU76" s="11" t="n">
        <v>1624837466</v>
      </c>
      <c r="AV76" s="11" t="n">
        <v>3628781392</v>
      </c>
      <c r="AW76" s="11" t="n">
        <v>987923082</v>
      </c>
      <c r="AX76" s="11" t="n">
        <v>482008407</v>
      </c>
      <c r="AY76" s="11" t="n">
        <v>-67989873</v>
      </c>
      <c r="AZ76" s="11" t="n">
        <v>4081588</v>
      </c>
      <c r="BA76" s="11" t="n">
        <v>-52270540</v>
      </c>
      <c r="BB76" s="11" t="n">
        <v>48671322</v>
      </c>
      <c r="BC76" s="11" t="n">
        <v>36335943</v>
      </c>
      <c r="BD76" s="11" t="n">
        <v>581398167</v>
      </c>
      <c r="BE76" s="11" t="n">
        <v>118160022</v>
      </c>
      <c r="BF76" s="11" t="n">
        <v>1241600616</v>
      </c>
      <c r="BG76" s="11" t="n">
        <v>847833648</v>
      </c>
      <c r="BH76" s="11" t="n">
        <v>-454071692</v>
      </c>
      <c r="BI76" s="11" t="n">
        <v>341664342</v>
      </c>
      <c r="BJ76" s="11" t="n">
        <v>259820209</v>
      </c>
      <c r="BK76" s="11" t="n">
        <v>1039127388</v>
      </c>
      <c r="BL76" s="11" t="n">
        <v>714962042</v>
      </c>
      <c r="BM76" s="11" t="n">
        <v>56619384</v>
      </c>
      <c r="BN76" s="11" t="n">
        <v>-7057788</v>
      </c>
      <c r="BO76" s="11" t="n">
        <v>555106458</v>
      </c>
      <c r="BP76" s="11" t="n">
        <v>-48867088</v>
      </c>
      <c r="BQ76" s="11" t="n">
        <v>625901896</v>
      </c>
      <c r="BR76" s="11" t="n">
        <v>-193335837</v>
      </c>
      <c r="BS76" s="11" t="n">
        <v>-365816991</v>
      </c>
      <c r="BT76" s="11" t="n">
        <v>2221410</v>
      </c>
      <c r="BU76" s="11" t="n">
        <v>-130964</v>
      </c>
      <c r="BV76" s="11" t="n">
        <v>1719104</v>
      </c>
      <c r="BW76" s="11" t="n">
        <v>-1572447</v>
      </c>
      <c r="BX76" s="11" t="n">
        <v>-1186185</v>
      </c>
      <c r="BY76" s="11" t="n">
        <v>-5080186</v>
      </c>
      <c r="BZ76" s="11" t="n">
        <v>61789756</v>
      </c>
      <c r="CA76" s="11" t="n">
        <v>62823837</v>
      </c>
      <c r="CB76" s="11" t="n">
        <v>-21844035</v>
      </c>
      <c r="CC76" s="11" t="n">
        <v>288616</v>
      </c>
      <c r="CD76" s="11" t="n">
        <v>-7299861</v>
      </c>
      <c r="CE76" s="11" t="n">
        <v>-1424887</v>
      </c>
      <c r="CF76" s="11" t="n">
        <v>92356578</v>
      </c>
      <c r="CG76" s="11" t="n">
        <v>16089742</v>
      </c>
      <c r="CH76" s="11" t="n">
        <v>49009089</v>
      </c>
      <c r="CI76" s="11" t="n">
        <v>-644040264</v>
      </c>
      <c r="CJ76" s="11" t="n">
        <v>-3113208</v>
      </c>
      <c r="CK76" s="11" t="n">
        <v>-692227728</v>
      </c>
      <c r="CL76" s="11" t="n">
        <v>150653610</v>
      </c>
      <c r="CM76" s="11" t="n">
        <v>326612274</v>
      </c>
      <c r="CN76" s="11" t="n">
        <v>4704099092</v>
      </c>
      <c r="CO76" s="11" t="n">
        <v>-2670233240</v>
      </c>
      <c r="CP76" s="11" t="n">
        <v>5793213351</v>
      </c>
      <c r="CQ76" s="11" t="n">
        <v>7693102839</v>
      </c>
      <c r="CR76" s="11" t="n">
        <v>-5068970064</v>
      </c>
      <c r="CS76" s="11" t="n">
        <v>1128384402</v>
      </c>
      <c r="CT76" s="11" t="n">
        <v>2422778230</v>
      </c>
      <c r="CU76" s="11" t="n">
        <v>5602045152</v>
      </c>
      <c r="CV76" s="11" t="n">
        <v>6914549288</v>
      </c>
      <c r="CW76" s="11" t="n">
        <v>1138346331</v>
      </c>
      <c r="CX76" s="11" t="n">
        <v>12930652</v>
      </c>
      <c r="CY76" s="11" t="n">
        <v>61003448</v>
      </c>
      <c r="CZ76" s="11" t="n">
        <v>96071991</v>
      </c>
      <c r="DA76" s="11" t="n">
        <v>5442375</v>
      </c>
      <c r="DB76" s="11" t="n">
        <v>-13603248</v>
      </c>
      <c r="DC76" s="11" t="n">
        <v>3489132</v>
      </c>
      <c r="DD76" s="11" t="n">
        <v>6583832</v>
      </c>
      <c r="DE76" s="11" t="n">
        <v>117530052</v>
      </c>
      <c r="DF76" s="11" t="n">
        <v>36786268</v>
      </c>
      <c r="DG76" s="11" t="n">
        <v>47447931</v>
      </c>
      <c r="DH76" s="11" t="n">
        <v>-499183264</v>
      </c>
      <c r="DI76" s="11" t="n">
        <v>-585401505</v>
      </c>
      <c r="DJ76" s="11" t="n">
        <v>114706127</v>
      </c>
      <c r="DK76" s="11" t="n">
        <v>947053542</v>
      </c>
      <c r="DL76" s="11" t="n">
        <v>751254598</v>
      </c>
      <c r="DM76" s="11" t="n">
        <v>1098631416</v>
      </c>
      <c r="DN76" s="11" t="n">
        <v>750548244</v>
      </c>
      <c r="DO76" s="11" t="n">
        <v>133493876</v>
      </c>
      <c r="DP76" s="11" t="n">
        <v>329017437</v>
      </c>
      <c r="DQ76" s="11" t="n">
        <v>876285330</v>
      </c>
      <c r="DR76" s="11" t="n">
        <v>1127271</v>
      </c>
      <c r="DS76" s="11" t="n">
        <v>-8715</v>
      </c>
      <c r="DT76" s="11" t="n">
        <v>1828869</v>
      </c>
      <c r="DU76" s="11" t="n">
        <v>-26233</v>
      </c>
      <c r="DV76" s="11" t="n">
        <v>1585114</v>
      </c>
      <c r="DW76" s="11" t="n">
        <v>-31830</v>
      </c>
      <c r="DX76" s="11" t="n">
        <v>16329</v>
      </c>
      <c r="DY76" s="11" t="n">
        <v>-3287550</v>
      </c>
      <c r="DZ76" s="11" t="n">
        <v>356705409</v>
      </c>
      <c r="EA76" s="11" t="n">
        <v>-9234876</v>
      </c>
      <c r="EB76" s="11" t="n">
        <v>318025452</v>
      </c>
      <c r="EC76" s="11" t="n">
        <v>50753277</v>
      </c>
      <c r="ED76" s="11" t="n">
        <v>49349190</v>
      </c>
      <c r="EE76" s="11" t="n">
        <v>2575965</v>
      </c>
      <c r="EF76" s="11" t="n">
        <v>-5110</v>
      </c>
      <c r="EG76" s="11" t="n">
        <v>2164120</v>
      </c>
      <c r="EH76" s="11" t="n">
        <v>-485205</v>
      </c>
      <c r="EI76" s="11" t="n">
        <v>-333900</v>
      </c>
      <c r="EJ76" s="11" t="n">
        <v>-6681557</v>
      </c>
      <c r="EK76" s="11" t="n">
        <v>14378222</v>
      </c>
      <c r="EL76" s="11" t="n">
        <v>92413473</v>
      </c>
      <c r="EM76" s="11" t="n">
        <v>74896419</v>
      </c>
      <c r="EN76" s="11" t="n">
        <v>5584788</v>
      </c>
      <c r="EO76" s="11" t="n">
        <v>-1441851</v>
      </c>
      <c r="EP76" s="11" t="n">
        <v>-1014646</v>
      </c>
      <c r="EQ76" s="11" t="n">
        <v>80346678</v>
      </c>
      <c r="ER76" s="11" t="n">
        <v>64785712</v>
      </c>
      <c r="ES76" s="11" t="n">
        <v>-2128623</v>
      </c>
      <c r="ET76" s="11" t="n">
        <v>82596</v>
      </c>
      <c r="EU76" s="11" t="n">
        <v>-10884486</v>
      </c>
      <c r="EV76" s="11" t="n">
        <v>265696</v>
      </c>
      <c r="EW76" s="11" t="n">
        <v>-10316632</v>
      </c>
      <c r="EX76" s="11" t="n">
        <v>-286221</v>
      </c>
      <c r="EY76" s="11" t="n">
        <v>622497</v>
      </c>
      <c r="EZ76" s="11" t="n">
        <v>-49854</v>
      </c>
      <c r="FA76" s="11" t="n">
        <v>-132</v>
      </c>
      <c r="FB76" s="11" t="n">
        <v>-36384</v>
      </c>
      <c r="FC76" s="11" t="n">
        <v>4545</v>
      </c>
      <c r="FD76" s="11" t="n">
        <v>-6009</v>
      </c>
      <c r="FE76" s="11" t="n">
        <v>177766</v>
      </c>
      <c r="FF76" s="11" t="n">
        <v>-1432324</v>
      </c>
      <c r="FG76" s="11" t="n">
        <v>-771699</v>
      </c>
      <c r="FH76" s="11" t="n">
        <v>1167597</v>
      </c>
      <c r="FI76" s="11" t="n">
        <v>-133528</v>
      </c>
      <c r="FJ76" s="11" t="n">
        <v>14163</v>
      </c>
      <c r="FK76" s="11" t="n">
        <v>-18335</v>
      </c>
      <c r="FL76" s="11" t="n">
        <v>-693774</v>
      </c>
      <c r="FM76" s="11" t="n">
        <v>1024766</v>
      </c>
      <c r="FN76" s="11" t="n">
        <v>-13431</v>
      </c>
      <c r="FO76" s="11" t="n">
        <v>5607216</v>
      </c>
      <c r="FP76" s="11" t="n">
        <v>-98224</v>
      </c>
      <c r="FQ76" s="11" t="n">
        <v>6785248</v>
      </c>
      <c r="FR76" s="11" t="n">
        <v>-2884002</v>
      </c>
      <c r="FS76" s="11" t="n">
        <v>-5431290</v>
      </c>
      <c r="FT76" s="11" t="n">
        <v>-5093432</v>
      </c>
      <c r="FU76" s="11" t="n">
        <v>-193790896</v>
      </c>
      <c r="FV76" s="11" t="n">
        <v>399484023</v>
      </c>
      <c r="FW76" s="11" t="n">
        <v>673474803</v>
      </c>
      <c r="FX76" s="11" t="n">
        <v>9558240</v>
      </c>
      <c r="FY76" s="11" t="n">
        <v>-9617676</v>
      </c>
      <c r="FZ76" s="11" t="n">
        <v>-16731172</v>
      </c>
      <c r="GA76" s="11" t="n">
        <v>383738532</v>
      </c>
      <c r="GB76" s="11" t="n">
        <v>627255844</v>
      </c>
      <c r="GC76" s="11" t="n">
        <v>40556829</v>
      </c>
      <c r="GD76" s="11" t="n">
        <v>68248</v>
      </c>
      <c r="GE76" s="11" t="n">
        <v>-1625488</v>
      </c>
      <c r="GF76" s="11" t="n">
        <v>1432203</v>
      </c>
      <c r="GG76" s="11" t="n">
        <v>3686199</v>
      </c>
      <c r="GH76" s="11" t="n">
        <v>-54112</v>
      </c>
      <c r="GI76" s="11" t="n">
        <v>10014</v>
      </c>
      <c r="GJ76" s="11" t="n">
        <v>1534</v>
      </c>
      <c r="GK76" s="11" t="n">
        <v>897048</v>
      </c>
      <c r="GL76" s="11" t="n">
        <v>2886152</v>
      </c>
      <c r="GM76" s="11" t="n">
        <v>-508683</v>
      </c>
      <c r="GN76" s="11" t="n">
        <v>3835264</v>
      </c>
      <c r="GO76" s="11" t="n">
        <v>-6163275</v>
      </c>
      <c r="GP76" s="11" t="n">
        <v>-11545607</v>
      </c>
      <c r="GQ76" s="11" t="n">
        <v>66308946</v>
      </c>
      <c r="GR76" s="11" t="n">
        <v>67836410</v>
      </c>
      <c r="GS76" s="11" t="n">
        <v>90601998</v>
      </c>
      <c r="GT76" s="11" t="n">
        <v>4323948</v>
      </c>
      <c r="GU76" s="11" t="n">
        <v>9067996</v>
      </c>
      <c r="GV76" s="11" t="n">
        <v>-1555551</v>
      </c>
      <c r="GW76" s="11" t="n">
        <v>80299074</v>
      </c>
      <c r="GX76" s="11" t="n">
        <v>821352</v>
      </c>
      <c r="GY76" s="11" t="n">
        <v>-138414678</v>
      </c>
      <c r="GZ76" s="11" t="n">
        <v>536522</v>
      </c>
      <c r="HA76" s="11" t="n">
        <v>-123165188</v>
      </c>
      <c r="HB76" s="11" t="n">
        <v>-20374053</v>
      </c>
      <c r="HC76" s="11" t="n">
        <v>-18969537</v>
      </c>
      <c r="HD76" s="11" t="n">
        <v>-262458</v>
      </c>
      <c r="HE76" s="11" t="n">
        <v>14966</v>
      </c>
      <c r="HF76" s="11" t="n">
        <v>-202748</v>
      </c>
      <c r="HG76" s="11" t="n">
        <v>180705</v>
      </c>
      <c r="HH76" s="11" t="n">
        <v>134757</v>
      </c>
      <c r="HI76" s="11" t="n">
        <v>-2350636</v>
      </c>
      <c r="HJ76" s="11" t="n">
        <v>-5189480</v>
      </c>
      <c r="HK76" s="11" t="n">
        <v>-36962907</v>
      </c>
      <c r="HL76" s="11" t="n">
        <v>-28770921</v>
      </c>
      <c r="HM76" s="11" t="n">
        <v>2111776</v>
      </c>
      <c r="HN76" s="11" t="n">
        <v>489279</v>
      </c>
      <c r="HO76" s="11" t="n">
        <v>433673</v>
      </c>
      <c r="HP76" s="11" t="n">
        <v>-32126742</v>
      </c>
      <c r="HQ76" s="11" t="n">
        <v>-24889946</v>
      </c>
      <c r="HR76" s="11" t="n">
        <v>830757</v>
      </c>
      <c r="HS76" s="11" t="n">
        <v>143767092</v>
      </c>
      <c r="HT76" s="11" t="n">
        <v>5164012</v>
      </c>
      <c r="HU76" s="11" t="n">
        <v>127476776</v>
      </c>
      <c r="HV76" s="11" t="n">
        <v>22438626</v>
      </c>
      <c r="HW76" s="11" t="n">
        <v>19365570</v>
      </c>
      <c r="HX76" s="11" t="n">
        <v>-964153330</v>
      </c>
      <c r="HY76" s="11" t="n">
        <v>76025884</v>
      </c>
      <c r="HZ76" s="11" t="n">
        <v>-215153601</v>
      </c>
      <c r="IA76" s="11" t="n">
        <v>56876997</v>
      </c>
      <c r="IB76" s="11" t="n">
        <v>857635464</v>
      </c>
      <c r="IC76" s="11" t="n">
        <v>142753254</v>
      </c>
      <c r="ID76" s="11" t="n">
        <v>131915392</v>
      </c>
      <c r="IE76" s="11" t="n">
        <v>-202640280</v>
      </c>
      <c r="IF76" s="11" t="n">
        <v>40191476</v>
      </c>
      <c r="IG76" s="11" t="n">
        <v>37858551</v>
      </c>
      <c r="IH76" s="11" t="n">
        <v>-4269734</v>
      </c>
      <c r="II76" s="11" t="n">
        <v>-5245996</v>
      </c>
      <c r="IJ76" s="11" t="n">
        <v>-38800209</v>
      </c>
      <c r="IK76" s="11" t="n">
        <v>-29775627</v>
      </c>
      <c r="IL76" s="11" t="n">
        <v>3597496</v>
      </c>
      <c r="IM76" s="11" t="n">
        <v>-727272</v>
      </c>
      <c r="IN76" s="11" t="n">
        <v>-494382</v>
      </c>
      <c r="IO76" s="11" t="n">
        <v>-33584964</v>
      </c>
      <c r="IP76" s="11" t="n">
        <v>-25695096</v>
      </c>
      <c r="IQ76" s="11" t="n">
        <v>579159</v>
      </c>
      <c r="IR76" s="11" t="n">
        <v>37439408</v>
      </c>
      <c r="IS76" s="11" t="n">
        <v>253818183</v>
      </c>
      <c r="IT76" s="11" t="n">
        <v>201375149</v>
      </c>
      <c r="IU76" s="11" t="n">
        <v>-28368906</v>
      </c>
      <c r="IV76" s="11" t="n">
        <v>-13670318</v>
      </c>
      <c r="IW76" s="11" t="n">
        <v>59910600</v>
      </c>
      <c r="IX76" s="11" t="n">
        <v>-220233516</v>
      </c>
      <c r="IY76" s="11" t="n">
        <v>-174005140</v>
      </c>
      <c r="IZ76" s="11" t="n">
        <v>4911633</v>
      </c>
      <c r="JA76" s="11" t="n">
        <v>51434394</v>
      </c>
      <c r="JB76" s="11" t="n">
        <v>-2211096</v>
      </c>
      <c r="JC76" s="11" t="n">
        <v>-154280</v>
      </c>
      <c r="JD76" s="11" t="n">
        <v>-1507504</v>
      </c>
      <c r="JE76" s="11" t="n">
        <v>-1284276</v>
      </c>
      <c r="JF76" s="11" t="n">
        <v>-1843476</v>
      </c>
      <c r="JG76" s="11" t="n">
        <v>27443676</v>
      </c>
      <c r="JH76" s="11" t="n">
        <v>-77517768</v>
      </c>
      <c r="JI76" s="11" t="n">
        <v>161579520</v>
      </c>
      <c r="JJ76" s="11" t="n">
        <v>259597188</v>
      </c>
      <c r="JK76" s="11" t="n">
        <v>-24119664</v>
      </c>
      <c r="JL76" s="11" t="n">
        <v>-4665906</v>
      </c>
      <c r="JM76" s="11" t="n">
        <v>-4767366</v>
      </c>
      <c r="JN76" s="11" t="n">
        <v>155188188</v>
      </c>
      <c r="JO76" s="11" t="n">
        <v>241620420</v>
      </c>
      <c r="JP76" s="11" t="n">
        <v>16067358</v>
      </c>
      <c r="JQ76" s="11" t="n">
        <v>89588</v>
      </c>
      <c r="JR76" s="11" t="n">
        <v>-64088</v>
      </c>
      <c r="JS76" s="11" t="n">
        <v>896844</v>
      </c>
      <c r="JT76" s="11" t="n">
        <v>951840</v>
      </c>
      <c r="JU76" s="11" t="n">
        <v>-65552</v>
      </c>
      <c r="JV76" s="11" t="n">
        <v>10542</v>
      </c>
      <c r="JW76" s="11" t="n">
        <v>-8278</v>
      </c>
      <c r="JX76" s="11" t="n">
        <v>648684</v>
      </c>
      <c r="JY76" s="11" t="n">
        <v>702388</v>
      </c>
      <c r="JZ76" s="11" t="n">
        <v>-194874</v>
      </c>
      <c r="KA76" s="11" t="n">
        <v>-2345376</v>
      </c>
      <c r="KB76" s="11" t="n">
        <v>-4584654</v>
      </c>
      <c r="KC76" s="11" t="n">
        <v>-1295826</v>
      </c>
      <c r="KD76" s="11" t="n">
        <v>26758692</v>
      </c>
      <c r="KE76" s="11" t="n">
        <v>25845756</v>
      </c>
      <c r="KF76" s="11" t="n">
        <v>35738082</v>
      </c>
      <c r="KG76" s="11" t="n">
        <v>3630600</v>
      </c>
      <c r="KH76" s="11" t="n">
        <v>731448</v>
      </c>
      <c r="KI76" s="11" t="n">
        <v>-576108</v>
      </c>
      <c r="KJ76" s="11" t="n">
        <v>31663584</v>
      </c>
      <c r="KK76" s="11" t="n">
        <v>-13103104</v>
      </c>
      <c r="KL76" s="11" t="n">
        <v>79300864</v>
      </c>
      <c r="KM76" s="11" t="n">
        <v>-164390748</v>
      </c>
      <c r="KN76" s="11" t="n">
        <v>-270544236</v>
      </c>
      <c r="KO76" s="11" t="n">
        <v>14466816</v>
      </c>
      <c r="KP76" s="11" t="n">
        <v>-3859716</v>
      </c>
      <c r="KQ76" s="11" t="n">
        <v>-7952756</v>
      </c>
      <c r="KR76" s="11" t="n">
        <v>-158140536</v>
      </c>
      <c r="KS76" s="11" t="n">
        <v>-250570648</v>
      </c>
      <c r="KT76" s="11" t="n">
        <v>-20081928</v>
      </c>
      <c r="KU76" s="11" t="n">
        <v>-524890752</v>
      </c>
      <c r="KV76" s="11" t="n">
        <v>1082853558</v>
      </c>
      <c r="KW76" s="11" t="n">
        <v>1819549854</v>
      </c>
      <c r="KX76" s="11" t="n">
        <v>31745196</v>
      </c>
      <c r="KY76" s="11" t="n">
        <v>-174440196</v>
      </c>
      <c r="KZ76" s="11" t="n">
        <v>469917126</v>
      </c>
      <c r="LA76" s="11" t="n">
        <v>-1040937624</v>
      </c>
      <c r="LB76" s="11" t="n">
        <v>-1690344888</v>
      </c>
      <c r="LC76" s="11" t="n">
        <v>-121247946</v>
      </c>
      <c r="LD76" s="11" t="n">
        <v>448172676</v>
      </c>
      <c r="LE76" s="11" t="n">
        <v>-2833280</v>
      </c>
      <c r="LF76" s="11" t="n">
        <v>1345938</v>
      </c>
      <c r="LG76" s="11" t="n">
        <v>5321098</v>
      </c>
      <c r="LH76" s="11" t="n">
        <v>27400452</v>
      </c>
      <c r="LI76" s="11" t="n">
        <v>26296052</v>
      </c>
      <c r="LJ76" s="11" t="n">
        <v>38968134</v>
      </c>
      <c r="LK76" s="11" t="n">
        <v>-651432</v>
      </c>
      <c r="LL76" s="11" t="n">
        <v>-4155272</v>
      </c>
      <c r="LM76" s="11" t="n">
        <v>750510</v>
      </c>
      <c r="LN76" s="11" t="n">
        <v>34139316</v>
      </c>
      <c r="LO76" s="11" t="n">
        <v>-180228816</v>
      </c>
      <c r="LP76" s="11" t="n">
        <v>-180285456</v>
      </c>
      <c r="LQ76" s="11" t="n">
        <v>-252838458</v>
      </c>
      <c r="LR76" s="11" t="n">
        <v>70800156</v>
      </c>
      <c r="LS76" s="11" t="n">
        <v>222871032</v>
      </c>
    </row>
    <row r="77" customFormat="false" ht="15" hidden="false" customHeight="true" outlineLevel="0" collapsed="false">
      <c r="A77" s="7" t="s">
        <v>143</v>
      </c>
      <c r="B77" s="11" t="n">
        <v>-83769</v>
      </c>
      <c r="C77" s="11" t="n">
        <v>6662813</v>
      </c>
      <c r="D77" s="11" t="n">
        <v>-7484</v>
      </c>
      <c r="E77" s="11" t="n">
        <v>-6353089</v>
      </c>
      <c r="F77" s="11" t="n">
        <v>-673531</v>
      </c>
      <c r="G77" s="11" t="n">
        <v>-2878860</v>
      </c>
      <c r="H77" s="11" t="n">
        <v>5295519</v>
      </c>
      <c r="I77" s="11" t="n">
        <v>1632485</v>
      </c>
      <c r="J77" s="11" t="n">
        <v>2344610</v>
      </c>
      <c r="K77" s="11" t="n">
        <v>-122</v>
      </c>
      <c r="L77" s="11" t="n">
        <v>-1546912</v>
      </c>
      <c r="M77" s="11" t="n">
        <v>-139588</v>
      </c>
      <c r="N77" s="11" t="n">
        <v>1901472</v>
      </c>
      <c r="O77" s="11" t="n">
        <v>-18465</v>
      </c>
      <c r="P77" s="11" t="n">
        <v>1127675</v>
      </c>
      <c r="Q77" s="11" t="n">
        <v>-199766</v>
      </c>
      <c r="R77" s="11" t="n">
        <v>-54778386</v>
      </c>
      <c r="S77" s="11" t="n">
        <v>-7748914</v>
      </c>
      <c r="T77" s="11" t="n">
        <v>-231815544</v>
      </c>
      <c r="U77" s="11" t="n">
        <v>149684915</v>
      </c>
      <c r="V77" s="11" t="n">
        <v>-44001325</v>
      </c>
      <c r="W77" s="11" t="n">
        <v>-128950</v>
      </c>
      <c r="X77" s="11" t="n">
        <v>-11490</v>
      </c>
      <c r="Y77" s="11" t="n">
        <v>174072</v>
      </c>
      <c r="Z77" s="11" t="n">
        <v>-9362</v>
      </c>
      <c r="AA77" s="11" t="n">
        <v>98370</v>
      </c>
      <c r="AB77" s="11" t="n">
        <v>1851260</v>
      </c>
      <c r="AC77" s="11" t="n">
        <v>197370912</v>
      </c>
      <c r="AD77" s="11" t="n">
        <v>-99189577</v>
      </c>
      <c r="AE77" s="11" t="n">
        <v>55377395</v>
      </c>
      <c r="AF77" s="11" t="n">
        <v>20085648</v>
      </c>
      <c r="AG77" s="11" t="n">
        <v>-8972623</v>
      </c>
      <c r="AH77" s="11" t="n">
        <v>6346605</v>
      </c>
      <c r="AI77" s="11" t="n">
        <v>119568372</v>
      </c>
      <c r="AJ77" s="11" t="n">
        <v>75810180</v>
      </c>
      <c r="AK77" s="11" t="n">
        <v>-71646650</v>
      </c>
      <c r="AL77" s="11" t="n">
        <v>-1498569</v>
      </c>
      <c r="AM77" s="11" t="n">
        <v>-25848</v>
      </c>
      <c r="AN77" s="11" t="n">
        <v>1335120</v>
      </c>
      <c r="AO77" s="11" t="n">
        <v>-17625</v>
      </c>
      <c r="AP77" s="11" t="n">
        <v>1260372</v>
      </c>
      <c r="AQ77" s="11" t="n">
        <v>-2056881</v>
      </c>
      <c r="AR77" s="11" t="n">
        <v>-347028</v>
      </c>
      <c r="AS77" s="11" t="n">
        <v>2189780</v>
      </c>
      <c r="AT77" s="11" t="n">
        <v>7459649</v>
      </c>
      <c r="AU77" s="11" t="n">
        <v>13450856</v>
      </c>
      <c r="AV77" s="11" t="n">
        <v>-48746584</v>
      </c>
      <c r="AW77" s="11" t="n">
        <v>68866918</v>
      </c>
      <c r="AX77" s="11" t="n">
        <v>-1602129</v>
      </c>
      <c r="AY77" s="11" t="n">
        <v>2079608</v>
      </c>
      <c r="AZ77" s="11" t="n">
        <v>206252</v>
      </c>
      <c r="BA77" s="11" t="n">
        <v>1000912</v>
      </c>
      <c r="BB77" s="11" t="n">
        <v>-1817764</v>
      </c>
      <c r="BC77" s="11" t="n">
        <v>-534728</v>
      </c>
      <c r="BD77" s="11" t="n">
        <v>-12071505</v>
      </c>
      <c r="BE77" s="11" t="n">
        <v>49703732</v>
      </c>
      <c r="BF77" s="11" t="n">
        <v>-71594441</v>
      </c>
      <c r="BG77" s="11" t="n">
        <v>-300068</v>
      </c>
      <c r="BH77" s="11" t="n">
        <v>10739528</v>
      </c>
      <c r="BI77" s="11" t="n">
        <v>-17652194</v>
      </c>
      <c r="BJ77" s="11" t="n">
        <v>-3133697</v>
      </c>
      <c r="BK77" s="11" t="n">
        <v>8987232</v>
      </c>
      <c r="BL77" s="11" t="n">
        <v>12635860</v>
      </c>
      <c r="BM77" s="11" t="n">
        <v>-18146737</v>
      </c>
      <c r="BN77" s="11" t="n">
        <v>725642</v>
      </c>
      <c r="BO77" s="11" t="n">
        <v>-9695488</v>
      </c>
      <c r="BP77" s="11" t="n">
        <v>2990438</v>
      </c>
      <c r="BQ77" s="11" t="n">
        <v>-69292552</v>
      </c>
      <c r="BR77" s="11" t="n">
        <v>57900355</v>
      </c>
      <c r="BS77" s="11" t="n">
        <v>-10460355</v>
      </c>
      <c r="BT77" s="11" t="n">
        <v>479264</v>
      </c>
      <c r="BU77" s="11" t="n">
        <v>43046</v>
      </c>
      <c r="BV77" s="11" t="n">
        <v>-584888</v>
      </c>
      <c r="BW77" s="11" t="n">
        <v>2702</v>
      </c>
      <c r="BX77" s="11" t="n">
        <v>-348464</v>
      </c>
      <c r="BY77" s="11" t="n">
        <v>-2550240</v>
      </c>
      <c r="BZ77" s="11" t="n">
        <v>53580416</v>
      </c>
      <c r="CA77" s="11" t="n">
        <v>-38277488</v>
      </c>
      <c r="CB77" s="11" t="n">
        <v>11564656</v>
      </c>
      <c r="CC77" s="11" t="n">
        <v>1700144</v>
      </c>
      <c r="CD77" s="11" t="n">
        <v>-3423587</v>
      </c>
      <c r="CE77" s="11" t="n">
        <v>-815531</v>
      </c>
      <c r="CF77" s="11" t="n">
        <v>46411308</v>
      </c>
      <c r="CG77" s="11" t="n">
        <v>24843964</v>
      </c>
      <c r="CH77" s="11" t="n">
        <v>-27765655</v>
      </c>
      <c r="CI77" s="11" t="n">
        <v>17779642</v>
      </c>
      <c r="CJ77" s="11" t="n">
        <v>2143448</v>
      </c>
      <c r="CK77" s="11" t="n">
        <v>77649328</v>
      </c>
      <c r="CL77" s="11" t="n">
        <v>-51259776</v>
      </c>
      <c r="CM77" s="11" t="n">
        <v>14509378</v>
      </c>
      <c r="CN77" s="11" t="n">
        <v>-101910710</v>
      </c>
      <c r="CO77" s="11" t="n">
        <v>660309960</v>
      </c>
      <c r="CP77" s="11" t="n">
        <v>-733776491</v>
      </c>
      <c r="CQ77" s="11" t="n">
        <v>62435563</v>
      </c>
      <c r="CR77" s="11" t="n">
        <v>524680880</v>
      </c>
      <c r="CS77" s="11" t="n">
        <v>-382276084</v>
      </c>
      <c r="CT77" s="11" t="n">
        <v>90692962</v>
      </c>
      <c r="CU77" s="11" t="n">
        <v>-1300921064</v>
      </c>
      <c r="CV77" s="11" t="n">
        <v>-266181248</v>
      </c>
      <c r="CW77" s="11" t="n">
        <v>418805255</v>
      </c>
      <c r="CX77" s="11" t="n">
        <v>360970</v>
      </c>
      <c r="CY77" s="11" t="n">
        <v>65615864</v>
      </c>
      <c r="CZ77" s="11" t="n">
        <v>-33921694</v>
      </c>
      <c r="DA77" s="11" t="n">
        <v>18121040</v>
      </c>
      <c r="DB77" s="11" t="n">
        <v>6333936</v>
      </c>
      <c r="DC77" s="11" t="n">
        <v>-3048776</v>
      </c>
      <c r="DD77" s="11" t="n">
        <v>1890030</v>
      </c>
      <c r="DE77" s="11" t="n">
        <v>41027696</v>
      </c>
      <c r="DF77" s="11" t="n">
        <v>25593384</v>
      </c>
      <c r="DG77" s="11" t="n">
        <v>-24561674</v>
      </c>
      <c r="DH77" s="11" t="n">
        <v>-389507920</v>
      </c>
      <c r="DI77" s="11" t="n">
        <v>209332405</v>
      </c>
      <c r="DJ77" s="11" t="n">
        <v>-105135155</v>
      </c>
      <c r="DK77" s="11" t="n">
        <v>1448203852</v>
      </c>
      <c r="DL77" s="11" t="n">
        <v>442570204</v>
      </c>
      <c r="DM77" s="11" t="n">
        <v>-628745679</v>
      </c>
      <c r="DN77" s="11" t="n">
        <v>383343928</v>
      </c>
      <c r="DO77" s="11" t="n">
        <v>194648616</v>
      </c>
      <c r="DP77" s="11" t="n">
        <v>-208080971</v>
      </c>
      <c r="DQ77" s="11" t="n">
        <v>-288143756</v>
      </c>
      <c r="DR77" s="11" t="n">
        <v>32723</v>
      </c>
      <c r="DS77" s="11" t="n">
        <v>514</v>
      </c>
      <c r="DT77" s="11" t="n">
        <v>-46876</v>
      </c>
      <c r="DU77" s="11" t="n">
        <v>344</v>
      </c>
      <c r="DV77" s="11" t="n">
        <v>-54438</v>
      </c>
      <c r="DW77" s="11" t="n">
        <v>3639</v>
      </c>
      <c r="DX77" s="11" t="n">
        <v>-11896</v>
      </c>
      <c r="DY77" s="11" t="n">
        <v>-43806</v>
      </c>
      <c r="DZ77" s="11" t="n">
        <v>1246689</v>
      </c>
      <c r="EA77" s="11" t="n">
        <v>-290465</v>
      </c>
      <c r="EB77" s="11" t="n">
        <v>3205306</v>
      </c>
      <c r="EC77" s="11" t="n">
        <v>1779170</v>
      </c>
      <c r="ED77" s="11" t="n">
        <v>1583887</v>
      </c>
      <c r="EE77" s="11" t="n">
        <v>-43170</v>
      </c>
      <c r="EF77" s="11" t="n">
        <v>-4102</v>
      </c>
      <c r="EG77" s="11" t="n">
        <v>-22528</v>
      </c>
      <c r="EH77" s="11" t="n">
        <v>32818</v>
      </c>
      <c r="EI77" s="11" t="n">
        <v>8954</v>
      </c>
      <c r="EJ77" s="11" t="n">
        <v>402988</v>
      </c>
      <c r="EK77" s="11" t="n">
        <v>-2517638</v>
      </c>
      <c r="EL77" s="11" t="n">
        <v>-2687317</v>
      </c>
      <c r="EM77" s="11" t="n">
        <v>-1815716</v>
      </c>
      <c r="EN77" s="11" t="n">
        <v>-449522</v>
      </c>
      <c r="EO77" s="11" t="n">
        <v>51005</v>
      </c>
      <c r="EP77" s="11" t="n">
        <v>-88944</v>
      </c>
      <c r="EQ77" s="11" t="n">
        <v>-3316278</v>
      </c>
      <c r="ER77" s="11" t="n">
        <v>-1469710</v>
      </c>
      <c r="ES77" s="11" t="n">
        <v>822931</v>
      </c>
      <c r="ET77" s="11" t="n">
        <v>-14434</v>
      </c>
      <c r="EU77" s="11" t="n">
        <v>707736</v>
      </c>
      <c r="EV77" s="11" t="n">
        <v>-64156</v>
      </c>
      <c r="EW77" s="11" t="n">
        <v>2266444</v>
      </c>
      <c r="EX77" s="11" t="n">
        <v>-109065</v>
      </c>
      <c r="EY77" s="11" t="n">
        <v>773465</v>
      </c>
      <c r="EZ77" s="11" t="n">
        <v>-9560</v>
      </c>
      <c r="FA77" s="11" t="n">
        <v>-856</v>
      </c>
      <c r="FB77" s="11" t="n">
        <v>11588</v>
      </c>
      <c r="FC77" s="11" t="n">
        <v>-108</v>
      </c>
      <c r="FD77" s="11" t="n">
        <v>6902</v>
      </c>
      <c r="FE77" s="11" t="n">
        <v>84464</v>
      </c>
      <c r="FF77" s="11" t="n">
        <v>-2069312</v>
      </c>
      <c r="FG77" s="11" t="n">
        <v>77532</v>
      </c>
      <c r="FH77" s="11" t="n">
        <v>-850708</v>
      </c>
      <c r="FI77" s="11" t="n">
        <v>-82904</v>
      </c>
      <c r="FJ77" s="11" t="n">
        <v>5988</v>
      </c>
      <c r="FK77" s="11" t="n">
        <v>-15192</v>
      </c>
      <c r="FL77" s="11" t="n">
        <v>-70602</v>
      </c>
      <c r="FM77" s="11" t="n">
        <v>-462802</v>
      </c>
      <c r="FN77" s="11" t="n">
        <v>46365</v>
      </c>
      <c r="FO77" s="11" t="n">
        <v>-397530</v>
      </c>
      <c r="FP77" s="11" t="n">
        <v>-42238</v>
      </c>
      <c r="FQ77" s="11" t="n">
        <v>-1620220</v>
      </c>
      <c r="FR77" s="11" t="n">
        <v>930790</v>
      </c>
      <c r="FS77" s="11" t="n">
        <v>-336784</v>
      </c>
      <c r="FT77" s="11" t="n">
        <v>3837972</v>
      </c>
      <c r="FU77" s="11" t="n">
        <v>17022900</v>
      </c>
      <c r="FV77" s="11" t="n">
        <v>-42635235</v>
      </c>
      <c r="FW77" s="11" t="n">
        <v>-4788789</v>
      </c>
      <c r="FX77" s="11" t="n">
        <v>-13833788</v>
      </c>
      <c r="FY77" s="11" t="n">
        <v>4456315</v>
      </c>
      <c r="FZ77" s="11" t="n">
        <v>-3760311</v>
      </c>
      <c r="GA77" s="11" t="n">
        <v>-133911190</v>
      </c>
      <c r="GB77" s="11" t="n">
        <v>-33939406</v>
      </c>
      <c r="GC77" s="11" t="n">
        <v>47332835</v>
      </c>
      <c r="GD77" s="11" t="n">
        <v>-4400</v>
      </c>
      <c r="GE77" s="11" t="n">
        <v>-1392260</v>
      </c>
      <c r="GF77" s="11" t="n">
        <v>619460</v>
      </c>
      <c r="GG77" s="11" t="n">
        <v>-413150</v>
      </c>
      <c r="GH77" s="11" t="n">
        <v>-129996</v>
      </c>
      <c r="GI77" s="11" t="n">
        <v>55516</v>
      </c>
      <c r="GJ77" s="11" t="n">
        <v>-40170</v>
      </c>
      <c r="GK77" s="11" t="n">
        <v>-735140</v>
      </c>
      <c r="GL77" s="11" t="n">
        <v>-504372</v>
      </c>
      <c r="GM77" s="11" t="n">
        <v>442562</v>
      </c>
      <c r="GN77" s="11" t="n">
        <v>13253224</v>
      </c>
      <c r="GO77" s="11" t="n">
        <v>-5508704</v>
      </c>
      <c r="GP77" s="11" t="n">
        <v>4041780</v>
      </c>
      <c r="GQ77" s="11" t="n">
        <v>122794070</v>
      </c>
      <c r="GR77" s="11" t="n">
        <v>34463438</v>
      </c>
      <c r="GS77" s="11" t="n">
        <v>-51772723</v>
      </c>
      <c r="GT77" s="11" t="n">
        <v>4467386</v>
      </c>
      <c r="GU77" s="11" t="n">
        <v>-1583358</v>
      </c>
      <c r="GV77" s="11" t="n">
        <v>-704277</v>
      </c>
      <c r="GW77" s="11" t="n">
        <v>-26287072</v>
      </c>
      <c r="GX77" s="11" t="n">
        <v>-902</v>
      </c>
      <c r="GY77" s="11" t="n">
        <v>-317036</v>
      </c>
      <c r="GZ77" s="11" t="n">
        <v>-731</v>
      </c>
      <c r="HA77" s="11" t="n">
        <v>-481514</v>
      </c>
      <c r="HB77" s="11" t="n">
        <v>-738388</v>
      </c>
      <c r="HC77" s="11" t="n">
        <v>-348372</v>
      </c>
      <c r="HD77" s="11" t="n">
        <v>-6272</v>
      </c>
      <c r="HE77" s="11" t="n">
        <v>-2</v>
      </c>
      <c r="HF77" s="11" t="n">
        <v>-9064</v>
      </c>
      <c r="HG77" s="11" t="n">
        <v>-11498</v>
      </c>
      <c r="HH77" s="11" t="n">
        <v>-5800</v>
      </c>
      <c r="HI77" s="11" t="n">
        <v>4380</v>
      </c>
      <c r="HJ77" s="11" t="n">
        <v>162352</v>
      </c>
      <c r="HK77" s="11" t="n">
        <v>1093004</v>
      </c>
      <c r="HL77" s="11" t="n">
        <v>383792</v>
      </c>
      <c r="HM77" s="11" t="n">
        <v>-6278</v>
      </c>
      <c r="HN77" s="11" t="n">
        <v>-7681</v>
      </c>
      <c r="HO77" s="11" t="n">
        <v>-3928</v>
      </c>
      <c r="HP77" s="11" t="n">
        <v>1281930</v>
      </c>
      <c r="HQ77" s="11" t="n">
        <v>404504</v>
      </c>
      <c r="HR77" s="11" t="n">
        <v>-307172</v>
      </c>
      <c r="HS77" s="11" t="n">
        <v>458778</v>
      </c>
      <c r="HT77" s="11" t="n">
        <v>-7028</v>
      </c>
      <c r="HU77" s="11" t="n">
        <v>732952</v>
      </c>
      <c r="HV77" s="11" t="n">
        <v>1037516</v>
      </c>
      <c r="HW77" s="11" t="n">
        <v>510022</v>
      </c>
      <c r="HX77" s="11" t="n">
        <v>-2842013</v>
      </c>
      <c r="HY77" s="11" t="n">
        <v>12709690</v>
      </c>
      <c r="HZ77" s="11" t="n">
        <v>-10893844</v>
      </c>
      <c r="IA77" s="11" t="n">
        <v>2073088</v>
      </c>
      <c r="IB77" s="11" t="n">
        <v>4345752</v>
      </c>
      <c r="IC77" s="11" t="n">
        <v>6594030</v>
      </c>
      <c r="ID77" s="11" t="n">
        <v>3127699</v>
      </c>
      <c r="IE77" s="11" t="n">
        <v>-46146876</v>
      </c>
      <c r="IF77" s="11" t="n">
        <v>-10817318</v>
      </c>
      <c r="IG77" s="11" t="n">
        <v>16798892</v>
      </c>
      <c r="IH77" s="11" t="n">
        <v>-49886</v>
      </c>
      <c r="II77" s="11" t="n">
        <v>486376</v>
      </c>
      <c r="IJ77" s="11" t="n">
        <v>1366154</v>
      </c>
      <c r="IK77" s="11" t="n">
        <v>596392</v>
      </c>
      <c r="IL77" s="11" t="n">
        <v>72248</v>
      </c>
      <c r="IM77" s="11" t="n">
        <v>91888</v>
      </c>
      <c r="IN77" s="11" t="n">
        <v>46322</v>
      </c>
      <c r="IO77" s="11" t="n">
        <v>1082664</v>
      </c>
      <c r="IP77" s="11" t="n">
        <v>412104</v>
      </c>
      <c r="IQ77" s="11" t="n">
        <v>-170022</v>
      </c>
      <c r="IR77" s="11" t="n">
        <v>-1630966</v>
      </c>
      <c r="IS77" s="11" t="n">
        <v>-9647537</v>
      </c>
      <c r="IT77" s="11" t="n">
        <v>-3469076</v>
      </c>
      <c r="IU77" s="11" t="n">
        <v>49396218</v>
      </c>
      <c r="IV77" s="11" t="n">
        <v>14324264</v>
      </c>
      <c r="IW77" s="11" t="n">
        <v>-20334800</v>
      </c>
      <c r="IX77" s="11" t="n">
        <v>10967988</v>
      </c>
      <c r="IY77" s="11" t="n">
        <v>3509686</v>
      </c>
      <c r="IZ77" s="11" t="n">
        <v>-2568391</v>
      </c>
      <c r="JA77" s="11" t="n">
        <v>-9967626</v>
      </c>
      <c r="JB77" s="11" t="n">
        <v>159352</v>
      </c>
      <c r="JC77" s="11" t="n">
        <v>-1446</v>
      </c>
      <c r="JD77" s="11" t="n">
        <v>274868</v>
      </c>
      <c r="JE77" s="11" t="n">
        <v>322694</v>
      </c>
      <c r="JF77" s="11" t="n">
        <v>174986</v>
      </c>
      <c r="JG77" s="11" t="n">
        <v>-637384</v>
      </c>
      <c r="JH77" s="11" t="n">
        <v>11544160</v>
      </c>
      <c r="JI77" s="11" t="n">
        <v>-17026596</v>
      </c>
      <c r="JJ77" s="11" t="n">
        <v>-40924</v>
      </c>
      <c r="JK77" s="11" t="n">
        <v>994676</v>
      </c>
      <c r="JL77" s="11" t="n">
        <v>1445231</v>
      </c>
      <c r="JM77" s="11" t="n">
        <v>700289</v>
      </c>
      <c r="JN77" s="11" t="n">
        <v>-52746734</v>
      </c>
      <c r="JO77" s="11" t="n">
        <v>-12747346</v>
      </c>
      <c r="JP77" s="11" t="n">
        <v>18614200</v>
      </c>
      <c r="JQ77" s="11" t="n">
        <v>-10408</v>
      </c>
      <c r="JR77" s="11" t="n">
        <v>309984</v>
      </c>
      <c r="JS77" s="11" t="n">
        <v>212536</v>
      </c>
      <c r="JT77" s="11" t="n">
        <v>192096</v>
      </c>
      <c r="JU77" s="11" t="n">
        <v>15140</v>
      </c>
      <c r="JV77" s="11" t="n">
        <v>19148</v>
      </c>
      <c r="JW77" s="11" t="n">
        <v>9686</v>
      </c>
      <c r="JX77" s="11" t="n">
        <v>-261124</v>
      </c>
      <c r="JY77" s="11" t="n">
        <v>-9048</v>
      </c>
      <c r="JZ77" s="11" t="n">
        <v>155614</v>
      </c>
      <c r="KA77" s="11" t="n">
        <v>-485888</v>
      </c>
      <c r="KB77" s="11" t="n">
        <v>-1962196</v>
      </c>
      <c r="KC77" s="11" t="n">
        <v>-771028</v>
      </c>
      <c r="KD77" s="11" t="n">
        <v>48518512</v>
      </c>
      <c r="KE77" s="11" t="n">
        <v>13995888</v>
      </c>
      <c r="KF77" s="11" t="n">
        <v>-20470676</v>
      </c>
      <c r="KG77" s="11" t="n">
        <v>1960402</v>
      </c>
      <c r="KH77" s="11" t="n">
        <v>669394</v>
      </c>
      <c r="KI77" s="11" t="n">
        <v>-407589</v>
      </c>
      <c r="KJ77" s="11" t="n">
        <v>-10373654</v>
      </c>
      <c r="KK77" s="11" t="n">
        <v>-506134</v>
      </c>
      <c r="KL77" s="11" t="n">
        <v>-10317100</v>
      </c>
      <c r="KM77" s="11" t="n">
        <v>19163350</v>
      </c>
      <c r="KN77" s="11" t="n">
        <v>1101218</v>
      </c>
      <c r="KO77" s="11" t="n">
        <v>966656</v>
      </c>
      <c r="KP77" s="11" t="n">
        <v>851048</v>
      </c>
      <c r="KQ77" s="11" t="n">
        <v>545798</v>
      </c>
      <c r="KR77" s="11" t="n">
        <v>53947600</v>
      </c>
      <c r="KS77" s="11" t="n">
        <v>13228812</v>
      </c>
      <c r="KT77" s="11" t="n">
        <v>-18813454</v>
      </c>
      <c r="KU77" s="11" t="n">
        <v>77933420</v>
      </c>
      <c r="KV77" s="11" t="n">
        <v>-130730407</v>
      </c>
      <c r="KW77" s="11" t="n">
        <v>-4534689</v>
      </c>
      <c r="KX77" s="11" t="n">
        <v>285905950</v>
      </c>
      <c r="KY77" s="11" t="n">
        <v>77127490</v>
      </c>
      <c r="KZ77" s="11" t="n">
        <v>-112742564</v>
      </c>
      <c r="LA77" s="11" t="n">
        <v>380722128</v>
      </c>
      <c r="LB77" s="11" t="n">
        <v>92701516</v>
      </c>
      <c r="LC77" s="11" t="n">
        <v>-133350371</v>
      </c>
      <c r="LD77" s="11" t="n">
        <v>-36700906</v>
      </c>
      <c r="LE77" s="11" t="n">
        <v>1658428</v>
      </c>
      <c r="LF77" s="11" t="n">
        <v>-576588</v>
      </c>
      <c r="LG77" s="11" t="n">
        <v>538210</v>
      </c>
      <c r="LH77" s="11" t="n">
        <v>51038500</v>
      </c>
      <c r="LI77" s="11" t="n">
        <v>14579256</v>
      </c>
      <c r="LJ77" s="11" t="n">
        <v>-21632326</v>
      </c>
      <c r="LK77" s="11" t="n">
        <v>3889808</v>
      </c>
      <c r="LL77" s="11" t="n">
        <v>760476</v>
      </c>
      <c r="LM77" s="11" t="n">
        <v>-1526756</v>
      </c>
      <c r="LN77" s="11" t="n">
        <v>-10791516</v>
      </c>
      <c r="LO77" s="11" t="n">
        <v>-339577054</v>
      </c>
      <c r="LP77" s="11" t="n">
        <v>-97731038</v>
      </c>
      <c r="LQ77" s="11" t="n">
        <v>144181303</v>
      </c>
      <c r="LR77" s="11" t="n">
        <v>-22469942</v>
      </c>
      <c r="LS77" s="11" t="n">
        <v>-73512250</v>
      </c>
    </row>
    <row r="78" customFormat="false" ht="15" hidden="false" customHeight="true" outlineLevel="0" collapsed="false">
      <c r="A78" s="7" t="s">
        <v>144</v>
      </c>
      <c r="B78" s="11" t="n">
        <v>445645</v>
      </c>
      <c r="C78" s="11" t="n">
        <v>-37028709</v>
      </c>
      <c r="D78" s="11" t="n">
        <v>53627</v>
      </c>
      <c r="E78" s="11" t="n">
        <v>34584228</v>
      </c>
      <c r="F78" s="11" t="n">
        <v>3827396</v>
      </c>
      <c r="G78" s="11" t="n">
        <v>11938412</v>
      </c>
      <c r="H78" s="11" t="n">
        <v>-28256124</v>
      </c>
      <c r="I78" s="11" t="n">
        <v>-10236349</v>
      </c>
      <c r="J78" s="11" t="n">
        <v>-4661426</v>
      </c>
      <c r="K78" s="11" t="n">
        <v>-67512</v>
      </c>
      <c r="L78" s="11" t="n">
        <v>4349542</v>
      </c>
      <c r="M78" s="11" t="n">
        <v>-462746</v>
      </c>
      <c r="N78" s="11" t="n">
        <v>6548288</v>
      </c>
      <c r="O78" s="11" t="n">
        <v>514459</v>
      </c>
      <c r="P78" s="11" t="n">
        <v>1657729</v>
      </c>
      <c r="Q78" s="11" t="n">
        <v>6170518</v>
      </c>
      <c r="R78" s="11" t="n">
        <v>345330</v>
      </c>
      <c r="S78" s="11" t="n">
        <v>78484018</v>
      </c>
      <c r="T78" s="11" t="n">
        <v>-419222984</v>
      </c>
      <c r="U78" s="11" t="n">
        <v>-338304219</v>
      </c>
      <c r="V78" s="11" t="n">
        <v>-244812683</v>
      </c>
      <c r="W78" s="11" t="n">
        <v>5762666</v>
      </c>
      <c r="X78" s="11" t="n">
        <v>524138</v>
      </c>
      <c r="Y78" s="11" t="n">
        <v>2596576</v>
      </c>
      <c r="Z78" s="11" t="n">
        <v>-4218691</v>
      </c>
      <c r="AA78" s="11" t="n">
        <v>-1351249</v>
      </c>
      <c r="AB78" s="11" t="n">
        <v>-73267136</v>
      </c>
      <c r="AC78" s="11" t="n">
        <v>391658968</v>
      </c>
      <c r="AD78" s="11" t="n">
        <v>315707268</v>
      </c>
      <c r="AE78" s="11" t="n">
        <v>228555706</v>
      </c>
      <c r="AF78" s="11" t="n">
        <v>68636120</v>
      </c>
      <c r="AG78" s="11" t="n">
        <v>-24922012</v>
      </c>
      <c r="AH78" s="11" t="n">
        <v>3608154</v>
      </c>
      <c r="AI78" s="11" t="n">
        <v>428976116</v>
      </c>
      <c r="AJ78" s="11" t="n">
        <v>194821468</v>
      </c>
      <c r="AK78" s="11" t="n">
        <v>-93291329</v>
      </c>
      <c r="AL78" s="11" t="n">
        <v>10986497</v>
      </c>
      <c r="AM78" s="11" t="n">
        <v>111209</v>
      </c>
      <c r="AN78" s="11" t="n">
        <v>-8599839</v>
      </c>
      <c r="AO78" s="11" t="n">
        <v>-371328</v>
      </c>
      <c r="AP78" s="11" t="n">
        <v>-275156</v>
      </c>
      <c r="AQ78" s="11" t="n">
        <v>11103062</v>
      </c>
      <c r="AR78" s="11" t="n">
        <v>4800632</v>
      </c>
      <c r="AS78" s="11" t="n">
        <v>-10562440</v>
      </c>
      <c r="AT78" s="11" t="n">
        <v>-138043917</v>
      </c>
      <c r="AU78" s="11" t="n">
        <v>-63503188</v>
      </c>
      <c r="AV78" s="11" t="n">
        <v>-271455208</v>
      </c>
      <c r="AW78" s="11" t="n">
        <v>-225956154</v>
      </c>
      <c r="AX78" s="11" t="n">
        <v>-146528263</v>
      </c>
      <c r="AY78" s="11" t="n">
        <v>-9665229</v>
      </c>
      <c r="AZ78" s="11" t="n">
        <v>-999796</v>
      </c>
      <c r="BA78" s="11" t="n">
        <v>-3012296</v>
      </c>
      <c r="BB78" s="11" t="n">
        <v>8387302</v>
      </c>
      <c r="BC78" s="11" t="n">
        <v>3132129</v>
      </c>
      <c r="BD78" s="11" t="n">
        <v>45042348</v>
      </c>
      <c r="BE78" s="11" t="n">
        <v>209028180</v>
      </c>
      <c r="BF78" s="11" t="n">
        <v>316378980</v>
      </c>
      <c r="BG78" s="11" t="n">
        <v>175016433</v>
      </c>
      <c r="BH78" s="11" t="n">
        <v>7584368</v>
      </c>
      <c r="BI78" s="11" t="n">
        <v>71813944</v>
      </c>
      <c r="BJ78" s="11" t="n">
        <v>32700640</v>
      </c>
      <c r="BK78" s="11" t="n">
        <v>279994360</v>
      </c>
      <c r="BL78" s="11" t="n">
        <v>122284172</v>
      </c>
      <c r="BM78" s="11" t="n">
        <v>-49349674</v>
      </c>
      <c r="BN78" s="11" t="n">
        <v>501134</v>
      </c>
      <c r="BO78" s="11" t="n">
        <v>-17275448</v>
      </c>
      <c r="BP78" s="11" t="n">
        <v>15292162</v>
      </c>
      <c r="BQ78" s="11" t="n">
        <v>-158556984</v>
      </c>
      <c r="BR78" s="11" t="n">
        <v>-128820483</v>
      </c>
      <c r="BS78" s="11" t="n">
        <v>-91082421</v>
      </c>
      <c r="BT78" s="11" t="n">
        <v>217402</v>
      </c>
      <c r="BU78" s="11" t="n">
        <v>171730</v>
      </c>
      <c r="BV78" s="11" t="n">
        <v>-1592416</v>
      </c>
      <c r="BW78" s="11" t="n">
        <v>-1810415</v>
      </c>
      <c r="BX78" s="11" t="n">
        <v>-1140941</v>
      </c>
      <c r="BY78" s="11" t="n">
        <v>-12554046</v>
      </c>
      <c r="BZ78" s="11" t="n">
        <v>123680104</v>
      </c>
      <c r="CA78" s="11" t="n">
        <v>118294829</v>
      </c>
      <c r="CB78" s="11" t="n">
        <v>78844715</v>
      </c>
      <c r="CC78" s="11" t="n">
        <v>5741992</v>
      </c>
      <c r="CD78" s="11" t="n">
        <v>-11100460</v>
      </c>
      <c r="CE78" s="11" t="n">
        <v>-3603568</v>
      </c>
      <c r="CF78" s="11" t="n">
        <v>163465548</v>
      </c>
      <c r="CG78" s="11" t="n">
        <v>71563812</v>
      </c>
      <c r="CH78" s="11" t="n">
        <v>-35759718</v>
      </c>
      <c r="CI78" s="11" t="n">
        <v>22905334</v>
      </c>
      <c r="CJ78" s="11" t="n">
        <v>-11805304</v>
      </c>
      <c r="CK78" s="11" t="n">
        <v>164819056</v>
      </c>
      <c r="CL78" s="11" t="n">
        <v>134154948</v>
      </c>
      <c r="CM78" s="11" t="n">
        <v>94250506</v>
      </c>
      <c r="CN78" s="11" t="n">
        <v>-291998074</v>
      </c>
      <c r="CO78" s="11" t="n">
        <v>1565404952</v>
      </c>
      <c r="CP78" s="11" t="n">
        <v>1263313527</v>
      </c>
      <c r="CQ78" s="11" t="n">
        <v>914034089</v>
      </c>
      <c r="CR78" s="11" t="n">
        <v>1294317104</v>
      </c>
      <c r="CS78" s="11" t="n">
        <v>1059106416</v>
      </c>
      <c r="CT78" s="11" t="n">
        <v>730420082</v>
      </c>
      <c r="CU78" s="11" t="n">
        <v>-78089976</v>
      </c>
      <c r="CV78" s="11" t="n">
        <v>135777408</v>
      </c>
      <c r="CW78" s="11" t="n">
        <v>155171565</v>
      </c>
      <c r="CX78" s="11" t="n">
        <v>-12970642</v>
      </c>
      <c r="CY78" s="11" t="n">
        <v>144286384</v>
      </c>
      <c r="CZ78" s="11" t="n">
        <v>140947759</v>
      </c>
      <c r="DA78" s="11" t="n">
        <v>93036759</v>
      </c>
      <c r="DB78" s="11" t="n">
        <v>18967824</v>
      </c>
      <c r="DC78" s="11" t="n">
        <v>3324320</v>
      </c>
      <c r="DD78" s="11" t="n">
        <v>5420674</v>
      </c>
      <c r="DE78" s="11" t="n">
        <v>169137208</v>
      </c>
      <c r="DF78" s="11" t="n">
        <v>75753800</v>
      </c>
      <c r="DG78" s="11" t="n">
        <v>-35059783</v>
      </c>
      <c r="DH78" s="11" t="n">
        <v>-952923848</v>
      </c>
      <c r="DI78" s="11" t="n">
        <v>-1081428748</v>
      </c>
      <c r="DJ78" s="11" t="n">
        <v>-668444542</v>
      </c>
      <c r="DK78" s="11" t="n">
        <v>1674779300</v>
      </c>
      <c r="DL78" s="11" t="n">
        <v>600625588</v>
      </c>
      <c r="DM78" s="11" t="n">
        <v>-493180337</v>
      </c>
      <c r="DN78" s="11" t="n">
        <v>1337214176</v>
      </c>
      <c r="DO78" s="11" t="n">
        <v>579265768</v>
      </c>
      <c r="DP78" s="11" t="n">
        <v>-280629836</v>
      </c>
      <c r="DQ78" s="11" t="n">
        <v>-175226244</v>
      </c>
      <c r="DR78" s="11" t="n">
        <v>-224791</v>
      </c>
      <c r="DS78" s="11" t="n">
        <v>-2292</v>
      </c>
      <c r="DT78" s="11" t="n">
        <v>274562</v>
      </c>
      <c r="DU78" s="11" t="n">
        <v>5994</v>
      </c>
      <c r="DV78" s="11" t="n">
        <v>181438</v>
      </c>
      <c r="DW78" s="11" t="n">
        <v>-22061</v>
      </c>
      <c r="DX78" s="11" t="n">
        <v>13584</v>
      </c>
      <c r="DY78" s="11" t="n">
        <v>217493</v>
      </c>
      <c r="DZ78" s="11" t="n">
        <v>-5368518</v>
      </c>
      <c r="EA78" s="11" t="n">
        <v>1432562</v>
      </c>
      <c r="EB78" s="11" t="n">
        <v>-9053770</v>
      </c>
      <c r="EC78" s="11" t="n">
        <v>-12419823</v>
      </c>
      <c r="ED78" s="11" t="n">
        <v>-6292087</v>
      </c>
      <c r="EE78" s="11" t="n">
        <v>210910</v>
      </c>
      <c r="EF78" s="11" t="n">
        <v>20406</v>
      </c>
      <c r="EG78" s="11" t="n">
        <v>83234</v>
      </c>
      <c r="EH78" s="11" t="n">
        <v>-147979</v>
      </c>
      <c r="EI78" s="11" t="n">
        <v>-51012</v>
      </c>
      <c r="EJ78" s="11" t="n">
        <v>-1892896</v>
      </c>
      <c r="EK78" s="11" t="n">
        <v>6725216</v>
      </c>
      <c r="EL78" s="11" t="n">
        <v>15696564</v>
      </c>
      <c r="EM78" s="11" t="n">
        <v>7360802</v>
      </c>
      <c r="EN78" s="11" t="n">
        <v>1397696</v>
      </c>
      <c r="EO78" s="11" t="n">
        <v>190580</v>
      </c>
      <c r="EP78" s="11" t="n">
        <v>254346</v>
      </c>
      <c r="EQ78" s="11" t="n">
        <v>10913084</v>
      </c>
      <c r="ER78" s="11" t="n">
        <v>4531486</v>
      </c>
      <c r="ES78" s="11" t="n">
        <v>-1368029</v>
      </c>
      <c r="ET78" s="11" t="n">
        <v>-10080</v>
      </c>
      <c r="EU78" s="11" t="n">
        <v>-677922</v>
      </c>
      <c r="EV78" s="11" t="n">
        <v>-296114</v>
      </c>
      <c r="EW78" s="11" t="n">
        <v>1405236</v>
      </c>
      <c r="EX78" s="11" t="n">
        <v>490259</v>
      </c>
      <c r="EY78" s="11" t="n">
        <v>694099</v>
      </c>
      <c r="EZ78" s="11" t="n">
        <v>-19224</v>
      </c>
      <c r="FA78" s="11" t="n">
        <v>-3288</v>
      </c>
      <c r="FB78" s="11" t="n">
        <v>6192</v>
      </c>
      <c r="FC78" s="11" t="n">
        <v>5988</v>
      </c>
      <c r="FD78" s="11" t="n">
        <v>6468</v>
      </c>
      <c r="FE78" s="11" t="n">
        <v>343600</v>
      </c>
      <c r="FF78" s="11" t="n">
        <v>-2263548</v>
      </c>
      <c r="FG78" s="11" t="n">
        <v>-532276</v>
      </c>
      <c r="FH78" s="11" t="n">
        <v>-888746</v>
      </c>
      <c r="FI78" s="11" t="n">
        <v>-276476</v>
      </c>
      <c r="FJ78" s="11" t="n">
        <v>15988</v>
      </c>
      <c r="FK78" s="11" t="n">
        <v>-36402</v>
      </c>
      <c r="FL78" s="11" t="n">
        <v>-533618</v>
      </c>
      <c r="FM78" s="11" t="n">
        <v>-475318</v>
      </c>
      <c r="FN78" s="11" t="n">
        <v>97745</v>
      </c>
      <c r="FO78" s="11" t="n">
        <v>896646</v>
      </c>
      <c r="FP78" s="11" t="n">
        <v>222262</v>
      </c>
      <c r="FQ78" s="11" t="n">
        <v>-953628</v>
      </c>
      <c r="FR78" s="11" t="n">
        <v>82583</v>
      </c>
      <c r="FS78" s="11" t="n">
        <v>-389417</v>
      </c>
      <c r="FT78" s="11" t="n">
        <v>-11392176</v>
      </c>
      <c r="FU78" s="11" t="n">
        <v>60864468</v>
      </c>
      <c r="FV78" s="11" t="n">
        <v>49164048</v>
      </c>
      <c r="FW78" s="11" t="n">
        <v>35552256</v>
      </c>
      <c r="FX78" s="11" t="n">
        <v>2971028</v>
      </c>
      <c r="FY78" s="11" t="n">
        <v>13236104</v>
      </c>
      <c r="FZ78" s="11" t="n">
        <v>3865080</v>
      </c>
      <c r="GA78" s="11" t="n">
        <v>-57894178</v>
      </c>
      <c r="GB78" s="11" t="n">
        <v>-11377922</v>
      </c>
      <c r="GC78" s="11" t="n">
        <v>24626584</v>
      </c>
      <c r="GD78" s="11" t="n">
        <v>131408</v>
      </c>
      <c r="GE78" s="11" t="n">
        <v>-1267908</v>
      </c>
      <c r="GF78" s="11" t="n">
        <v>690148</v>
      </c>
      <c r="GG78" s="11" t="n">
        <v>-167326</v>
      </c>
      <c r="GH78" s="11" t="n">
        <v>-174532</v>
      </c>
      <c r="GI78" s="11" t="n">
        <v>158972</v>
      </c>
      <c r="GJ78" s="11" t="n">
        <v>15594</v>
      </c>
      <c r="GK78" s="11" t="n">
        <v>-617230</v>
      </c>
      <c r="GL78" s="11" t="n">
        <v>-372698</v>
      </c>
      <c r="GM78" s="11" t="n">
        <v>284323</v>
      </c>
      <c r="GN78" s="11" t="n">
        <v>7189184</v>
      </c>
      <c r="GO78" s="11" t="n">
        <v>-15973792</v>
      </c>
      <c r="GP78" s="11" t="n">
        <v>-3084432</v>
      </c>
      <c r="GQ78" s="11" t="n">
        <v>116368088</v>
      </c>
      <c r="GR78" s="11" t="n">
        <v>38914780</v>
      </c>
      <c r="GS78" s="11" t="n">
        <v>-36539216</v>
      </c>
      <c r="GT78" s="11" t="n">
        <v>12518712</v>
      </c>
      <c r="GU78" s="11" t="n">
        <v>3243516</v>
      </c>
      <c r="GV78" s="11" t="n">
        <v>-1835832</v>
      </c>
      <c r="GW78" s="11" t="n">
        <v>-15261978</v>
      </c>
      <c r="GX78" s="11" t="n">
        <v>-409</v>
      </c>
      <c r="GY78" s="11" t="n">
        <v>2430877</v>
      </c>
      <c r="GZ78" s="11" t="n">
        <v>-39534</v>
      </c>
      <c r="HA78" s="11" t="n">
        <v>4334202</v>
      </c>
      <c r="HB78" s="11" t="n">
        <v>5056705</v>
      </c>
      <c r="HC78" s="11" t="n">
        <v>2756408</v>
      </c>
      <c r="HD78" s="11" t="n">
        <v>24286</v>
      </c>
      <c r="HE78" s="11" t="n">
        <v>-414</v>
      </c>
      <c r="HF78" s="11" t="n">
        <v>43862</v>
      </c>
      <c r="HG78" s="11" t="n">
        <v>51599</v>
      </c>
      <c r="HH78" s="11" t="n">
        <v>28080</v>
      </c>
      <c r="HI78" s="11" t="n">
        <v>113106</v>
      </c>
      <c r="HJ78" s="11" t="n">
        <v>-3331778</v>
      </c>
      <c r="HK78" s="11" t="n">
        <v>-6414877</v>
      </c>
      <c r="HL78" s="11" t="n">
        <v>-3219808</v>
      </c>
      <c r="HM78" s="11" t="n">
        <v>-147480</v>
      </c>
      <c r="HN78" s="11" t="n">
        <v>-130956</v>
      </c>
      <c r="HO78" s="11" t="n">
        <v>-75888</v>
      </c>
      <c r="HP78" s="11" t="n">
        <v>-4506832</v>
      </c>
      <c r="HQ78" s="11" t="n">
        <v>-1962896</v>
      </c>
      <c r="HR78" s="11" t="n">
        <v>576088</v>
      </c>
      <c r="HS78" s="11" t="n">
        <v>-2342189</v>
      </c>
      <c r="HT78" s="11" t="n">
        <v>35644</v>
      </c>
      <c r="HU78" s="11" t="n">
        <v>-4177016</v>
      </c>
      <c r="HV78" s="11" t="n">
        <v>-4869938</v>
      </c>
      <c r="HW78" s="11" t="n">
        <v>-2655471</v>
      </c>
      <c r="HX78" s="11" t="n">
        <v>14547482</v>
      </c>
      <c r="HY78" s="11" t="n">
        <v>5603606</v>
      </c>
      <c r="HZ78" s="11" t="n">
        <v>-13541691</v>
      </c>
      <c r="IA78" s="11" t="n">
        <v>-2213005</v>
      </c>
      <c r="IB78" s="11" t="n">
        <v>-26028984</v>
      </c>
      <c r="IC78" s="11" t="n">
        <v>-30041408</v>
      </c>
      <c r="ID78" s="11" t="n">
        <v>-16459618</v>
      </c>
      <c r="IE78" s="11" t="n">
        <v>-35801156</v>
      </c>
      <c r="IF78" s="11" t="n">
        <v>-10299754</v>
      </c>
      <c r="IG78" s="11" t="n">
        <v>10751639</v>
      </c>
      <c r="IH78" s="11" t="n">
        <v>254318</v>
      </c>
      <c r="II78" s="11" t="n">
        <v>-3154238</v>
      </c>
      <c r="IJ78" s="11" t="n">
        <v>-6316127</v>
      </c>
      <c r="IK78" s="11" t="n">
        <v>-3124446</v>
      </c>
      <c r="IL78" s="11" t="n">
        <v>-405544</v>
      </c>
      <c r="IM78" s="11" t="n">
        <v>-432664</v>
      </c>
      <c r="IN78" s="11" t="n">
        <v>-240786</v>
      </c>
      <c r="IO78" s="11" t="n">
        <v>-4705692</v>
      </c>
      <c r="IP78" s="11" t="n">
        <v>-1995942</v>
      </c>
      <c r="IQ78" s="11" t="n">
        <v>664521</v>
      </c>
      <c r="IR78" s="11" t="n">
        <v>20199616</v>
      </c>
      <c r="IS78" s="11" t="n">
        <v>37759484</v>
      </c>
      <c r="IT78" s="11" t="n">
        <v>19165838</v>
      </c>
      <c r="IU78" s="11" t="n">
        <v>33347780</v>
      </c>
      <c r="IV78" s="11" t="n">
        <v>10455394</v>
      </c>
      <c r="IW78" s="11" t="n">
        <v>-12096659</v>
      </c>
      <c r="IX78" s="11" t="n">
        <v>-25847504</v>
      </c>
      <c r="IY78" s="11" t="n">
        <v>-11437672</v>
      </c>
      <c r="IZ78" s="11" t="n">
        <v>3144044</v>
      </c>
      <c r="JA78" s="11" t="n">
        <v>-5503824</v>
      </c>
      <c r="JB78" s="11" t="n">
        <v>110238</v>
      </c>
      <c r="JC78" s="11" t="n">
        <v>-1234</v>
      </c>
      <c r="JD78" s="11" t="n">
        <v>191796</v>
      </c>
      <c r="JE78" s="11" t="n">
        <v>225859</v>
      </c>
      <c r="JF78" s="11" t="n">
        <v>122339</v>
      </c>
      <c r="JG78" s="11" t="n">
        <v>-3321386</v>
      </c>
      <c r="JH78" s="11" t="n">
        <v>28267176</v>
      </c>
      <c r="JI78" s="11" t="n">
        <v>20551583</v>
      </c>
      <c r="JJ78" s="11" t="n">
        <v>15818689</v>
      </c>
      <c r="JK78" s="11" t="n">
        <v>5462244</v>
      </c>
      <c r="JL78" s="11" t="n">
        <v>6574904</v>
      </c>
      <c r="JM78" s="11" t="n">
        <v>3508906</v>
      </c>
      <c r="JN78" s="11" t="n">
        <v>-22158282</v>
      </c>
      <c r="JO78" s="11" t="n">
        <v>-3848190</v>
      </c>
      <c r="JP78" s="11" t="n">
        <v>9602253</v>
      </c>
      <c r="JQ78" s="11" t="n">
        <v>-38312</v>
      </c>
      <c r="JR78" s="11" t="n">
        <v>433500</v>
      </c>
      <c r="JS78" s="11" t="n">
        <v>496232</v>
      </c>
      <c r="JT78" s="11" t="n">
        <v>304054</v>
      </c>
      <c r="JU78" s="11" t="n">
        <v>61804</v>
      </c>
      <c r="JV78" s="11" t="n">
        <v>72940</v>
      </c>
      <c r="JW78" s="11" t="n">
        <v>39114</v>
      </c>
      <c r="JX78" s="11" t="n">
        <v>-24806</v>
      </c>
      <c r="JY78" s="11" t="n">
        <v>47918</v>
      </c>
      <c r="JZ78" s="11" t="n">
        <v>72251</v>
      </c>
      <c r="KA78" s="11" t="n">
        <v>-3237076</v>
      </c>
      <c r="KB78" s="11" t="n">
        <v>-7808612</v>
      </c>
      <c r="KC78" s="11" t="n">
        <v>-3663302</v>
      </c>
      <c r="KD78" s="11" t="n">
        <v>46426514</v>
      </c>
      <c r="KE78" s="11" t="n">
        <v>15759958</v>
      </c>
      <c r="KF78" s="11" t="n">
        <v>-14522657</v>
      </c>
      <c r="KG78" s="11" t="n">
        <v>6433784</v>
      </c>
      <c r="KH78" s="11" t="n">
        <v>2604712</v>
      </c>
      <c r="KI78" s="11" t="n">
        <v>-997724</v>
      </c>
      <c r="KJ78" s="11" t="n">
        <v>-6033696</v>
      </c>
      <c r="KK78" s="11" t="n">
        <v>2540494</v>
      </c>
      <c r="KL78" s="11" t="n">
        <v>-27489996</v>
      </c>
      <c r="KM78" s="11" t="n">
        <v>-19187677</v>
      </c>
      <c r="KN78" s="11" t="n">
        <v>-15141203</v>
      </c>
      <c r="KO78" s="11" t="n">
        <v>-4112320</v>
      </c>
      <c r="KP78" s="11" t="n">
        <v>-4990256</v>
      </c>
      <c r="KQ78" s="11" t="n">
        <v>-2649878</v>
      </c>
      <c r="KR78" s="11" t="n">
        <v>22938944</v>
      </c>
      <c r="KS78" s="11" t="n">
        <v>4164412</v>
      </c>
      <c r="KT78" s="11" t="n">
        <v>-9727823</v>
      </c>
      <c r="KU78" s="11" t="n">
        <v>176820124</v>
      </c>
      <c r="KV78" s="11" t="n">
        <v>104487640</v>
      </c>
      <c r="KW78" s="11" t="n">
        <v>91642584</v>
      </c>
      <c r="KX78" s="11" t="n">
        <v>204843082</v>
      </c>
      <c r="KY78" s="11" t="n">
        <v>62198582</v>
      </c>
      <c r="KZ78" s="11" t="n">
        <v>-69411592</v>
      </c>
      <c r="LA78" s="11" t="n">
        <v>178190176</v>
      </c>
      <c r="LB78" s="11" t="n">
        <v>36090668</v>
      </c>
      <c r="LC78" s="11" t="n">
        <v>-71025736</v>
      </c>
      <c r="LD78" s="11" t="n">
        <v>-20870094</v>
      </c>
      <c r="LE78" s="11" t="n">
        <v>-436396</v>
      </c>
      <c r="LF78" s="11" t="n">
        <v>-4767468</v>
      </c>
      <c r="LG78" s="11" t="n">
        <v>-1744930</v>
      </c>
      <c r="LH78" s="11" t="n">
        <v>48291494</v>
      </c>
      <c r="LI78" s="11" t="n">
        <v>16280518</v>
      </c>
      <c r="LJ78" s="11" t="n">
        <v>-15234851</v>
      </c>
      <c r="LK78" s="11" t="n">
        <v>6859936</v>
      </c>
      <c r="LL78" s="11" t="n">
        <v>2369348</v>
      </c>
      <c r="LM78" s="11" t="n">
        <v>-1545196</v>
      </c>
      <c r="LN78" s="11" t="n">
        <v>-6269634</v>
      </c>
      <c r="LO78" s="11" t="n">
        <v>-313870568</v>
      </c>
      <c r="LP78" s="11" t="n">
        <v>-105706324</v>
      </c>
      <c r="LQ78" s="11" t="n">
        <v>100208648</v>
      </c>
      <c r="LR78" s="11" t="n">
        <v>-12051258</v>
      </c>
      <c r="LS78" s="11" t="n">
        <v>-42461400</v>
      </c>
    </row>
    <row r="79" customFormat="false" ht="15" hidden="false" customHeight="true" outlineLevel="0" collapsed="false">
      <c r="A79" s="7" t="s">
        <v>145</v>
      </c>
      <c r="B79" s="11" t="n">
        <v>2968242</v>
      </c>
      <c r="C79" s="11" t="n">
        <v>-253111869</v>
      </c>
      <c r="D79" s="11" t="n">
        <v>275391</v>
      </c>
      <c r="E79" s="11" t="n">
        <v>235659297</v>
      </c>
      <c r="F79" s="11" t="n">
        <v>24995897</v>
      </c>
      <c r="G79" s="11" t="n">
        <v>87068530</v>
      </c>
      <c r="H79" s="11" t="n">
        <v>-187869342</v>
      </c>
      <c r="I79" s="11" t="n">
        <v>-65373861</v>
      </c>
      <c r="J79" s="11" t="n">
        <v>930030</v>
      </c>
      <c r="K79" s="11" t="n">
        <v>-46038</v>
      </c>
      <c r="L79" s="11" t="n">
        <v>2771046</v>
      </c>
      <c r="M79" s="11" t="n">
        <v>-631210</v>
      </c>
      <c r="N79" s="11" t="n">
        <v>6348004</v>
      </c>
      <c r="O79" s="11" t="n">
        <v>1787970</v>
      </c>
      <c r="P79" s="11" t="n">
        <v>-2804724</v>
      </c>
      <c r="Q79" s="11" t="n">
        <v>3839526</v>
      </c>
      <c r="R79" s="11" t="n">
        <v>-310134702</v>
      </c>
      <c r="S79" s="11" t="n">
        <v>45993490</v>
      </c>
      <c r="T79" s="11" t="n">
        <v>-568596328</v>
      </c>
      <c r="U79" s="11" t="n">
        <v>-93601635</v>
      </c>
      <c r="V79" s="11" t="n">
        <v>259651533</v>
      </c>
      <c r="W79" s="11" t="n">
        <v>3912216</v>
      </c>
      <c r="X79" s="11" t="n">
        <v>329128</v>
      </c>
      <c r="Y79" s="11" t="n">
        <v>1939412</v>
      </c>
      <c r="Z79" s="11" t="n">
        <v>-2748003</v>
      </c>
      <c r="AA79" s="11" t="n">
        <v>-1274181</v>
      </c>
      <c r="AB79" s="11" t="n">
        <v>-73449296</v>
      </c>
      <c r="AC79" s="11" t="n">
        <v>422706524</v>
      </c>
      <c r="AD79" s="11" t="n">
        <v>317341491</v>
      </c>
      <c r="AE79" s="11" t="n">
        <v>-161646291</v>
      </c>
      <c r="AF79" s="11" t="n">
        <v>71972764</v>
      </c>
      <c r="AG79" s="11" t="n">
        <v>-24894565</v>
      </c>
      <c r="AH79" s="11" t="n">
        <v>-37520939</v>
      </c>
      <c r="AI79" s="11" t="n">
        <v>454232254</v>
      </c>
      <c r="AJ79" s="11" t="n">
        <v>57539222</v>
      </c>
      <c r="AK79" s="11" t="n">
        <v>216898809</v>
      </c>
      <c r="AL79" s="11" t="n">
        <v>85514997</v>
      </c>
      <c r="AM79" s="11" t="n">
        <v>896457</v>
      </c>
      <c r="AN79" s="11" t="n">
        <v>-67388895</v>
      </c>
      <c r="AO79" s="11" t="n">
        <v>-1527537</v>
      </c>
      <c r="AP79" s="11" t="n">
        <v>-16212546</v>
      </c>
      <c r="AQ79" s="11" t="n">
        <v>73320258</v>
      </c>
      <c r="AR79" s="11" t="n">
        <v>26632227</v>
      </c>
      <c r="AS79" s="11" t="n">
        <v>-84377880</v>
      </c>
      <c r="AT79" s="11" t="n">
        <v>-1042864737</v>
      </c>
      <c r="AU79" s="11" t="n">
        <v>-589873168</v>
      </c>
      <c r="AV79" s="11" t="n">
        <v>-1125945008</v>
      </c>
      <c r="AW79" s="11" t="n">
        <v>-839750034</v>
      </c>
      <c r="AX79" s="11" t="n">
        <v>-387598863</v>
      </c>
      <c r="AY79" s="11" t="n">
        <v>-77425197</v>
      </c>
      <c r="AZ79" s="11" t="n">
        <v>-7690888</v>
      </c>
      <c r="BA79" s="11" t="n">
        <v>-27800288</v>
      </c>
      <c r="BB79" s="11" t="n">
        <v>63542166</v>
      </c>
      <c r="BC79" s="11" t="n">
        <v>22214877</v>
      </c>
      <c r="BD79" s="11" t="n">
        <v>446212803</v>
      </c>
      <c r="BE79" s="11" t="n">
        <v>689571414</v>
      </c>
      <c r="BF79" s="11" t="n">
        <v>1555901808</v>
      </c>
      <c r="BG79" s="11" t="n">
        <v>630224772</v>
      </c>
      <c r="BH79" s="11" t="n">
        <v>-91719856</v>
      </c>
      <c r="BI79" s="11" t="n">
        <v>520755466</v>
      </c>
      <c r="BJ79" s="11" t="n">
        <v>190629811</v>
      </c>
      <c r="BK79" s="11" t="n">
        <v>1124587124</v>
      </c>
      <c r="BL79" s="11" t="n">
        <v>424140662</v>
      </c>
      <c r="BM79" s="11" t="n">
        <v>-70799688</v>
      </c>
      <c r="BN79" s="11" t="n">
        <v>1607238</v>
      </c>
      <c r="BO79" s="11" t="n">
        <v>-100948536</v>
      </c>
      <c r="BP79" s="11" t="n">
        <v>17706530</v>
      </c>
      <c r="BQ79" s="11" t="n">
        <v>-187965704</v>
      </c>
      <c r="BR79" s="11" t="n">
        <v>-28538175</v>
      </c>
      <c r="BS79" s="11" t="n">
        <v>89148639</v>
      </c>
      <c r="BT79" s="11" t="n">
        <v>208314</v>
      </c>
      <c r="BU79" s="11" t="n">
        <v>214328</v>
      </c>
      <c r="BV79" s="11" t="n">
        <v>-1665740</v>
      </c>
      <c r="BW79" s="11" t="n">
        <v>-1677207</v>
      </c>
      <c r="BX79" s="11" t="n">
        <v>434001</v>
      </c>
      <c r="BY79" s="11" t="n">
        <v>-15756606</v>
      </c>
      <c r="BZ79" s="11" t="n">
        <v>128985192</v>
      </c>
      <c r="CA79" s="11" t="n">
        <v>109042029</v>
      </c>
      <c r="CB79" s="11" t="n">
        <v>-38813589</v>
      </c>
      <c r="CC79" s="11" t="n">
        <v>6714524</v>
      </c>
      <c r="CD79" s="11" t="n">
        <v>-14671745</v>
      </c>
      <c r="CE79" s="11" t="n">
        <v>-7106849</v>
      </c>
      <c r="CF79" s="11" t="n">
        <v>166571606</v>
      </c>
      <c r="CG79" s="11" t="n">
        <v>41637362</v>
      </c>
      <c r="CH79" s="11" t="n">
        <v>85323471</v>
      </c>
      <c r="CI79" s="11" t="n">
        <v>119206638</v>
      </c>
      <c r="CJ79" s="11" t="n">
        <v>-6384528</v>
      </c>
      <c r="CK79" s="11" t="n">
        <v>206628192</v>
      </c>
      <c r="CL79" s="11" t="n">
        <v>43941636</v>
      </c>
      <c r="CM79" s="11" t="n">
        <v>-80678358</v>
      </c>
      <c r="CN79" s="11" t="n">
        <v>-912265114</v>
      </c>
      <c r="CO79" s="11" t="n">
        <v>963109480</v>
      </c>
      <c r="CP79" s="11" t="n">
        <v>-643279917</v>
      </c>
      <c r="CQ79" s="11" t="n">
        <v>-1544729163</v>
      </c>
      <c r="CR79" s="11" t="n">
        <v>1529702496</v>
      </c>
      <c r="CS79" s="11" t="n">
        <v>370729860</v>
      </c>
      <c r="CT79" s="11" t="n">
        <v>-534682346</v>
      </c>
      <c r="CU79" s="11" t="n">
        <v>-1470055488</v>
      </c>
      <c r="CV79" s="11" t="n">
        <v>-2025747112</v>
      </c>
      <c r="CW79" s="11" t="n">
        <v>-1004782083</v>
      </c>
      <c r="CX79" s="11" t="n">
        <v>-16723912</v>
      </c>
      <c r="CY79" s="11" t="n">
        <v>150326716</v>
      </c>
      <c r="CZ79" s="11" t="n">
        <v>130091415</v>
      </c>
      <c r="DA79" s="11" t="n">
        <v>-42645975</v>
      </c>
      <c r="DB79" s="11" t="n">
        <v>20937312</v>
      </c>
      <c r="DC79" s="11" t="n">
        <v>-802776</v>
      </c>
      <c r="DD79" s="11" t="n">
        <v>-9034592</v>
      </c>
      <c r="DE79" s="11" t="n">
        <v>170082408</v>
      </c>
      <c r="DF79" s="11" t="n">
        <v>27819356</v>
      </c>
      <c r="DG79" s="11" t="n">
        <v>72325065</v>
      </c>
      <c r="DH79" s="11" t="n">
        <v>-1015303028</v>
      </c>
      <c r="DI79" s="11" t="n">
        <v>-1085812153</v>
      </c>
      <c r="DJ79" s="11" t="n">
        <v>109645913</v>
      </c>
      <c r="DK79" s="11" t="n">
        <v>1862265694</v>
      </c>
      <c r="DL79" s="11" t="n">
        <v>1603445266</v>
      </c>
      <c r="DM79" s="11" t="n">
        <v>1915910940</v>
      </c>
      <c r="DN79" s="11" t="n">
        <v>1408106472</v>
      </c>
      <c r="DO79" s="11" t="n">
        <v>411217060</v>
      </c>
      <c r="DP79" s="11" t="n">
        <v>591840647</v>
      </c>
      <c r="DQ79" s="11" t="n">
        <v>1469537854</v>
      </c>
      <c r="DR79" s="11" t="n">
        <v>-1704804</v>
      </c>
      <c r="DS79" s="11" t="n">
        <v>-17886</v>
      </c>
      <c r="DT79" s="11" t="n">
        <v>1998798</v>
      </c>
      <c r="DU79" s="11" t="n">
        <v>24014</v>
      </c>
      <c r="DV79" s="11" t="n">
        <v>1450384</v>
      </c>
      <c r="DW79" s="11" t="n">
        <v>-136302</v>
      </c>
      <c r="DX79" s="11" t="n">
        <v>180354</v>
      </c>
      <c r="DY79" s="11" t="n">
        <v>1683369</v>
      </c>
      <c r="DZ79" s="11" t="n">
        <v>-35093697</v>
      </c>
      <c r="EA79" s="11" t="n">
        <v>12308591</v>
      </c>
      <c r="EB79" s="11" t="n">
        <v>-73671428</v>
      </c>
      <c r="EC79" s="11" t="n">
        <v>-96279465</v>
      </c>
      <c r="ED79" s="11" t="n">
        <v>-52926735</v>
      </c>
      <c r="EE79" s="11" t="n">
        <v>1605480</v>
      </c>
      <c r="EF79" s="11" t="n">
        <v>152848</v>
      </c>
      <c r="EG79" s="11" t="n">
        <v>659222</v>
      </c>
      <c r="EH79" s="11" t="n">
        <v>-1144707</v>
      </c>
      <c r="EI79" s="11" t="n">
        <v>-377196</v>
      </c>
      <c r="EJ79" s="11" t="n">
        <v>-14925544</v>
      </c>
      <c r="EK79" s="11" t="n">
        <v>56519674</v>
      </c>
      <c r="EL79" s="11" t="n">
        <v>115688691</v>
      </c>
      <c r="EM79" s="11" t="n">
        <v>58341348</v>
      </c>
      <c r="EN79" s="11" t="n">
        <v>11509434</v>
      </c>
      <c r="EO79" s="11" t="n">
        <v>372107</v>
      </c>
      <c r="EP79" s="11" t="n">
        <v>2047676</v>
      </c>
      <c r="EQ79" s="11" t="n">
        <v>87801154</v>
      </c>
      <c r="ER79" s="11" t="n">
        <v>37234282</v>
      </c>
      <c r="ES79" s="11" t="n">
        <v>-14417145</v>
      </c>
      <c r="ET79" s="11" t="n">
        <v>-32046</v>
      </c>
      <c r="EU79" s="11" t="n">
        <v>2217822</v>
      </c>
      <c r="EV79" s="11" t="n">
        <v>-355010</v>
      </c>
      <c r="EW79" s="11" t="n">
        <v>4100408</v>
      </c>
      <c r="EX79" s="11" t="n">
        <v>984210</v>
      </c>
      <c r="EY79" s="11" t="n">
        <v>-1554378</v>
      </c>
      <c r="EZ79" s="11" t="n">
        <v>-14304</v>
      </c>
      <c r="FA79" s="11" t="n">
        <v>-4176</v>
      </c>
      <c r="FB79" s="11" t="n">
        <v>15756</v>
      </c>
      <c r="FC79" s="11" t="n">
        <v>12888</v>
      </c>
      <c r="FD79" s="11" t="n">
        <v>-19698</v>
      </c>
      <c r="FE79" s="11" t="n">
        <v>447472</v>
      </c>
      <c r="FF79" s="11" t="n">
        <v>-2920684</v>
      </c>
      <c r="FG79" s="11" t="n">
        <v>-1331256</v>
      </c>
      <c r="FH79" s="11" t="n">
        <v>2057058</v>
      </c>
      <c r="FI79" s="11" t="n">
        <v>-359788</v>
      </c>
      <c r="FJ79" s="11" t="n">
        <v>14520</v>
      </c>
      <c r="FK79" s="11" t="n">
        <v>-15662</v>
      </c>
      <c r="FL79" s="11" t="n">
        <v>-1165164</v>
      </c>
      <c r="FM79" s="11" t="n">
        <v>1756196</v>
      </c>
      <c r="FN79" s="11" t="n">
        <v>-20154</v>
      </c>
      <c r="FO79" s="11" t="n">
        <v>-1530264</v>
      </c>
      <c r="FP79" s="11" t="n">
        <v>119176</v>
      </c>
      <c r="FQ79" s="11" t="n">
        <v>-2664016</v>
      </c>
      <c r="FR79" s="11" t="n">
        <v>837975</v>
      </c>
      <c r="FS79" s="11" t="n">
        <v>2529723</v>
      </c>
      <c r="FT79" s="11" t="n">
        <v>8704608</v>
      </c>
      <c r="FU79" s="11" t="n">
        <v>-11433360</v>
      </c>
      <c r="FV79" s="11" t="n">
        <v>-104992215</v>
      </c>
      <c r="FW79" s="11" t="n">
        <v>-100850859</v>
      </c>
      <c r="FX79" s="11" t="n">
        <v>-14263312</v>
      </c>
      <c r="FY79" s="11" t="n">
        <v>12943385</v>
      </c>
      <c r="FZ79" s="11" t="n">
        <v>22244037</v>
      </c>
      <c r="GA79" s="11" t="n">
        <v>-189040460</v>
      </c>
      <c r="GB79" s="11" t="n">
        <v>-194470716</v>
      </c>
      <c r="GC79" s="11" t="n">
        <v>-118339530</v>
      </c>
      <c r="GD79" s="11" t="n">
        <v>252608</v>
      </c>
      <c r="GE79" s="11" t="n">
        <v>-1941488</v>
      </c>
      <c r="GF79" s="11" t="n">
        <v>-241392</v>
      </c>
      <c r="GG79" s="11" t="n">
        <v>2069784</v>
      </c>
      <c r="GH79" s="11" t="n">
        <v>-288560</v>
      </c>
      <c r="GI79" s="11" t="n">
        <v>157128</v>
      </c>
      <c r="GJ79" s="11" t="n">
        <v>256400</v>
      </c>
      <c r="GK79" s="11" t="n">
        <v>-1483398</v>
      </c>
      <c r="GL79" s="11" t="n">
        <v>393730</v>
      </c>
      <c r="GM79" s="11" t="n">
        <v>-1532469</v>
      </c>
      <c r="GN79" s="11" t="n">
        <v>9156416</v>
      </c>
      <c r="GO79" s="11" t="n">
        <v>-15958456</v>
      </c>
      <c r="GP79" s="11" t="n">
        <v>-28421496</v>
      </c>
      <c r="GQ79" s="11" t="n">
        <v>131402950</v>
      </c>
      <c r="GR79" s="11" t="n">
        <v>143416638</v>
      </c>
      <c r="GS79" s="11" t="n">
        <v>157917717</v>
      </c>
      <c r="GT79" s="11" t="n">
        <v>12534214</v>
      </c>
      <c r="GU79" s="11" t="n">
        <v>23172670</v>
      </c>
      <c r="GV79" s="11" t="n">
        <v>-1480811</v>
      </c>
      <c r="GW79" s="11" t="n">
        <v>136226048</v>
      </c>
      <c r="GX79" s="11" t="n">
        <v>-417</v>
      </c>
      <c r="GY79" s="11" t="n">
        <v>18880653</v>
      </c>
      <c r="GZ79" s="11" t="n">
        <v>-185495</v>
      </c>
      <c r="HA79" s="11" t="n">
        <v>32473892</v>
      </c>
      <c r="HB79" s="11" t="n">
        <v>38184489</v>
      </c>
      <c r="HC79" s="11" t="n">
        <v>20492163</v>
      </c>
      <c r="HD79" s="11" t="n">
        <v>197598</v>
      </c>
      <c r="HE79" s="11" t="n">
        <v>-1952</v>
      </c>
      <c r="HF79" s="11" t="n">
        <v>340346</v>
      </c>
      <c r="HG79" s="11" t="n">
        <v>400647</v>
      </c>
      <c r="HH79" s="11" t="n">
        <v>214950</v>
      </c>
      <c r="HI79" s="11" t="n">
        <v>483438</v>
      </c>
      <c r="HJ79" s="11" t="n">
        <v>-22011066</v>
      </c>
      <c r="HK79" s="11" t="n">
        <v>-46278957</v>
      </c>
      <c r="HL79" s="11" t="n">
        <v>-22028628</v>
      </c>
      <c r="HM79" s="11" t="n">
        <v>-615242</v>
      </c>
      <c r="HN79" s="11" t="n">
        <v>-523039</v>
      </c>
      <c r="HO79" s="11" t="n">
        <v>-308278</v>
      </c>
      <c r="HP79" s="11" t="n">
        <v>-35082290</v>
      </c>
      <c r="HQ79" s="11" t="n">
        <v>-13998506</v>
      </c>
      <c r="HR79" s="11" t="n">
        <v>5677983</v>
      </c>
      <c r="HS79" s="11" t="n">
        <v>-18634677</v>
      </c>
      <c r="HT79" s="11" t="n">
        <v>180152</v>
      </c>
      <c r="HU79" s="11" t="n">
        <v>-32047568</v>
      </c>
      <c r="HV79" s="11" t="n">
        <v>-37680834</v>
      </c>
      <c r="HW79" s="11" t="n">
        <v>-20221563</v>
      </c>
      <c r="HX79" s="11" t="n">
        <v>132498827</v>
      </c>
      <c r="HY79" s="11" t="n">
        <v>-147427940</v>
      </c>
      <c r="HZ79" s="11" t="n">
        <v>-280257603</v>
      </c>
      <c r="IA79" s="11" t="n">
        <v>-164327136</v>
      </c>
      <c r="IB79" s="11" t="n">
        <v>-226443728</v>
      </c>
      <c r="IC79" s="11" t="n">
        <v>-265214006</v>
      </c>
      <c r="ID79" s="11" t="n">
        <v>-142193477</v>
      </c>
      <c r="IE79" s="11" t="n">
        <v>-183870472</v>
      </c>
      <c r="IF79" s="11" t="n">
        <v>-122624164</v>
      </c>
      <c r="IG79" s="11" t="n">
        <v>-28159155</v>
      </c>
      <c r="IH79" s="11" t="n">
        <v>1863824</v>
      </c>
      <c r="II79" s="11" t="n">
        <v>-23267234</v>
      </c>
      <c r="IJ79" s="11" t="n">
        <v>-48609111</v>
      </c>
      <c r="IK79" s="11" t="n">
        <v>-23461428</v>
      </c>
      <c r="IL79" s="11" t="n">
        <v>-2980432</v>
      </c>
      <c r="IM79" s="11" t="n">
        <v>-3298872</v>
      </c>
      <c r="IN79" s="11" t="n">
        <v>-1795728</v>
      </c>
      <c r="IO79" s="11" t="n">
        <v>-36548796</v>
      </c>
      <c r="IP79" s="11" t="n">
        <v>-15099906</v>
      </c>
      <c r="IQ79" s="11" t="n">
        <v>5307633</v>
      </c>
      <c r="IR79" s="11" t="n">
        <v>150692254</v>
      </c>
      <c r="IS79" s="11" t="n">
        <v>317596025</v>
      </c>
      <c r="IT79" s="11" t="n">
        <v>150382796</v>
      </c>
      <c r="IU79" s="11" t="n">
        <v>-34640894</v>
      </c>
      <c r="IV79" s="11" t="n">
        <v>19563952</v>
      </c>
      <c r="IW79" s="11" t="n">
        <v>75802356</v>
      </c>
      <c r="IX79" s="11" t="n">
        <v>-241148788</v>
      </c>
      <c r="IY79" s="11" t="n">
        <v>-95289790</v>
      </c>
      <c r="IZ79" s="11" t="n">
        <v>39822687</v>
      </c>
      <c r="JA79" s="11" t="n">
        <v>53212734</v>
      </c>
      <c r="JB79" s="11" t="n">
        <v>354366</v>
      </c>
      <c r="JC79" s="11" t="n">
        <v>-3400</v>
      </c>
      <c r="JD79" s="11" t="n">
        <v>609424</v>
      </c>
      <c r="JE79" s="11" t="n">
        <v>717531</v>
      </c>
      <c r="JF79" s="11" t="n">
        <v>385581</v>
      </c>
      <c r="JG79" s="11" t="n">
        <v>-3690410</v>
      </c>
      <c r="JH79" s="11" t="n">
        <v>3165800</v>
      </c>
      <c r="JI79" s="11" t="n">
        <v>-38775057</v>
      </c>
      <c r="JJ79" s="11" t="n">
        <v>-43873455</v>
      </c>
      <c r="JK79" s="11" t="n">
        <v>6316240</v>
      </c>
      <c r="JL79" s="11" t="n">
        <v>7844485</v>
      </c>
      <c r="JM79" s="11" t="n">
        <v>4436435</v>
      </c>
      <c r="JN79" s="11" t="n">
        <v>-73093948</v>
      </c>
      <c r="JO79" s="11" t="n">
        <v>-78896420</v>
      </c>
      <c r="JP79" s="11" t="n">
        <v>-46645668</v>
      </c>
      <c r="JQ79" s="11" t="n">
        <v>-47696</v>
      </c>
      <c r="JR79" s="11" t="n">
        <v>446252</v>
      </c>
      <c r="JS79" s="11" t="n">
        <v>462792</v>
      </c>
      <c r="JT79" s="11" t="n">
        <v>-45714</v>
      </c>
      <c r="JU79" s="11" t="n">
        <v>77744</v>
      </c>
      <c r="JV79" s="11" t="n">
        <v>92136</v>
      </c>
      <c r="JW79" s="11" t="n">
        <v>52336</v>
      </c>
      <c r="JX79" s="11" t="n">
        <v>-107694</v>
      </c>
      <c r="JY79" s="11" t="n">
        <v>-564178</v>
      </c>
      <c r="JZ79" s="11" t="n">
        <v>-596121</v>
      </c>
      <c r="KA79" s="11" t="n">
        <v>-4221220</v>
      </c>
      <c r="KB79" s="11" t="n">
        <v>-10038512</v>
      </c>
      <c r="KC79" s="11" t="n">
        <v>-5429090</v>
      </c>
      <c r="KD79" s="11" t="n">
        <v>52963754</v>
      </c>
      <c r="KE79" s="11" t="n">
        <v>54841310</v>
      </c>
      <c r="KF79" s="11" t="n">
        <v>62299563</v>
      </c>
      <c r="KG79" s="11" t="n">
        <v>8208398</v>
      </c>
      <c r="KH79" s="11" t="n">
        <v>4217490</v>
      </c>
      <c r="KI79" s="11" t="n">
        <v>-527527</v>
      </c>
      <c r="KJ79" s="11" t="n">
        <v>53725036</v>
      </c>
      <c r="KK79" s="11" t="n">
        <v>1155496</v>
      </c>
      <c r="KL79" s="11" t="n">
        <v>-357520</v>
      </c>
      <c r="KM79" s="11" t="n">
        <v>43529979</v>
      </c>
      <c r="KN79" s="11" t="n">
        <v>46386087</v>
      </c>
      <c r="KO79" s="11" t="n">
        <v>-1983744</v>
      </c>
      <c r="KP79" s="11" t="n">
        <v>-2757336</v>
      </c>
      <c r="KQ79" s="11" t="n">
        <v>-1702336</v>
      </c>
      <c r="KR79" s="11" t="n">
        <v>75584976</v>
      </c>
      <c r="KS79" s="11" t="n">
        <v>80161888</v>
      </c>
      <c r="KT79" s="11" t="n">
        <v>46559553</v>
      </c>
      <c r="KU79" s="11" t="n">
        <v>-6599600</v>
      </c>
      <c r="KV79" s="11" t="n">
        <v>-326890973</v>
      </c>
      <c r="KW79" s="11" t="n">
        <v>-340010265</v>
      </c>
      <c r="KX79" s="11" t="n">
        <v>349763660</v>
      </c>
      <c r="KY79" s="11" t="n">
        <v>370135500</v>
      </c>
      <c r="KZ79" s="11" t="n">
        <v>313764321</v>
      </c>
      <c r="LA79" s="11" t="n">
        <v>545454672</v>
      </c>
      <c r="LB79" s="11" t="n">
        <v>574003360</v>
      </c>
      <c r="LC79" s="11" t="n">
        <v>329766847</v>
      </c>
      <c r="LD79" s="11" t="n">
        <v>170710604</v>
      </c>
      <c r="LE79" s="11" t="n">
        <v>-1406992</v>
      </c>
      <c r="LF79" s="11" t="n">
        <v>-7367976</v>
      </c>
      <c r="LG79" s="11" t="n">
        <v>-6094288</v>
      </c>
      <c r="LH79" s="11" t="n">
        <v>55284078</v>
      </c>
      <c r="LI79" s="11" t="n">
        <v>58367734</v>
      </c>
      <c r="LJ79" s="11" t="n">
        <v>66194385</v>
      </c>
      <c r="LK79" s="11" t="n">
        <v>9291792</v>
      </c>
      <c r="LL79" s="11" t="n">
        <v>8389760</v>
      </c>
      <c r="LM79" s="11" t="n">
        <v>3687792</v>
      </c>
      <c r="LN79" s="11" t="n">
        <v>55807494</v>
      </c>
      <c r="LO79" s="11" t="n">
        <v>-355957346</v>
      </c>
      <c r="LP79" s="11" t="n">
        <v>-379206730</v>
      </c>
      <c r="LQ79" s="11" t="n">
        <v>-443982271</v>
      </c>
      <c r="LR79" s="11" t="n">
        <v>133384378</v>
      </c>
      <c r="LS79" s="11" t="n">
        <v>381745850</v>
      </c>
    </row>
    <row r="80" customFormat="false" ht="15" hidden="false" customHeight="true" outlineLevel="0" collapsed="false">
      <c r="A80" s="7" t="s">
        <v>146</v>
      </c>
      <c r="B80" s="11" t="n">
        <v>757919</v>
      </c>
      <c r="C80" s="11" t="n">
        <v>-17517355</v>
      </c>
      <c r="D80" s="11" t="n">
        <v>-305440</v>
      </c>
      <c r="E80" s="11" t="n">
        <v>36240083</v>
      </c>
      <c r="F80" s="11" t="n">
        <v>-504831</v>
      </c>
      <c r="G80" s="11" t="n">
        <v>117275476</v>
      </c>
      <c r="H80" s="11" t="n">
        <v>-45633741</v>
      </c>
      <c r="I80" s="11" t="n">
        <v>27147933</v>
      </c>
      <c r="J80" s="11" t="n">
        <v>-10363798</v>
      </c>
      <c r="K80" s="11" t="n">
        <v>-93564</v>
      </c>
      <c r="L80" s="11" t="n">
        <v>8607278</v>
      </c>
      <c r="M80" s="11" t="n">
        <v>-411130</v>
      </c>
      <c r="N80" s="11" t="n">
        <v>5940352</v>
      </c>
      <c r="O80" s="11" t="n">
        <v>745157</v>
      </c>
      <c r="P80" s="11" t="n">
        <v>431627</v>
      </c>
      <c r="Q80" s="11" t="n">
        <v>-2014100</v>
      </c>
      <c r="R80" s="11" t="n">
        <v>296612376</v>
      </c>
      <c r="S80" s="11" t="n">
        <v>2599148</v>
      </c>
      <c r="T80" s="11" t="n">
        <v>1466330952</v>
      </c>
      <c r="U80" s="11" t="n">
        <v>-641218987</v>
      </c>
      <c r="V80" s="11" t="n">
        <v>361245371</v>
      </c>
      <c r="W80" s="11" t="n">
        <v>1005068</v>
      </c>
      <c r="X80" s="11" t="n">
        <v>103364</v>
      </c>
      <c r="Y80" s="11" t="n">
        <v>12083536</v>
      </c>
      <c r="Z80" s="11" t="n">
        <v>-5933716</v>
      </c>
      <c r="AA80" s="11" t="n">
        <v>3177428</v>
      </c>
      <c r="AB80" s="11" t="n">
        <v>-13925188</v>
      </c>
      <c r="AC80" s="11" t="n">
        <v>-1047795048</v>
      </c>
      <c r="AD80" s="11" t="n">
        <v>553867691</v>
      </c>
      <c r="AE80" s="11" t="n">
        <v>-287666107</v>
      </c>
      <c r="AF80" s="11" t="n">
        <v>59658872</v>
      </c>
      <c r="AG80" s="11" t="n">
        <v>-25250163</v>
      </c>
      <c r="AH80" s="11" t="n">
        <v>14438787</v>
      </c>
      <c r="AI80" s="11" t="n">
        <v>472964956</v>
      </c>
      <c r="AJ80" s="11" t="n">
        <v>-145990556</v>
      </c>
      <c r="AK80" s="11" t="n">
        <v>-52678752</v>
      </c>
      <c r="AL80" s="11" t="n">
        <v>1807719</v>
      </c>
      <c r="AM80" s="11" t="n">
        <v>336398</v>
      </c>
      <c r="AN80" s="11" t="n">
        <v>-6243370</v>
      </c>
      <c r="AO80" s="11" t="n">
        <v>1972625</v>
      </c>
      <c r="AP80" s="11" t="n">
        <v>-36470572</v>
      </c>
      <c r="AQ80" s="11" t="n">
        <v>17983981</v>
      </c>
      <c r="AR80" s="11" t="n">
        <v>-8378172</v>
      </c>
      <c r="AS80" s="11" t="n">
        <v>-7046470</v>
      </c>
      <c r="AT80" s="11" t="n">
        <v>57862967</v>
      </c>
      <c r="AU80" s="11" t="n">
        <v>-44388094</v>
      </c>
      <c r="AV80" s="11" t="n">
        <v>563209064</v>
      </c>
      <c r="AW80" s="11" t="n">
        <v>-306812204</v>
      </c>
      <c r="AX80" s="11" t="n">
        <v>128889207</v>
      </c>
      <c r="AY80" s="11" t="n">
        <v>-13568886</v>
      </c>
      <c r="AZ80" s="11" t="n">
        <v>-570898</v>
      </c>
      <c r="BA80" s="11" t="n">
        <v>-37354472</v>
      </c>
      <c r="BB80" s="11" t="n">
        <v>13006762</v>
      </c>
      <c r="BC80" s="11" t="n">
        <v>-8673066</v>
      </c>
      <c r="BD80" s="11" t="n">
        <v>90162995</v>
      </c>
      <c r="BE80" s="11" t="n">
        <v>-777790724</v>
      </c>
      <c r="BF80" s="11" t="n">
        <v>483999787</v>
      </c>
      <c r="BG80" s="11" t="n">
        <v>-176972814</v>
      </c>
      <c r="BH80" s="11" t="n">
        <v>-280939072</v>
      </c>
      <c r="BI80" s="11" t="n">
        <v>106791606</v>
      </c>
      <c r="BJ80" s="11" t="n">
        <v>-65077047</v>
      </c>
      <c r="BK80" s="11" t="n">
        <v>586858616</v>
      </c>
      <c r="BL80" s="11" t="n">
        <v>9956916</v>
      </c>
      <c r="BM80" s="11" t="n">
        <v>-139725459</v>
      </c>
      <c r="BN80" s="11" t="n">
        <v>-4376752</v>
      </c>
      <c r="BO80" s="11" t="n">
        <v>64842662</v>
      </c>
      <c r="BP80" s="11" t="n">
        <v>-25993120</v>
      </c>
      <c r="BQ80" s="11" t="n">
        <v>484530872</v>
      </c>
      <c r="BR80" s="11" t="n">
        <v>-247690559</v>
      </c>
      <c r="BS80" s="11" t="n">
        <v>113533797</v>
      </c>
      <c r="BT80" s="11" t="n">
        <v>-3049556</v>
      </c>
      <c r="BU80" s="11" t="n">
        <v>-61040</v>
      </c>
      <c r="BV80" s="11" t="n">
        <v>1865648</v>
      </c>
      <c r="BW80" s="11" t="n">
        <v>-2550830</v>
      </c>
      <c r="BX80" s="11" t="n">
        <v>842698</v>
      </c>
      <c r="BY80" s="11" t="n">
        <v>19015350</v>
      </c>
      <c r="BZ80" s="11" t="n">
        <v>-365242904</v>
      </c>
      <c r="CA80" s="11" t="n">
        <v>210372632</v>
      </c>
      <c r="CB80" s="11" t="n">
        <v>-91590854</v>
      </c>
      <c r="CC80" s="11" t="n">
        <v>4322440</v>
      </c>
      <c r="CD80" s="11" t="n">
        <v>-11694745</v>
      </c>
      <c r="CE80" s="11" t="n">
        <v>3421315</v>
      </c>
      <c r="CF80" s="11" t="n">
        <v>176809764</v>
      </c>
      <c r="CG80" s="11" t="n">
        <v>-44896100</v>
      </c>
      <c r="CH80" s="11" t="n">
        <v>-18478789</v>
      </c>
      <c r="CI80" s="11" t="n">
        <v>-112661324</v>
      </c>
      <c r="CJ80" s="11" t="n">
        <v>-6149152</v>
      </c>
      <c r="CK80" s="11" t="n">
        <v>-525084848</v>
      </c>
      <c r="CL80" s="11" t="n">
        <v>222658038</v>
      </c>
      <c r="CM80" s="11" t="n">
        <v>-130493954</v>
      </c>
      <c r="CN80" s="11" t="n">
        <v>760186252</v>
      </c>
      <c r="CO80" s="11" t="n">
        <v>-4692975576</v>
      </c>
      <c r="CP80" s="11" t="n">
        <v>3077032105</v>
      </c>
      <c r="CQ80" s="11" t="n">
        <v>-989156465</v>
      </c>
      <c r="CR80" s="11" t="n">
        <v>-3799175152</v>
      </c>
      <c r="CS80" s="11" t="n">
        <v>1670340014</v>
      </c>
      <c r="CT80" s="11" t="n">
        <v>-934501562</v>
      </c>
      <c r="CU80" s="11" t="n">
        <v>5066283448</v>
      </c>
      <c r="CV80" s="11" t="n">
        <v>825606016</v>
      </c>
      <c r="CW80" s="11" t="n">
        <v>-1609163125</v>
      </c>
      <c r="CX80" s="11" t="n">
        <v>-2713276</v>
      </c>
      <c r="CY80" s="11" t="n">
        <v>-413882720</v>
      </c>
      <c r="CZ80" s="11" t="n">
        <v>220800274</v>
      </c>
      <c r="DA80" s="11" t="n">
        <v>-112615038</v>
      </c>
      <c r="DB80" s="11" t="n">
        <v>-9944208</v>
      </c>
      <c r="DC80" s="11" t="n">
        <v>6689090</v>
      </c>
      <c r="DD80" s="11" t="n">
        <v>-3003878</v>
      </c>
      <c r="DE80" s="11" t="n">
        <v>211115608</v>
      </c>
      <c r="DF80" s="11" t="n">
        <v>-45474856</v>
      </c>
      <c r="DG80" s="11" t="n">
        <v>-33183148</v>
      </c>
      <c r="DH80" s="11" t="n">
        <v>2905711384</v>
      </c>
      <c r="DI80" s="11" t="n">
        <v>-1563963247</v>
      </c>
      <c r="DJ80" s="11" t="n">
        <v>783696259</v>
      </c>
      <c r="DK80" s="11" t="n">
        <v>-2106491524</v>
      </c>
      <c r="DL80" s="11" t="n">
        <v>-1057193812</v>
      </c>
      <c r="DM80" s="11" t="n">
        <v>1137161045</v>
      </c>
      <c r="DN80" s="11" t="n">
        <v>1431549584</v>
      </c>
      <c r="DO80" s="11" t="n">
        <v>-344662280</v>
      </c>
      <c r="DP80" s="11" t="n">
        <v>-200591469</v>
      </c>
      <c r="DQ80" s="11" t="n">
        <v>770707492</v>
      </c>
      <c r="DR80" s="11" t="n">
        <v>-235961</v>
      </c>
      <c r="DS80" s="11" t="n">
        <v>-5175</v>
      </c>
      <c r="DT80" s="11" t="n">
        <v>394267</v>
      </c>
      <c r="DU80" s="11" t="n">
        <v>-12387</v>
      </c>
      <c r="DV80" s="11" t="n">
        <v>620762</v>
      </c>
      <c r="DW80" s="11" t="n">
        <v>-29722</v>
      </c>
      <c r="DX80" s="11" t="n">
        <v>166548</v>
      </c>
      <c r="DY80" s="11" t="n">
        <v>24515</v>
      </c>
      <c r="DZ80" s="11" t="n">
        <v>2170062</v>
      </c>
      <c r="EA80" s="11" t="n">
        <v>129126</v>
      </c>
      <c r="EB80" s="11" t="n">
        <v>22163754</v>
      </c>
      <c r="EC80" s="11" t="n">
        <v>-13520089</v>
      </c>
      <c r="ED80" s="11" t="n">
        <v>4602567</v>
      </c>
      <c r="EE80" s="11" t="n">
        <v>88555</v>
      </c>
      <c r="EF80" s="11" t="n">
        <v>1545</v>
      </c>
      <c r="EG80" s="11" t="n">
        <v>550580</v>
      </c>
      <c r="EH80" s="11" t="n">
        <v>-299605</v>
      </c>
      <c r="EI80" s="11" t="n">
        <v>118245</v>
      </c>
      <c r="EJ80" s="11" t="n">
        <v>-329676</v>
      </c>
      <c r="EK80" s="11" t="n">
        <v>-31324434</v>
      </c>
      <c r="EL80" s="11" t="n">
        <v>22317359</v>
      </c>
      <c r="EM80" s="11" t="n">
        <v>-6158733</v>
      </c>
      <c r="EN80" s="11" t="n">
        <v>1503210</v>
      </c>
      <c r="EO80" s="11" t="n">
        <v>-726015</v>
      </c>
      <c r="EP80" s="11" t="n">
        <v>332757</v>
      </c>
      <c r="EQ80" s="11" t="n">
        <v>32776630</v>
      </c>
      <c r="ER80" s="11" t="n">
        <v>3535458</v>
      </c>
      <c r="ES80" s="11" t="n">
        <v>-8963118</v>
      </c>
      <c r="ET80" s="11" t="n">
        <v>41634</v>
      </c>
      <c r="EU80" s="11" t="n">
        <v>-2711532</v>
      </c>
      <c r="EV80" s="11" t="n">
        <v>41384</v>
      </c>
      <c r="EW80" s="11" t="n">
        <v>-6638916</v>
      </c>
      <c r="EX80" s="11" t="n">
        <v>638407</v>
      </c>
      <c r="EY80" s="11" t="n">
        <v>-2143003</v>
      </c>
      <c r="EZ80" s="11" t="n">
        <v>10098</v>
      </c>
      <c r="FA80" s="11" t="n">
        <v>-1278</v>
      </c>
      <c r="FB80" s="11" t="n">
        <v>-36072</v>
      </c>
      <c r="FC80" s="11" t="n">
        <v>8757</v>
      </c>
      <c r="FD80" s="11" t="n">
        <v>-17613</v>
      </c>
      <c r="FE80" s="11" t="n">
        <v>73196</v>
      </c>
      <c r="FF80" s="11" t="n">
        <v>3959508</v>
      </c>
      <c r="FG80" s="11" t="n">
        <v>-725165</v>
      </c>
      <c r="FH80" s="11" t="n">
        <v>1666865</v>
      </c>
      <c r="FI80" s="11" t="n">
        <v>-239644</v>
      </c>
      <c r="FJ80" s="11" t="n">
        <v>28301</v>
      </c>
      <c r="FK80" s="11" t="n">
        <v>-83289</v>
      </c>
      <c r="FL80" s="11" t="n">
        <v>-843262</v>
      </c>
      <c r="FM80" s="11" t="n">
        <v>951838</v>
      </c>
      <c r="FN80" s="11" t="n">
        <v>180670</v>
      </c>
      <c r="FO80" s="11" t="n">
        <v>664608</v>
      </c>
      <c r="FP80" s="11" t="n">
        <v>18484</v>
      </c>
      <c r="FQ80" s="11" t="n">
        <v>4600416</v>
      </c>
      <c r="FR80" s="11" t="n">
        <v>-2451871</v>
      </c>
      <c r="FS80" s="11" t="n">
        <v>1034743</v>
      </c>
      <c r="FT80" s="11" t="n">
        <v>-1864440</v>
      </c>
      <c r="FU80" s="11" t="n">
        <v>-193637376</v>
      </c>
      <c r="FV80" s="11" t="n">
        <v>149494074</v>
      </c>
      <c r="FW80" s="11" t="n">
        <v>-33181578</v>
      </c>
      <c r="FX80" s="11" t="n">
        <v>7520232</v>
      </c>
      <c r="FY80" s="11" t="n">
        <v>-2720578</v>
      </c>
      <c r="FZ80" s="11" t="n">
        <v>1979946</v>
      </c>
      <c r="GA80" s="11" t="n">
        <v>320431086</v>
      </c>
      <c r="GB80" s="11" t="n">
        <v>71795490</v>
      </c>
      <c r="GC80" s="11" t="n">
        <v>-110337218</v>
      </c>
      <c r="GD80" s="11" t="n">
        <v>24884</v>
      </c>
      <c r="GE80" s="11" t="n">
        <v>1691616</v>
      </c>
      <c r="GF80" s="11" t="n">
        <v>-734471</v>
      </c>
      <c r="GG80" s="11" t="n">
        <v>532127</v>
      </c>
      <c r="GH80" s="11" t="n">
        <v>-125200</v>
      </c>
      <c r="GI80" s="11" t="n">
        <v>71375</v>
      </c>
      <c r="GJ80" s="11" t="n">
        <v>-23943</v>
      </c>
      <c r="GK80" s="11" t="n">
        <v>1156700</v>
      </c>
      <c r="GL80" s="11" t="n">
        <v>1049668</v>
      </c>
      <c r="GM80" s="11" t="n">
        <v>-819608</v>
      </c>
      <c r="GN80" s="11" t="n">
        <v>2504568</v>
      </c>
      <c r="GO80" s="11" t="n">
        <v>-3536872</v>
      </c>
      <c r="GP80" s="11" t="n">
        <v>-250416</v>
      </c>
      <c r="GQ80" s="11" t="n">
        <v>-166512486</v>
      </c>
      <c r="GR80" s="11" t="n">
        <v>-70581738</v>
      </c>
      <c r="GS80" s="11" t="n">
        <v>83024770</v>
      </c>
      <c r="GT80" s="11" t="n">
        <v>10611350</v>
      </c>
      <c r="GU80" s="11" t="n">
        <v>3669786</v>
      </c>
      <c r="GV80" s="11" t="n">
        <v>-4121394</v>
      </c>
      <c r="GW80" s="11" t="n">
        <v>55060328</v>
      </c>
      <c r="GX80" s="11" t="n">
        <v>92387</v>
      </c>
      <c r="GY80" s="11" t="n">
        <v>-1003363</v>
      </c>
      <c r="GZ80" s="11" t="n">
        <v>584588</v>
      </c>
      <c r="HA80" s="11" t="n">
        <v>-9873706</v>
      </c>
      <c r="HB80" s="11" t="n">
        <v>5528017</v>
      </c>
      <c r="HC80" s="11" t="n">
        <v>-2211120</v>
      </c>
      <c r="HD80" s="11" t="n">
        <v>132364</v>
      </c>
      <c r="HE80" s="11" t="n">
        <v>7971</v>
      </c>
      <c r="HF80" s="11" t="n">
        <v>26504</v>
      </c>
      <c r="HG80" s="11" t="n">
        <v>109601</v>
      </c>
      <c r="HH80" s="11" t="n">
        <v>16716</v>
      </c>
      <c r="HI80" s="11" t="n">
        <v>-924115</v>
      </c>
      <c r="HJ80" s="11" t="n">
        <v>13858336</v>
      </c>
      <c r="HK80" s="11" t="n">
        <v>-9110373</v>
      </c>
      <c r="HL80" s="11" t="n">
        <v>2986356</v>
      </c>
      <c r="HM80" s="11" t="n">
        <v>1019594</v>
      </c>
      <c r="HN80" s="11" t="n">
        <v>216563</v>
      </c>
      <c r="HO80" s="11" t="n">
        <v>296544</v>
      </c>
      <c r="HP80" s="11" t="n">
        <v>-13299302</v>
      </c>
      <c r="HQ80" s="11" t="n">
        <v>-1152168</v>
      </c>
      <c r="HR80" s="11" t="n">
        <v>3623316</v>
      </c>
      <c r="HS80" s="11" t="n">
        <v>953899</v>
      </c>
      <c r="HT80" s="11" t="n">
        <v>-10178</v>
      </c>
      <c r="HU80" s="11" t="n">
        <v>9703708</v>
      </c>
      <c r="HV80" s="11" t="n">
        <v>-5867918</v>
      </c>
      <c r="HW80" s="11" t="n">
        <v>2031789</v>
      </c>
      <c r="HX80" s="11" t="n">
        <v>-5925354</v>
      </c>
      <c r="HY80" s="11" t="n">
        <v>-3440130</v>
      </c>
      <c r="HZ80" s="11" t="n">
        <v>6651173</v>
      </c>
      <c r="IA80" s="11" t="n">
        <v>763779</v>
      </c>
      <c r="IB80" s="11" t="n">
        <v>60313428</v>
      </c>
      <c r="IC80" s="11" t="n">
        <v>-36520834</v>
      </c>
      <c r="ID80" s="11" t="n">
        <v>12612756</v>
      </c>
      <c r="IE80" s="11" t="n">
        <v>46498256</v>
      </c>
      <c r="IF80" s="11" t="n">
        <v>15097098</v>
      </c>
      <c r="IG80" s="11" t="n">
        <v>-18865281</v>
      </c>
      <c r="IH80" s="11" t="n">
        <v>-96883</v>
      </c>
      <c r="II80" s="11" t="n">
        <v>13628968</v>
      </c>
      <c r="IJ80" s="11" t="n">
        <v>-9538673</v>
      </c>
      <c r="IK80" s="11" t="n">
        <v>2738376</v>
      </c>
      <c r="IL80" s="11" t="n">
        <v>840140</v>
      </c>
      <c r="IM80" s="11" t="n">
        <v>-494200</v>
      </c>
      <c r="IN80" s="11" t="n">
        <v>177141</v>
      </c>
      <c r="IO80" s="11" t="n">
        <v>-13195140</v>
      </c>
      <c r="IP80" s="11" t="n">
        <v>-1172856</v>
      </c>
      <c r="IQ80" s="11" t="n">
        <v>3472071</v>
      </c>
      <c r="IR80" s="11" t="n">
        <v>-85008738</v>
      </c>
      <c r="IS80" s="11" t="n">
        <v>59927099</v>
      </c>
      <c r="IT80" s="11" t="n">
        <v>-16932453</v>
      </c>
      <c r="IU80" s="11" t="n">
        <v>-60629426</v>
      </c>
      <c r="IV80" s="11" t="n">
        <v>-20788248</v>
      </c>
      <c r="IW80" s="11" t="n">
        <v>26731185</v>
      </c>
      <c r="IX80" s="11" t="n">
        <v>-86040220</v>
      </c>
      <c r="IY80" s="11" t="n">
        <v>-8596986</v>
      </c>
      <c r="IZ80" s="11" t="n">
        <v>23198373</v>
      </c>
      <c r="JA80" s="11" t="n">
        <v>14908998</v>
      </c>
      <c r="JB80" s="11" t="n">
        <v>-884622</v>
      </c>
      <c r="JC80" s="11" t="n">
        <v>-86944</v>
      </c>
      <c r="JD80" s="11" t="n">
        <v>-857208</v>
      </c>
      <c r="JE80" s="11" t="n">
        <v>-725429</v>
      </c>
      <c r="JF80" s="11" t="n">
        <v>-448921</v>
      </c>
      <c r="JG80" s="11" t="n">
        <v>6541784</v>
      </c>
      <c r="JH80" s="11" t="n">
        <v>-85232844</v>
      </c>
      <c r="JI80" s="11" t="n">
        <v>60810223</v>
      </c>
      <c r="JJ80" s="11" t="n">
        <v>-16296391</v>
      </c>
      <c r="JK80" s="11" t="n">
        <v>-14716064</v>
      </c>
      <c r="JL80" s="11" t="n">
        <v>612108</v>
      </c>
      <c r="JM80" s="11" t="n">
        <v>-4921444</v>
      </c>
      <c r="JN80" s="11" t="n">
        <v>128820430</v>
      </c>
      <c r="JO80" s="11" t="n">
        <v>27461918</v>
      </c>
      <c r="JP80" s="11" t="n">
        <v>-44223251</v>
      </c>
      <c r="JQ80" s="11" t="n">
        <v>-48242</v>
      </c>
      <c r="JR80" s="11" t="n">
        <v>-974352</v>
      </c>
      <c r="JS80" s="11" t="n">
        <v>10118</v>
      </c>
      <c r="JT80" s="11" t="n">
        <v>-483116</v>
      </c>
      <c r="JU80" s="11" t="n">
        <v>-49016</v>
      </c>
      <c r="JV80" s="11" t="n">
        <v>40555</v>
      </c>
      <c r="JW80" s="11" t="n">
        <v>-23001</v>
      </c>
      <c r="JX80" s="11" t="n">
        <v>808816</v>
      </c>
      <c r="JY80" s="11" t="n">
        <v>26312</v>
      </c>
      <c r="JZ80" s="11" t="n">
        <v>-401311</v>
      </c>
      <c r="KA80" s="11" t="n">
        <v>11853428</v>
      </c>
      <c r="KB80" s="11" t="n">
        <v>-3391049</v>
      </c>
      <c r="KC80" s="11" t="n">
        <v>4461353</v>
      </c>
      <c r="KD80" s="11" t="n">
        <v>-66003532</v>
      </c>
      <c r="KE80" s="11" t="n">
        <v>-28598576</v>
      </c>
      <c r="KF80" s="11" t="n">
        <v>33023715</v>
      </c>
      <c r="KG80" s="11" t="n">
        <v>6519218</v>
      </c>
      <c r="KH80" s="11" t="n">
        <v>-1118590</v>
      </c>
      <c r="KI80" s="11" t="n">
        <v>-2133673</v>
      </c>
      <c r="KJ80" s="11" t="n">
        <v>21957466</v>
      </c>
      <c r="KK80" s="11" t="n">
        <v>-995156</v>
      </c>
      <c r="KL80" s="11" t="n">
        <v>84064032</v>
      </c>
      <c r="KM80" s="11" t="n">
        <v>-63676441</v>
      </c>
      <c r="KN80" s="11" t="n">
        <v>14819617</v>
      </c>
      <c r="KO80" s="11" t="n">
        <v>9226448</v>
      </c>
      <c r="KP80" s="11" t="n">
        <v>-5442290</v>
      </c>
      <c r="KQ80" s="11" t="n">
        <v>1961542</v>
      </c>
      <c r="KR80" s="11" t="n">
        <v>-130639348</v>
      </c>
      <c r="KS80" s="11" t="n">
        <v>-28299788</v>
      </c>
      <c r="KT80" s="11" t="n">
        <v>44466757</v>
      </c>
      <c r="KU80" s="11" t="n">
        <v>-525771192</v>
      </c>
      <c r="KV80" s="11" t="n">
        <v>402479098</v>
      </c>
      <c r="KW80" s="11" t="n">
        <v>-91258506</v>
      </c>
      <c r="KX80" s="11" t="n">
        <v>-356504394</v>
      </c>
      <c r="KY80" s="11" t="n">
        <v>-120754662</v>
      </c>
      <c r="KZ80" s="11" t="n">
        <v>154316720</v>
      </c>
      <c r="LA80" s="11" t="n">
        <v>-856200604</v>
      </c>
      <c r="LB80" s="11" t="n">
        <v>-190251996</v>
      </c>
      <c r="LC80" s="11" t="n">
        <v>294249746</v>
      </c>
      <c r="LD80" s="11" t="n">
        <v>67642622</v>
      </c>
      <c r="LE80" s="11" t="n">
        <v>5680448</v>
      </c>
      <c r="LF80" s="11" t="n">
        <v>-3483915</v>
      </c>
      <c r="LG80" s="11" t="n">
        <v>1351655</v>
      </c>
      <c r="LH80" s="11" t="n">
        <v>-69173848</v>
      </c>
      <c r="LI80" s="11" t="n">
        <v>-29586824</v>
      </c>
      <c r="LJ80" s="11" t="n">
        <v>34605925</v>
      </c>
      <c r="LK80" s="11" t="n">
        <v>1235500</v>
      </c>
      <c r="LL80" s="11" t="n">
        <v>-1335004</v>
      </c>
      <c r="LM80" s="11" t="n">
        <v>524795</v>
      </c>
      <c r="LN80" s="11" t="n">
        <v>22692204</v>
      </c>
      <c r="LO80" s="11" t="n">
        <v>456731854</v>
      </c>
      <c r="LP80" s="11" t="n">
        <v>193207962</v>
      </c>
      <c r="LQ80" s="11" t="n">
        <v>-227176450</v>
      </c>
      <c r="LR80" s="11" t="n">
        <v>26108290</v>
      </c>
      <c r="LS80" s="11" t="n">
        <v>149362742</v>
      </c>
    </row>
    <row r="81" customFormat="false" ht="15" hidden="false" customHeight="true" outlineLevel="0" collapsed="false">
      <c r="A81" s="7" t="s">
        <v>147</v>
      </c>
      <c r="B81" s="11" t="n">
        <v>4418814</v>
      </c>
      <c r="C81" s="11" t="n">
        <v>108446142</v>
      </c>
      <c r="D81" s="11" t="n">
        <v>119076</v>
      </c>
      <c r="E81" s="11" t="n">
        <v>50218794</v>
      </c>
      <c r="F81" s="11" t="n">
        <v>4995238</v>
      </c>
      <c r="G81" s="11" t="n">
        <v>555468560</v>
      </c>
      <c r="H81" s="11" t="n">
        <v>-273132114</v>
      </c>
      <c r="I81" s="11" t="n">
        <v>117283182</v>
      </c>
      <c r="J81" s="11" t="n">
        <v>-7000530</v>
      </c>
      <c r="K81" s="11" t="n">
        <v>-63510</v>
      </c>
      <c r="L81" s="11" t="n">
        <v>9319662</v>
      </c>
      <c r="M81" s="11" t="n">
        <v>-382994</v>
      </c>
      <c r="N81" s="11" t="n">
        <v>2091668</v>
      </c>
      <c r="O81" s="11" t="n">
        <v>2548590</v>
      </c>
      <c r="P81" s="11" t="n">
        <v>-7883712</v>
      </c>
      <c r="Q81" s="11" t="n">
        <v>-1370010</v>
      </c>
      <c r="R81" s="11" t="n">
        <v>308281716</v>
      </c>
      <c r="S81" s="11" t="n">
        <v>-1485672</v>
      </c>
      <c r="T81" s="11" t="n">
        <v>931337604</v>
      </c>
      <c r="U81" s="11" t="n">
        <v>-370163760</v>
      </c>
      <c r="V81" s="11" t="n">
        <v>-7674846</v>
      </c>
      <c r="W81" s="11" t="n">
        <v>972918</v>
      </c>
      <c r="X81" s="11" t="n">
        <v>61474</v>
      </c>
      <c r="Y81" s="11" t="n">
        <v>8039912</v>
      </c>
      <c r="Z81" s="11" t="n">
        <v>-3856950</v>
      </c>
      <c r="AA81" s="11" t="n">
        <v>1473222</v>
      </c>
      <c r="AB81" s="11" t="n">
        <v>-14888028</v>
      </c>
      <c r="AC81" s="11" t="n">
        <v>-1147760052</v>
      </c>
      <c r="AD81" s="11" t="n">
        <v>605023452</v>
      </c>
      <c r="AE81" s="11" t="n">
        <v>-336956958</v>
      </c>
      <c r="AF81" s="11" t="n">
        <v>50508916</v>
      </c>
      <c r="AG81" s="11" t="n">
        <v>-20792264</v>
      </c>
      <c r="AH81" s="11" t="n">
        <v>1253218</v>
      </c>
      <c r="AI81" s="11" t="n">
        <v>449659868</v>
      </c>
      <c r="AJ81" s="11" t="n">
        <v>-1046541364</v>
      </c>
      <c r="AK81" s="11" t="n">
        <v>419657442</v>
      </c>
      <c r="AL81" s="11" t="n">
        <v>-47321136</v>
      </c>
      <c r="AM81" s="11" t="n">
        <v>1439238</v>
      </c>
      <c r="AN81" s="11" t="n">
        <v>7857030</v>
      </c>
      <c r="AO81" s="11" t="n">
        <v>9319500</v>
      </c>
      <c r="AP81" s="11" t="n">
        <v>-177385332</v>
      </c>
      <c r="AQ81" s="11" t="n">
        <v>106795086</v>
      </c>
      <c r="AR81" s="11" t="n">
        <v>-37582182</v>
      </c>
      <c r="AS81" s="11" t="n">
        <v>36596838</v>
      </c>
      <c r="AT81" s="11" t="n">
        <v>730620246</v>
      </c>
      <c r="AU81" s="11" t="n">
        <v>282212412</v>
      </c>
      <c r="AV81" s="11" t="n">
        <v>1595144844</v>
      </c>
      <c r="AW81" s="11" t="n">
        <v>-304019778</v>
      </c>
      <c r="AX81" s="11" t="n">
        <v>333648522</v>
      </c>
      <c r="AY81" s="11" t="n">
        <v>-16144878</v>
      </c>
      <c r="AZ81" s="11" t="n">
        <v>-1375846</v>
      </c>
      <c r="BA81" s="11" t="n">
        <v>-185700008</v>
      </c>
      <c r="BB81" s="11" t="n">
        <v>91838862</v>
      </c>
      <c r="BC81" s="11" t="n">
        <v>-39212682</v>
      </c>
      <c r="BD81" s="11" t="n">
        <v>97031990</v>
      </c>
      <c r="BE81" s="11" t="n">
        <v>-3003613772</v>
      </c>
      <c r="BF81" s="11" t="n">
        <v>1699353636</v>
      </c>
      <c r="BG81" s="11" t="n">
        <v>-635652312</v>
      </c>
      <c r="BH81" s="11" t="n">
        <v>-1372035844</v>
      </c>
      <c r="BI81" s="11" t="n">
        <v>696775562</v>
      </c>
      <c r="BJ81" s="11" t="n">
        <v>-289840794</v>
      </c>
      <c r="BK81" s="11" t="n">
        <v>2460316708</v>
      </c>
      <c r="BL81" s="11" t="n">
        <v>-16159164</v>
      </c>
      <c r="BM81" s="11" t="n">
        <v>-511532436</v>
      </c>
      <c r="BN81" s="11" t="n">
        <v>-2960250</v>
      </c>
      <c r="BO81" s="11" t="n">
        <v>87356838</v>
      </c>
      <c r="BP81" s="11" t="n">
        <v>-18865956</v>
      </c>
      <c r="BQ81" s="11" t="n">
        <v>303423372</v>
      </c>
      <c r="BR81" s="11" t="n">
        <v>-141897810</v>
      </c>
      <c r="BS81" s="11" t="n">
        <v>-24886998</v>
      </c>
      <c r="BT81" s="11" t="n">
        <v>-3148404</v>
      </c>
      <c r="BU81" s="11" t="n">
        <v>-9202</v>
      </c>
      <c r="BV81" s="11" t="n">
        <v>1868224</v>
      </c>
      <c r="BW81" s="11" t="n">
        <v>-2365020</v>
      </c>
      <c r="BX81" s="11" t="n">
        <v>3107934</v>
      </c>
      <c r="BY81" s="11" t="n">
        <v>20336630</v>
      </c>
      <c r="BZ81" s="11" t="n">
        <v>-377840216</v>
      </c>
      <c r="CA81" s="11" t="n">
        <v>220708488</v>
      </c>
      <c r="CB81" s="11" t="n">
        <v>-65246166</v>
      </c>
      <c r="CC81" s="11" t="n">
        <v>10963172</v>
      </c>
      <c r="CD81" s="11" t="n">
        <v>-14631406</v>
      </c>
      <c r="CE81" s="11" t="n">
        <v>19884522</v>
      </c>
      <c r="CF81" s="11" t="n">
        <v>152860552</v>
      </c>
      <c r="CG81" s="11" t="n">
        <v>-334267140</v>
      </c>
      <c r="CH81" s="11" t="n">
        <v>168859818</v>
      </c>
      <c r="CI81" s="11" t="n">
        <v>-113264454</v>
      </c>
      <c r="CJ81" s="11" t="n">
        <v>-3063852</v>
      </c>
      <c r="CK81" s="11" t="n">
        <v>-334445976</v>
      </c>
      <c r="CL81" s="11" t="n">
        <v>128758230</v>
      </c>
      <c r="CM81" s="11" t="n">
        <v>-1625016</v>
      </c>
      <c r="CN81" s="11" t="n">
        <v>812259312</v>
      </c>
      <c r="CO81" s="11" t="n">
        <v>-1740035340</v>
      </c>
      <c r="CP81" s="11" t="n">
        <v>1629614436</v>
      </c>
      <c r="CQ81" s="11" t="n">
        <v>1000175154</v>
      </c>
      <c r="CR81" s="11" t="n">
        <v>-2445498648</v>
      </c>
      <c r="CS81" s="11" t="n">
        <v>967452408</v>
      </c>
      <c r="CT81" s="11" t="n">
        <v>15401604</v>
      </c>
      <c r="CU81" s="11" t="n">
        <v>2833846884</v>
      </c>
      <c r="CV81" s="11" t="n">
        <v>2978270136</v>
      </c>
      <c r="CW81" s="11" t="n">
        <v>-1160372274</v>
      </c>
      <c r="CX81" s="11" t="n">
        <v>-2906506</v>
      </c>
      <c r="CY81" s="11" t="n">
        <v>-427185008</v>
      </c>
      <c r="CZ81" s="11" t="n">
        <v>227432016</v>
      </c>
      <c r="DA81" s="11" t="n">
        <v>-120643410</v>
      </c>
      <c r="DB81" s="11" t="n">
        <v>-2973240</v>
      </c>
      <c r="DC81" s="11" t="n">
        <v>2848038</v>
      </c>
      <c r="DD81" s="11" t="n">
        <v>-3221756</v>
      </c>
      <c r="DE81" s="11" t="n">
        <v>185937744</v>
      </c>
      <c r="DF81" s="11" t="n">
        <v>-350105608</v>
      </c>
      <c r="DG81" s="11" t="n">
        <v>133883586</v>
      </c>
      <c r="DH81" s="11" t="n">
        <v>3108145684</v>
      </c>
      <c r="DI81" s="11" t="n">
        <v>-1672813052</v>
      </c>
      <c r="DJ81" s="11" t="n">
        <v>839510674</v>
      </c>
      <c r="DK81" s="11" t="n">
        <v>-2652262912</v>
      </c>
      <c r="DL81" s="11" t="n">
        <v>-5625627508</v>
      </c>
      <c r="DM81" s="11" t="n">
        <v>3744105756</v>
      </c>
      <c r="DN81" s="11" t="n">
        <v>1334400252</v>
      </c>
      <c r="DO81" s="11" t="n">
        <v>-2586480224</v>
      </c>
      <c r="DP81" s="11" t="n">
        <v>1031629450</v>
      </c>
      <c r="DQ81" s="11" t="n">
        <v>4622326556</v>
      </c>
      <c r="DR81" s="11" t="n">
        <v>-1079733</v>
      </c>
      <c r="DS81" s="11" t="n">
        <v>-27501</v>
      </c>
      <c r="DT81" s="11" t="n">
        <v>2072271</v>
      </c>
      <c r="DU81" s="11" t="n">
        <v>-61061</v>
      </c>
      <c r="DV81" s="11" t="n">
        <v>3438878</v>
      </c>
      <c r="DW81" s="11" t="n">
        <v>-183234</v>
      </c>
      <c r="DX81" s="11" t="n">
        <v>913389</v>
      </c>
      <c r="DY81" s="11" t="n">
        <v>-645831</v>
      </c>
      <c r="DZ81" s="11" t="n">
        <v>63128406</v>
      </c>
      <c r="EA81" s="11" t="n">
        <v>-277972</v>
      </c>
      <c r="EB81" s="11" t="n">
        <v>220124854</v>
      </c>
      <c r="EC81" s="11" t="n">
        <v>-71236485</v>
      </c>
      <c r="ED81" s="11" t="n">
        <v>51074346</v>
      </c>
      <c r="EE81" s="11" t="n">
        <v>368385</v>
      </c>
      <c r="EF81" s="11" t="n">
        <v>29443</v>
      </c>
      <c r="EG81" s="11" t="n">
        <v>3549692</v>
      </c>
      <c r="EH81" s="11" t="n">
        <v>-1704807</v>
      </c>
      <c r="EI81" s="11" t="n">
        <v>754539</v>
      </c>
      <c r="EJ81" s="11" t="n">
        <v>-3036538</v>
      </c>
      <c r="EK81" s="11" t="n">
        <v>-221413502</v>
      </c>
      <c r="EL81" s="11" t="n">
        <v>126007107</v>
      </c>
      <c r="EM81" s="11" t="n">
        <v>-44621304</v>
      </c>
      <c r="EN81" s="11" t="n">
        <v>11563166</v>
      </c>
      <c r="EO81" s="11" t="n">
        <v>-3981389</v>
      </c>
      <c r="EP81" s="11" t="n">
        <v>2653206</v>
      </c>
      <c r="EQ81" s="11" t="n">
        <v>189527618</v>
      </c>
      <c r="ER81" s="11" t="n">
        <v>23543946</v>
      </c>
      <c r="ES81" s="11" t="n">
        <v>-51594297</v>
      </c>
      <c r="ET81" s="11" t="n">
        <v>28050</v>
      </c>
      <c r="EU81" s="11" t="n">
        <v>-1005756</v>
      </c>
      <c r="EV81" s="11" t="n">
        <v>3152</v>
      </c>
      <c r="EW81" s="11" t="n">
        <v>-4936964</v>
      </c>
      <c r="EX81" s="11" t="n">
        <v>913035</v>
      </c>
      <c r="EY81" s="11" t="n">
        <v>-3373419</v>
      </c>
      <c r="EZ81" s="11" t="n">
        <v>28218</v>
      </c>
      <c r="FA81" s="11" t="n">
        <v>-1506</v>
      </c>
      <c r="FB81" s="11" t="n">
        <v>-36408</v>
      </c>
      <c r="FC81" s="11" t="n">
        <v>18495</v>
      </c>
      <c r="FD81" s="11" t="n">
        <v>-62193</v>
      </c>
      <c r="FE81" s="11" t="n">
        <v>50828</v>
      </c>
      <c r="FF81" s="11" t="n">
        <v>6271972</v>
      </c>
      <c r="FG81" s="11" t="n">
        <v>-1581657</v>
      </c>
      <c r="FH81" s="11" t="n">
        <v>5623605</v>
      </c>
      <c r="FI81" s="11" t="n">
        <v>-269156</v>
      </c>
      <c r="FJ81" s="11" t="n">
        <v>51099</v>
      </c>
      <c r="FK81" s="11" t="n">
        <v>-188107</v>
      </c>
      <c r="FL81" s="11" t="n">
        <v>-2070138</v>
      </c>
      <c r="FM81" s="11" t="n">
        <v>6567742</v>
      </c>
      <c r="FN81" s="11" t="n">
        <v>199893</v>
      </c>
      <c r="FO81" s="11" t="n">
        <v>1038408</v>
      </c>
      <c r="FP81" s="11" t="n">
        <v>-5336</v>
      </c>
      <c r="FQ81" s="11" t="n">
        <v>2765552</v>
      </c>
      <c r="FR81" s="11" t="n">
        <v>-1304505</v>
      </c>
      <c r="FS81" s="11" t="n">
        <v>-690933</v>
      </c>
      <c r="FT81" s="11" t="n">
        <v>74640</v>
      </c>
      <c r="FU81" s="11" t="n">
        <v>83604720</v>
      </c>
      <c r="FV81" s="11" t="n">
        <v>12973650</v>
      </c>
      <c r="FW81" s="11" t="n">
        <v>149657586</v>
      </c>
      <c r="FX81" s="11" t="n">
        <v>-628400</v>
      </c>
      <c r="FY81" s="11" t="n">
        <v>27100</v>
      </c>
      <c r="FZ81" s="11" t="n">
        <v>-719372</v>
      </c>
      <c r="GA81" s="11" t="n">
        <v>139581050</v>
      </c>
      <c r="GB81" s="11" t="n">
        <v>454205954</v>
      </c>
      <c r="GC81" s="11" t="n">
        <v>-179375685</v>
      </c>
      <c r="GD81" s="11" t="n">
        <v>50384</v>
      </c>
      <c r="GE81" s="11" t="n">
        <v>4129936</v>
      </c>
      <c r="GF81" s="11" t="n">
        <v>-1997001</v>
      </c>
      <c r="GG81" s="11" t="n">
        <v>1607307</v>
      </c>
      <c r="GH81" s="11" t="n">
        <v>-155408</v>
      </c>
      <c r="GI81" s="11" t="n">
        <v>73557</v>
      </c>
      <c r="GJ81" s="11" t="n">
        <v>25265</v>
      </c>
      <c r="GK81" s="11" t="n">
        <v>-130284</v>
      </c>
      <c r="GL81" s="11" t="n">
        <v>7028644</v>
      </c>
      <c r="GM81" s="11" t="n">
        <v>-3347946</v>
      </c>
      <c r="GN81" s="11" t="n">
        <v>-3759680</v>
      </c>
      <c r="GO81" s="11" t="n">
        <v>-773030</v>
      </c>
      <c r="GP81" s="11" t="n">
        <v>-7145918</v>
      </c>
      <c r="GQ81" s="11" t="n">
        <v>-212381890</v>
      </c>
      <c r="GR81" s="11" t="n">
        <v>-465807082</v>
      </c>
      <c r="GS81" s="11" t="n">
        <v>307893417</v>
      </c>
      <c r="GT81" s="11" t="n">
        <v>7873250</v>
      </c>
      <c r="GU81" s="11" t="n">
        <v>23926666</v>
      </c>
      <c r="GV81" s="11" t="n">
        <v>-10044889</v>
      </c>
      <c r="GW81" s="11" t="n">
        <v>376142368</v>
      </c>
      <c r="GX81" s="11" t="n">
        <v>646185</v>
      </c>
      <c r="GY81" s="11" t="n">
        <v>-20272119</v>
      </c>
      <c r="GZ81" s="11" t="n">
        <v>2931114</v>
      </c>
      <c r="HA81" s="11" t="n">
        <v>-80170926</v>
      </c>
      <c r="HB81" s="11" t="n">
        <v>28057533</v>
      </c>
      <c r="HC81" s="11" t="n">
        <v>-18964665</v>
      </c>
      <c r="HD81" s="11" t="n">
        <v>723852</v>
      </c>
      <c r="HE81" s="11" t="n">
        <v>38113</v>
      </c>
      <c r="HF81" s="11" t="n">
        <v>16088</v>
      </c>
      <c r="HG81" s="11" t="n">
        <v>604971</v>
      </c>
      <c r="HH81" s="11" t="n">
        <v>63600</v>
      </c>
      <c r="HI81" s="11" t="n">
        <v>-4479095</v>
      </c>
      <c r="HJ81" s="11" t="n">
        <v>89302208</v>
      </c>
      <c r="HK81" s="11" t="n">
        <v>-50409009</v>
      </c>
      <c r="HL81" s="11" t="n">
        <v>19248828</v>
      </c>
      <c r="HM81" s="11" t="n">
        <v>4801582</v>
      </c>
      <c r="HN81" s="11" t="n">
        <v>1089289</v>
      </c>
      <c r="HO81" s="11" t="n">
        <v>1407057</v>
      </c>
      <c r="HP81" s="11" t="n">
        <v>-75756130</v>
      </c>
      <c r="HQ81" s="11" t="n">
        <v>-7418568</v>
      </c>
      <c r="HR81" s="11" t="n">
        <v>20516619</v>
      </c>
      <c r="HS81" s="11" t="n">
        <v>25654737</v>
      </c>
      <c r="HT81" s="11" t="n">
        <v>1586858</v>
      </c>
      <c r="HU81" s="11" t="n">
        <v>83784148</v>
      </c>
      <c r="HV81" s="11" t="n">
        <v>-25850394</v>
      </c>
      <c r="HW81" s="11" t="n">
        <v>19222815</v>
      </c>
      <c r="HX81" s="11" t="n">
        <v>-166153552</v>
      </c>
      <c r="HY81" s="11" t="n">
        <v>554457010</v>
      </c>
      <c r="HZ81" s="11" t="n">
        <v>-302957151</v>
      </c>
      <c r="IA81" s="11" t="n">
        <v>149873952</v>
      </c>
      <c r="IB81" s="11" t="n">
        <v>576925748</v>
      </c>
      <c r="IC81" s="11" t="n">
        <v>-186159958</v>
      </c>
      <c r="ID81" s="11" t="n">
        <v>133767408</v>
      </c>
      <c r="IE81" s="11" t="n">
        <v>-430722584</v>
      </c>
      <c r="IF81" s="11" t="n">
        <v>74015058</v>
      </c>
      <c r="IG81" s="11" t="n">
        <v>75985521</v>
      </c>
      <c r="IH81" s="11" t="n">
        <v>264431</v>
      </c>
      <c r="II81" s="11" t="n">
        <v>93215704</v>
      </c>
      <c r="IJ81" s="11" t="n">
        <v>-52975899</v>
      </c>
      <c r="IK81" s="11" t="n">
        <v>19008228</v>
      </c>
      <c r="IL81" s="11" t="n">
        <v>4902212</v>
      </c>
      <c r="IM81" s="11" t="n">
        <v>-3010344</v>
      </c>
      <c r="IN81" s="11" t="n">
        <v>977607</v>
      </c>
      <c r="IO81" s="11" t="n">
        <v>-79083948</v>
      </c>
      <c r="IP81" s="11" t="n">
        <v>-7767768</v>
      </c>
      <c r="IQ81" s="11" t="n">
        <v>20541069</v>
      </c>
      <c r="IR81" s="11" t="n">
        <v>-609428814</v>
      </c>
      <c r="IS81" s="11" t="n">
        <v>346222417</v>
      </c>
      <c r="IT81" s="11" t="n">
        <v>-124652064</v>
      </c>
      <c r="IU81" s="11" t="n">
        <v>-44143678</v>
      </c>
      <c r="IV81" s="11" t="n">
        <v>-133751544</v>
      </c>
      <c r="IW81" s="11" t="n">
        <v>85014660</v>
      </c>
      <c r="IX81" s="11" t="n">
        <v>-519359252</v>
      </c>
      <c r="IY81" s="11" t="n">
        <v>-57818370</v>
      </c>
      <c r="IZ81" s="11" t="n">
        <v>139076487</v>
      </c>
      <c r="JA81" s="11" t="n">
        <v>109795902</v>
      </c>
      <c r="JB81" s="11" t="n">
        <v>-75270</v>
      </c>
      <c r="JC81" s="11" t="n">
        <v>-74260</v>
      </c>
      <c r="JD81" s="11" t="n">
        <v>-871880</v>
      </c>
      <c r="JE81" s="11" t="n">
        <v>-182475</v>
      </c>
      <c r="JF81" s="11" t="n">
        <v>-1526205</v>
      </c>
      <c r="JG81" s="11" t="n">
        <v>2671112</v>
      </c>
      <c r="JH81" s="11" t="n">
        <v>18014020</v>
      </c>
      <c r="JI81" s="11" t="n">
        <v>8992851</v>
      </c>
      <c r="JJ81" s="11" t="n">
        <v>45671037</v>
      </c>
      <c r="JK81" s="11" t="n">
        <v>-13168168</v>
      </c>
      <c r="JL81" s="11" t="n">
        <v>2396678</v>
      </c>
      <c r="JM81" s="11" t="n">
        <v>-9102342</v>
      </c>
      <c r="JN81" s="11" t="n">
        <v>60496594</v>
      </c>
      <c r="JO81" s="11" t="n">
        <v>163764798</v>
      </c>
      <c r="JP81" s="11" t="n">
        <v>-71623644</v>
      </c>
      <c r="JQ81" s="11" t="n">
        <v>-78746</v>
      </c>
      <c r="JR81" s="11" t="n">
        <v>-974800</v>
      </c>
      <c r="JS81" s="11" t="n">
        <v>-133938</v>
      </c>
      <c r="JT81" s="11" t="n">
        <v>-1702236</v>
      </c>
      <c r="JU81" s="11" t="n">
        <v>-49576</v>
      </c>
      <c r="JV81" s="11" t="n">
        <v>58761</v>
      </c>
      <c r="JW81" s="11" t="n">
        <v>-82709</v>
      </c>
      <c r="JX81" s="11" t="n">
        <v>811728</v>
      </c>
      <c r="JY81" s="11" t="n">
        <v>47816</v>
      </c>
      <c r="JZ81" s="11" t="n">
        <v>-1410903</v>
      </c>
      <c r="KA81" s="11" t="n">
        <v>15746884</v>
      </c>
      <c r="KB81" s="11" t="n">
        <v>-4655077</v>
      </c>
      <c r="KC81" s="11" t="n">
        <v>12627229</v>
      </c>
      <c r="KD81" s="11" t="n">
        <v>-84409052</v>
      </c>
      <c r="KE81" s="11" t="n">
        <v>-184084144</v>
      </c>
      <c r="KF81" s="11" t="n">
        <v>122105319</v>
      </c>
      <c r="KG81" s="11" t="n">
        <v>8819782</v>
      </c>
      <c r="KH81" s="11" t="n">
        <v>-8589662</v>
      </c>
      <c r="KI81" s="11" t="n">
        <v>-4533206</v>
      </c>
      <c r="KJ81" s="11" t="n">
        <v>149148698</v>
      </c>
      <c r="KK81" s="11" t="n">
        <v>-2763416</v>
      </c>
      <c r="KL81" s="11" t="n">
        <v>-24855760</v>
      </c>
      <c r="KM81" s="11" t="n">
        <v>-10255743</v>
      </c>
      <c r="KN81" s="11" t="n">
        <v>-58354011</v>
      </c>
      <c r="KO81" s="11" t="n">
        <v>7487424</v>
      </c>
      <c r="KP81" s="11" t="n">
        <v>-3418854</v>
      </c>
      <c r="KQ81" s="11" t="n">
        <v>-1538854</v>
      </c>
      <c r="KR81" s="11" t="n">
        <v>-58538892</v>
      </c>
      <c r="KS81" s="11" t="n">
        <v>-171950444</v>
      </c>
      <c r="KT81" s="11" t="n">
        <v>66483567</v>
      </c>
      <c r="KU81" s="11" t="n">
        <v>220702640</v>
      </c>
      <c r="KV81" s="11" t="n">
        <v>33788360</v>
      </c>
      <c r="KW81" s="11" t="n">
        <v>394074992</v>
      </c>
      <c r="KX81" s="11" t="n">
        <v>-515171870</v>
      </c>
      <c r="KY81" s="11" t="n">
        <v>-1115956070</v>
      </c>
      <c r="KZ81" s="11" t="n">
        <v>749016981</v>
      </c>
      <c r="LA81" s="11" t="n">
        <v>-364598700</v>
      </c>
      <c r="LB81" s="11" t="n">
        <v>-1190640748</v>
      </c>
      <c r="LC81" s="11" t="n">
        <v>468727658</v>
      </c>
      <c r="LD81" s="11" t="n">
        <v>935686534</v>
      </c>
      <c r="LE81" s="11" t="n">
        <v>9784592</v>
      </c>
      <c r="LF81" s="11" t="n">
        <v>-5812041</v>
      </c>
      <c r="LG81" s="11" t="n">
        <v>1446011</v>
      </c>
      <c r="LH81" s="11" t="n">
        <v>-88589976</v>
      </c>
      <c r="LI81" s="11" t="n">
        <v>-193611272</v>
      </c>
      <c r="LJ81" s="11" t="n">
        <v>128097189</v>
      </c>
      <c r="LK81" s="11" t="n">
        <v>3642276</v>
      </c>
      <c r="LL81" s="11" t="n">
        <v>-9366652</v>
      </c>
      <c r="LM81" s="11" t="n">
        <v>5025513</v>
      </c>
      <c r="LN81" s="11" t="n">
        <v>156876972</v>
      </c>
      <c r="LO81" s="11" t="n">
        <v>583820210</v>
      </c>
      <c r="LP81" s="11" t="n">
        <v>1279837914</v>
      </c>
      <c r="LQ81" s="11" t="n">
        <v>-846502427</v>
      </c>
      <c r="LR81" s="11" t="n">
        <v>-35426782</v>
      </c>
      <c r="LS81" s="11" t="n">
        <v>1035297502</v>
      </c>
    </row>
    <row r="82" customFormat="false" ht="15" hidden="false" customHeight="true" outlineLevel="0" collapsed="false">
      <c r="A82" s="7" t="s">
        <v>148</v>
      </c>
      <c r="B82" s="11" t="n">
        <v>3348072</v>
      </c>
      <c r="C82" s="11" t="n">
        <v>-1268153721</v>
      </c>
      <c r="D82" s="11" t="n">
        <v>-12092613</v>
      </c>
      <c r="E82" s="11" t="n">
        <v>1070901771</v>
      </c>
      <c r="F82" s="11" t="n">
        <v>-47121005</v>
      </c>
      <c r="G82" s="11" t="n">
        <v>1243405646</v>
      </c>
      <c r="H82" s="11" t="n">
        <v>-161556594</v>
      </c>
      <c r="I82" s="11" t="n">
        <v>351742047</v>
      </c>
      <c r="J82" s="11" t="n">
        <v>18029052</v>
      </c>
      <c r="K82" s="11" t="n">
        <v>162396</v>
      </c>
      <c r="L82" s="11" t="n">
        <v>-10786068</v>
      </c>
      <c r="M82" s="11" t="n">
        <v>589452</v>
      </c>
      <c r="N82" s="11" t="n">
        <v>-12628392</v>
      </c>
      <c r="O82" s="11" t="n">
        <v>1146672</v>
      </c>
      <c r="P82" s="11" t="n">
        <v>-10515852</v>
      </c>
      <c r="Q82" s="11" t="n">
        <v>3606630</v>
      </c>
      <c r="R82" s="11" t="n">
        <v>-1681251612</v>
      </c>
      <c r="S82" s="11" t="n">
        <v>30474644</v>
      </c>
      <c r="T82" s="11" t="n">
        <v>-1912349180</v>
      </c>
      <c r="U82" s="11" t="n">
        <v>435640533</v>
      </c>
      <c r="V82" s="11" t="n">
        <v>2089005609</v>
      </c>
      <c r="W82" s="11" t="n">
        <v>-12986106</v>
      </c>
      <c r="X82" s="11" t="n">
        <v>156582</v>
      </c>
      <c r="Y82" s="11" t="n">
        <v>-14699160</v>
      </c>
      <c r="Z82" s="11" t="n">
        <v>3694629</v>
      </c>
      <c r="AA82" s="11" t="n">
        <v>20920287</v>
      </c>
      <c r="AB82" s="11" t="n">
        <v>36736016</v>
      </c>
      <c r="AC82" s="11" t="n">
        <v>-33544532</v>
      </c>
      <c r="AD82" s="11" t="n">
        <v>-153696615</v>
      </c>
      <c r="AE82" s="11" t="n">
        <v>-2230397343</v>
      </c>
      <c r="AF82" s="11" t="n">
        <v>-41177556</v>
      </c>
      <c r="AG82" s="11" t="n">
        <v>12304849</v>
      </c>
      <c r="AH82" s="11" t="n">
        <v>86074153</v>
      </c>
      <c r="AI82" s="11" t="n">
        <v>-183515038</v>
      </c>
      <c r="AJ82" s="11" t="n">
        <v>-2578658194</v>
      </c>
      <c r="AK82" s="11" t="n">
        <v>386960757</v>
      </c>
      <c r="AL82" s="11" t="n">
        <v>450083115</v>
      </c>
      <c r="AM82" s="11" t="n">
        <v>5474703</v>
      </c>
      <c r="AN82" s="11" t="n">
        <v>-365737161</v>
      </c>
      <c r="AO82" s="11" t="n">
        <v>25380631</v>
      </c>
      <c r="AP82" s="11" t="n">
        <v>-430406410</v>
      </c>
      <c r="AQ82" s="11" t="n">
        <v>64582086</v>
      </c>
      <c r="AR82" s="11" t="n">
        <v>-123076965</v>
      </c>
      <c r="AS82" s="11" t="n">
        <v>-448044144</v>
      </c>
      <c r="AT82" s="11" t="n">
        <v>-5431144647</v>
      </c>
      <c r="AU82" s="11" t="n">
        <v>-3278953658</v>
      </c>
      <c r="AV82" s="11" t="n">
        <v>-4126074940</v>
      </c>
      <c r="AW82" s="11" t="n">
        <v>-2743703718</v>
      </c>
      <c r="AX82" s="11" t="n">
        <v>-666844995</v>
      </c>
      <c r="AY82" s="11" t="n">
        <v>-430143435</v>
      </c>
      <c r="AZ82" s="11" t="n">
        <v>-14618754</v>
      </c>
      <c r="BA82" s="11" t="n">
        <v>-478645164</v>
      </c>
      <c r="BB82" s="11" t="n">
        <v>30915762</v>
      </c>
      <c r="BC82" s="11" t="n">
        <v>-130630743</v>
      </c>
      <c r="BD82" s="11" t="n">
        <v>2970742593</v>
      </c>
      <c r="BE82" s="11" t="n">
        <v>-1840861182</v>
      </c>
      <c r="BF82" s="11" t="n">
        <v>3008842176</v>
      </c>
      <c r="BG82" s="11" t="n">
        <v>-943289784</v>
      </c>
      <c r="BH82" s="11" t="n">
        <v>-3368278008</v>
      </c>
      <c r="BI82" s="11" t="n">
        <v>315774422</v>
      </c>
      <c r="BJ82" s="11" t="n">
        <v>-934246581</v>
      </c>
      <c r="BK82" s="11" t="n">
        <v>3215802028</v>
      </c>
      <c r="BL82" s="11" t="n">
        <v>-490599210</v>
      </c>
      <c r="BM82" s="11" t="n">
        <v>-845961456</v>
      </c>
      <c r="BN82" s="11" t="n">
        <v>7649778</v>
      </c>
      <c r="BO82" s="11" t="n">
        <v>-519483216</v>
      </c>
      <c r="BP82" s="11" t="n">
        <v>57431956</v>
      </c>
      <c r="BQ82" s="11" t="n">
        <v>-620056420</v>
      </c>
      <c r="BR82" s="11" t="n">
        <v>193620711</v>
      </c>
      <c r="BS82" s="11" t="n">
        <v>750893775</v>
      </c>
      <c r="BT82" s="11" t="n">
        <v>-102666</v>
      </c>
      <c r="BU82" s="11" t="n">
        <v>267210</v>
      </c>
      <c r="BV82" s="11" t="n">
        <v>-226872</v>
      </c>
      <c r="BW82" s="11" t="n">
        <v>1257495</v>
      </c>
      <c r="BX82" s="11" t="n">
        <v>11225553</v>
      </c>
      <c r="BY82" s="11" t="n">
        <v>-17374988</v>
      </c>
      <c r="BZ82" s="11" t="n">
        <v>7084844</v>
      </c>
      <c r="CA82" s="11" t="n">
        <v>-82795773</v>
      </c>
      <c r="CB82" s="11" t="n">
        <v>-752230341</v>
      </c>
      <c r="CC82" s="11" t="n">
        <v>19955556</v>
      </c>
      <c r="CD82" s="11" t="n">
        <v>2677595</v>
      </c>
      <c r="CE82" s="11" t="n">
        <v>58048631</v>
      </c>
      <c r="CF82" s="11" t="n">
        <v>-96184586</v>
      </c>
      <c r="CG82" s="11" t="n">
        <v>-887623070</v>
      </c>
      <c r="CH82" s="11" t="n">
        <v>160691511</v>
      </c>
      <c r="CI82" s="11" t="n">
        <v>609439578</v>
      </c>
      <c r="CJ82" s="11" t="n">
        <v>-1441476</v>
      </c>
      <c r="CK82" s="11" t="n">
        <v>687375720</v>
      </c>
      <c r="CL82" s="11" t="n">
        <v>-146110572</v>
      </c>
      <c r="CM82" s="11" t="n">
        <v>-736158126</v>
      </c>
      <c r="CN82" s="11" t="n">
        <v>-4477578884</v>
      </c>
      <c r="CO82" s="11" t="n">
        <v>2719918580</v>
      </c>
      <c r="CP82" s="11" t="n">
        <v>-5503183827</v>
      </c>
      <c r="CQ82" s="11" t="n">
        <v>-9830689803</v>
      </c>
      <c r="CR82" s="11" t="n">
        <v>5043745800</v>
      </c>
      <c r="CS82" s="11" t="n">
        <v>-1060464282</v>
      </c>
      <c r="CT82" s="11" t="n">
        <v>-5385333502</v>
      </c>
      <c r="CU82" s="11" t="n">
        <v>-5554851060</v>
      </c>
      <c r="CV82" s="11" t="n">
        <v>-7802393360</v>
      </c>
      <c r="CW82" s="11" t="n">
        <v>-4290574287</v>
      </c>
      <c r="CX82" s="11" t="n">
        <v>-21268638</v>
      </c>
      <c r="CY82" s="11" t="n">
        <v>8849232</v>
      </c>
      <c r="CZ82" s="11" t="n">
        <v>-98220711</v>
      </c>
      <c r="DA82" s="11" t="n">
        <v>-884433231</v>
      </c>
      <c r="DB82" s="11" t="n">
        <v>23967576</v>
      </c>
      <c r="DC82" s="11" t="n">
        <v>-4866750</v>
      </c>
      <c r="DD82" s="11" t="n">
        <v>-23599044</v>
      </c>
      <c r="DE82" s="11" t="n">
        <v>-108659772</v>
      </c>
      <c r="DF82" s="11" t="n">
        <v>-986846796</v>
      </c>
      <c r="DG82" s="11" t="n">
        <v>93395757</v>
      </c>
      <c r="DH82" s="11" t="n">
        <v>29905884</v>
      </c>
      <c r="DI82" s="11" t="n">
        <v>529577941</v>
      </c>
      <c r="DJ82" s="11" t="n">
        <v>6154891005</v>
      </c>
      <c r="DK82" s="11" t="n">
        <v>-358449622</v>
      </c>
      <c r="DL82" s="11" t="n">
        <v>-3804466278</v>
      </c>
      <c r="DM82" s="11" t="n">
        <v>6401982168</v>
      </c>
      <c r="DN82" s="11" t="n">
        <v>-603623232</v>
      </c>
      <c r="DO82" s="11" t="n">
        <v>-6969114252</v>
      </c>
      <c r="DP82" s="11" t="n">
        <v>820775767</v>
      </c>
      <c r="DQ82" s="11" t="n">
        <v>6741554222</v>
      </c>
      <c r="DR82" s="11" t="n">
        <v>-4875867</v>
      </c>
      <c r="DS82" s="11" t="n">
        <v>-57447</v>
      </c>
      <c r="DT82" s="11" t="n">
        <v>4673889</v>
      </c>
      <c r="DU82" s="11" t="n">
        <v>-199239</v>
      </c>
      <c r="DV82" s="11" t="n">
        <v>5077338</v>
      </c>
      <c r="DW82" s="11" t="n">
        <v>-2430</v>
      </c>
      <c r="DX82" s="11" t="n">
        <v>1482021</v>
      </c>
      <c r="DY82" s="11" t="n">
        <v>4148553</v>
      </c>
      <c r="DZ82" s="11" t="n">
        <v>-210758646</v>
      </c>
      <c r="EA82" s="11" t="n">
        <v>6842722</v>
      </c>
      <c r="EB82" s="11" t="n">
        <v>-112352578</v>
      </c>
      <c r="EC82" s="11" t="n">
        <v>-234357819</v>
      </c>
      <c r="ED82" s="11" t="n">
        <v>-49097811</v>
      </c>
      <c r="EE82" s="11" t="n">
        <v>1493565</v>
      </c>
      <c r="EF82" s="11" t="n">
        <v>-88899</v>
      </c>
      <c r="EG82" s="11" t="n">
        <v>2996244</v>
      </c>
      <c r="EH82" s="11" t="n">
        <v>-2763249</v>
      </c>
      <c r="EI82" s="11" t="n">
        <v>682488</v>
      </c>
      <c r="EJ82" s="11" t="n">
        <v>2052808</v>
      </c>
      <c r="EK82" s="11" t="n">
        <v>-111768718</v>
      </c>
      <c r="EL82" s="11" t="n">
        <v>224754813</v>
      </c>
      <c r="EM82" s="11" t="n">
        <v>-16996161</v>
      </c>
      <c r="EN82" s="11" t="n">
        <v>2534482</v>
      </c>
      <c r="EO82" s="11" t="n">
        <v>-9579803</v>
      </c>
      <c r="EP82" s="11" t="n">
        <v>73599</v>
      </c>
      <c r="EQ82" s="11" t="n">
        <v>244097486</v>
      </c>
      <c r="ER82" s="11" t="n">
        <v>16976940</v>
      </c>
      <c r="ES82" s="11" t="n">
        <v>-71257587</v>
      </c>
      <c r="ET82" s="11" t="n">
        <v>-72846</v>
      </c>
      <c r="EU82" s="11" t="n">
        <v>9460476</v>
      </c>
      <c r="EV82" s="11" t="n">
        <v>-214452</v>
      </c>
      <c r="EW82" s="11" t="n">
        <v>8949996</v>
      </c>
      <c r="EX82" s="11" t="n">
        <v>1656837</v>
      </c>
      <c r="EY82" s="11" t="n">
        <v>-7333911</v>
      </c>
      <c r="EZ82" s="11" t="n">
        <v>41634</v>
      </c>
      <c r="FA82" s="11" t="n">
        <v>450</v>
      </c>
      <c r="FB82" s="11" t="n">
        <v>29592</v>
      </c>
      <c r="FC82" s="11" t="n">
        <v>19557</v>
      </c>
      <c r="FD82" s="11" t="n">
        <v>-108549</v>
      </c>
      <c r="FE82" s="11" t="n">
        <v>-181008</v>
      </c>
      <c r="FF82" s="11" t="n">
        <v>1272132</v>
      </c>
      <c r="FG82" s="11" t="n">
        <v>-1592919</v>
      </c>
      <c r="FH82" s="11" t="n">
        <v>9905625</v>
      </c>
      <c r="FI82" s="11" t="n">
        <v>142404</v>
      </c>
      <c r="FJ82" s="11" t="n">
        <v>67809</v>
      </c>
      <c r="FK82" s="11" t="n">
        <v>-364863</v>
      </c>
      <c r="FL82" s="11" t="n">
        <v>-1729758</v>
      </c>
      <c r="FM82" s="11" t="n">
        <v>10357302</v>
      </c>
      <c r="FN82" s="11" t="n">
        <v>499941</v>
      </c>
      <c r="FO82" s="11" t="n">
        <v>-4900536</v>
      </c>
      <c r="FP82" s="11" t="n">
        <v>80232</v>
      </c>
      <c r="FQ82" s="11" t="n">
        <v>-5936400</v>
      </c>
      <c r="FR82" s="11" t="n">
        <v>2091639</v>
      </c>
      <c r="FS82" s="11" t="n">
        <v>6973467</v>
      </c>
      <c r="FT82" s="11" t="n">
        <v>4007040</v>
      </c>
      <c r="FU82" s="11" t="n">
        <v>168868464</v>
      </c>
      <c r="FV82" s="11" t="n">
        <v>-383099826</v>
      </c>
      <c r="FW82" s="11" t="n">
        <v>-412270026</v>
      </c>
      <c r="FX82" s="11" t="n">
        <v>-7618768</v>
      </c>
      <c r="FY82" s="11" t="n">
        <v>7982422</v>
      </c>
      <c r="FZ82" s="11" t="n">
        <v>12451742</v>
      </c>
      <c r="GA82" s="11" t="n">
        <v>-392002414</v>
      </c>
      <c r="GB82" s="11" t="n">
        <v>-259114742</v>
      </c>
      <c r="GC82" s="11" t="n">
        <v>-369186948</v>
      </c>
      <c r="GD82" s="11" t="n">
        <v>-76128</v>
      </c>
      <c r="GE82" s="11" t="n">
        <v>1402128</v>
      </c>
      <c r="GF82" s="11" t="n">
        <v>-2511093</v>
      </c>
      <c r="GG82" s="11" t="n">
        <v>3316791</v>
      </c>
      <c r="GH82" s="11" t="n">
        <v>69264</v>
      </c>
      <c r="GI82" s="11" t="n">
        <v>8619</v>
      </c>
      <c r="GJ82" s="11" t="n">
        <v>-162633</v>
      </c>
      <c r="GK82" s="11" t="n">
        <v>-2443428</v>
      </c>
      <c r="GL82" s="11" t="n">
        <v>6013116</v>
      </c>
      <c r="GM82" s="11" t="n">
        <v>-4988955</v>
      </c>
      <c r="GN82" s="11" t="n">
        <v>-3769792</v>
      </c>
      <c r="GO82" s="11" t="n">
        <v>8004568</v>
      </c>
      <c r="GP82" s="11" t="n">
        <v>3692408</v>
      </c>
      <c r="GQ82" s="11" t="n">
        <v>-23081266</v>
      </c>
      <c r="GR82" s="11" t="n">
        <v>-232251482</v>
      </c>
      <c r="GS82" s="11" t="n">
        <v>470542494</v>
      </c>
      <c r="GT82" s="11" t="n">
        <v>-7709650</v>
      </c>
      <c r="GU82" s="11" t="n">
        <v>4693958</v>
      </c>
      <c r="GV82" s="11" t="n">
        <v>-17518282</v>
      </c>
      <c r="GW82" s="11" t="n">
        <v>503720134</v>
      </c>
      <c r="GX82" s="11" t="n">
        <v>250293</v>
      </c>
      <c r="GY82" s="11" t="n">
        <v>95682759</v>
      </c>
      <c r="GZ82" s="11" t="n">
        <v>10178536</v>
      </c>
      <c r="HA82" s="11" t="n">
        <v>55739450</v>
      </c>
      <c r="HB82" s="11" t="n">
        <v>93725571</v>
      </c>
      <c r="HC82" s="11" t="n">
        <v>19989330</v>
      </c>
      <c r="HD82" s="11" t="n">
        <v>1367250</v>
      </c>
      <c r="HE82" s="11" t="n">
        <v>109695</v>
      </c>
      <c r="HF82" s="11" t="n">
        <v>917352</v>
      </c>
      <c r="HG82" s="11" t="n">
        <v>1104141</v>
      </c>
      <c r="HH82" s="11" t="n">
        <v>311589</v>
      </c>
      <c r="HI82" s="11" t="n">
        <v>-13666715</v>
      </c>
      <c r="HJ82" s="11" t="n">
        <v>46205876</v>
      </c>
      <c r="HK82" s="11" t="n">
        <v>-89890767</v>
      </c>
      <c r="HL82" s="11" t="n">
        <v>9921507</v>
      </c>
      <c r="HM82" s="11" t="n">
        <v>12876754</v>
      </c>
      <c r="HN82" s="11" t="n">
        <v>3824767</v>
      </c>
      <c r="HO82" s="11" t="n">
        <v>3910578</v>
      </c>
      <c r="HP82" s="11" t="n">
        <v>-97626094</v>
      </c>
      <c r="HQ82" s="11" t="n">
        <v>-3873270</v>
      </c>
      <c r="HR82" s="11" t="n">
        <v>28497873</v>
      </c>
      <c r="HS82" s="11" t="n">
        <v>-92229015</v>
      </c>
      <c r="HT82" s="11" t="n">
        <v>-8308986</v>
      </c>
      <c r="HU82" s="11" t="n">
        <v>-53192412</v>
      </c>
      <c r="HV82" s="11" t="n">
        <v>-91775190</v>
      </c>
      <c r="HW82" s="11" t="n">
        <v>-19527939</v>
      </c>
      <c r="HX82" s="11" t="n">
        <v>574245562</v>
      </c>
      <c r="HY82" s="11" t="n">
        <v>204551594</v>
      </c>
      <c r="HZ82" s="11" t="n">
        <v>-547703265</v>
      </c>
      <c r="IA82" s="11" t="n">
        <v>-99446907</v>
      </c>
      <c r="IB82" s="11" t="n">
        <v>-312763724</v>
      </c>
      <c r="IC82" s="11" t="n">
        <v>-620762938</v>
      </c>
      <c r="ID82" s="11" t="n">
        <v>-130546068</v>
      </c>
      <c r="IE82" s="11" t="n">
        <v>-519428936</v>
      </c>
      <c r="IF82" s="11" t="n">
        <v>-100665630</v>
      </c>
      <c r="IG82" s="11" t="n">
        <v>17009367</v>
      </c>
      <c r="IH82" s="11" t="n">
        <v>-4967775</v>
      </c>
      <c r="II82" s="11" t="n">
        <v>47460960</v>
      </c>
      <c r="IJ82" s="11" t="n">
        <v>-94472445</v>
      </c>
      <c r="IK82" s="11" t="n">
        <v>8142345</v>
      </c>
      <c r="IL82" s="11" t="n">
        <v>7140924</v>
      </c>
      <c r="IM82" s="11" t="n">
        <v>-3567768</v>
      </c>
      <c r="IN82" s="11" t="n">
        <v>1785393</v>
      </c>
      <c r="IO82" s="11" t="n">
        <v>-101713716</v>
      </c>
      <c r="IP82" s="11" t="n">
        <v>-5353020</v>
      </c>
      <c r="IQ82" s="11" t="n">
        <v>28105227</v>
      </c>
      <c r="IR82" s="11" t="n">
        <v>-306524058</v>
      </c>
      <c r="IS82" s="11" t="n">
        <v>617715031</v>
      </c>
      <c r="IT82" s="11" t="n">
        <v>-45340131</v>
      </c>
      <c r="IU82" s="11" t="n">
        <v>-72320338</v>
      </c>
      <c r="IV82" s="11" t="n">
        <v>-69233910</v>
      </c>
      <c r="IW82" s="11" t="n">
        <v>150219336</v>
      </c>
      <c r="IX82" s="11" t="n">
        <v>-667793804</v>
      </c>
      <c r="IY82" s="11" t="n">
        <v>-44989050</v>
      </c>
      <c r="IZ82" s="11" t="n">
        <v>189441153</v>
      </c>
      <c r="JA82" s="11" t="n">
        <v>140218530</v>
      </c>
      <c r="JB82" s="11" t="n">
        <v>1915146</v>
      </c>
      <c r="JC82" s="11" t="n">
        <v>141060</v>
      </c>
      <c r="JD82" s="11" t="n">
        <v>1292184</v>
      </c>
      <c r="JE82" s="11" t="n">
        <v>1485321</v>
      </c>
      <c r="JF82" s="11" t="n">
        <v>-77829</v>
      </c>
      <c r="JG82" s="11" t="n">
        <v>-23957412</v>
      </c>
      <c r="JH82" s="11" t="n">
        <v>67483092</v>
      </c>
      <c r="JI82" s="11" t="n">
        <v>-149339139</v>
      </c>
      <c r="JJ82" s="11" t="n">
        <v>-182703387</v>
      </c>
      <c r="JK82" s="11" t="n">
        <v>21134968</v>
      </c>
      <c r="JL82" s="11" t="n">
        <v>7580972</v>
      </c>
      <c r="JM82" s="11" t="n">
        <v>-14430608</v>
      </c>
      <c r="JN82" s="11" t="n">
        <v>-153099398</v>
      </c>
      <c r="JO82" s="11" t="n">
        <v>-120530890</v>
      </c>
      <c r="JP82" s="11" t="n">
        <v>-147767373</v>
      </c>
      <c r="JQ82" s="11" t="n">
        <v>-68790</v>
      </c>
      <c r="JR82" s="11" t="n">
        <v>39456</v>
      </c>
      <c r="JS82" s="11" t="n">
        <v>-334752</v>
      </c>
      <c r="JT82" s="11" t="n">
        <v>-2809308</v>
      </c>
      <c r="JU82" s="11" t="n">
        <v>49320</v>
      </c>
      <c r="JV82" s="11" t="n">
        <v>28695</v>
      </c>
      <c r="JW82" s="11" t="n">
        <v>-209715</v>
      </c>
      <c r="JX82" s="11" t="n">
        <v>-256464</v>
      </c>
      <c r="JY82" s="11" t="n">
        <v>-1893888</v>
      </c>
      <c r="JZ82" s="11" t="n">
        <v>-2192406</v>
      </c>
      <c r="KA82" s="11" t="n">
        <v>1930348</v>
      </c>
      <c r="KB82" s="11" t="n">
        <v>-1176541</v>
      </c>
      <c r="KC82" s="11" t="n">
        <v>28580371</v>
      </c>
      <c r="KD82" s="11" t="n">
        <v>-8718800</v>
      </c>
      <c r="KE82" s="11" t="n">
        <v>-95226184</v>
      </c>
      <c r="KF82" s="11" t="n">
        <v>187128978</v>
      </c>
      <c r="KG82" s="11" t="n">
        <v>1648762</v>
      </c>
      <c r="KH82" s="11" t="n">
        <v>-26376026</v>
      </c>
      <c r="KI82" s="11" t="n">
        <v>-8335157</v>
      </c>
      <c r="KJ82" s="11" t="n">
        <v>200467796</v>
      </c>
      <c r="KK82" s="11" t="n">
        <v>11598792</v>
      </c>
      <c r="KL82" s="11" t="n">
        <v>-69141456</v>
      </c>
      <c r="KM82" s="11" t="n">
        <v>154911225</v>
      </c>
      <c r="KN82" s="11" t="n">
        <v>178099053</v>
      </c>
      <c r="KO82" s="11" t="n">
        <v>-12918528</v>
      </c>
      <c r="KP82" s="11" t="n">
        <v>2414358</v>
      </c>
      <c r="KQ82" s="11" t="n">
        <v>13589238</v>
      </c>
      <c r="KR82" s="11" t="n">
        <v>158145156</v>
      </c>
      <c r="KS82" s="11" t="n">
        <v>117356868</v>
      </c>
      <c r="KT82" s="11" t="n">
        <v>144422853</v>
      </c>
      <c r="KU82" s="11" t="n">
        <v>456220048</v>
      </c>
      <c r="KV82" s="11" t="n">
        <v>-1033403422</v>
      </c>
      <c r="KW82" s="11" t="n">
        <v>-1121404742</v>
      </c>
      <c r="KX82" s="11" t="n">
        <v>67025146</v>
      </c>
      <c r="KY82" s="11" t="n">
        <v>-320447326</v>
      </c>
      <c r="KZ82" s="11" t="n">
        <v>890608998</v>
      </c>
      <c r="LA82" s="11" t="n">
        <v>1056021396</v>
      </c>
      <c r="LB82" s="11" t="n">
        <v>714489556</v>
      </c>
      <c r="LC82" s="11" t="n">
        <v>977316650</v>
      </c>
      <c r="LD82" s="11" t="n">
        <v>846714214</v>
      </c>
      <c r="LE82" s="11" t="n">
        <v>2244528</v>
      </c>
      <c r="LF82" s="11" t="n">
        <v>-3536871</v>
      </c>
      <c r="LG82" s="11" t="n">
        <v>10617021</v>
      </c>
      <c r="LH82" s="11" t="n">
        <v>-8893872</v>
      </c>
      <c r="LI82" s="11" t="n">
        <v>-97753680</v>
      </c>
      <c r="LJ82" s="11" t="n">
        <v>196107414</v>
      </c>
      <c r="LK82" s="11" t="n">
        <v>3472092</v>
      </c>
      <c r="LL82" s="11" t="n">
        <v>-14454756</v>
      </c>
      <c r="LM82" s="11" t="n">
        <v>6353823</v>
      </c>
      <c r="LN82" s="11" t="n">
        <v>208493064</v>
      </c>
      <c r="LO82" s="11" t="n">
        <v>60860774</v>
      </c>
      <c r="LP82" s="11" t="n">
        <v>634611102</v>
      </c>
      <c r="LQ82" s="11" t="n">
        <v>-1287886682</v>
      </c>
      <c r="LR82" s="11" t="n">
        <v>135981692</v>
      </c>
      <c r="LS82" s="11" t="n">
        <v>1373632126</v>
      </c>
    </row>
    <row r="83" customFormat="false" ht="15" hidden="false" customHeight="true" outlineLevel="0" collapsed="false">
      <c r="A83" s="7" t="s">
        <v>149</v>
      </c>
      <c r="B83" s="11" t="n">
        <v>30928</v>
      </c>
      <c r="C83" s="11" t="n">
        <v>54425674</v>
      </c>
      <c r="D83" s="11" t="n">
        <v>11698</v>
      </c>
      <c r="E83" s="11" t="n">
        <v>-23594974</v>
      </c>
      <c r="F83" s="11" t="n">
        <v>-2859352</v>
      </c>
      <c r="G83" s="11" t="n">
        <v>40742400</v>
      </c>
      <c r="H83" s="11" t="n">
        <v>-923522</v>
      </c>
      <c r="I83" s="11" t="n">
        <v>17695072</v>
      </c>
      <c r="J83" s="11" t="n">
        <v>-331115</v>
      </c>
      <c r="K83" s="11" t="n">
        <v>129</v>
      </c>
      <c r="L83" s="11" t="n">
        <v>327377</v>
      </c>
      <c r="M83" s="11" t="n">
        <v>22332</v>
      </c>
      <c r="N83" s="11" t="n">
        <v>-329184</v>
      </c>
      <c r="O83" s="11" t="n">
        <v>16511</v>
      </c>
      <c r="P83" s="11" t="n">
        <v>-244408</v>
      </c>
      <c r="Q83" s="11" t="n">
        <v>352247</v>
      </c>
      <c r="R83" s="11" t="n">
        <v>323495346</v>
      </c>
      <c r="S83" s="11" t="n">
        <v>8686621</v>
      </c>
      <c r="T83" s="11" t="n">
        <v>-143094972</v>
      </c>
      <c r="U83" s="11" t="n">
        <v>19168078</v>
      </c>
      <c r="V83" s="11" t="n">
        <v>-240654629</v>
      </c>
      <c r="W83" s="11" t="n">
        <v>222239</v>
      </c>
      <c r="X83" s="11" t="n">
        <v>20373</v>
      </c>
      <c r="Y83" s="11" t="n">
        <v>-294444</v>
      </c>
      <c r="Z83" s="11" t="n">
        <v>10097</v>
      </c>
      <c r="AA83" s="11" t="n">
        <v>-166249</v>
      </c>
      <c r="AB83" s="11" t="n">
        <v>13229537</v>
      </c>
      <c r="AC83" s="11" t="n">
        <v>-180129228</v>
      </c>
      <c r="AD83" s="11" t="n">
        <v>-2820640</v>
      </c>
      <c r="AE83" s="11" t="n">
        <v>-845809</v>
      </c>
      <c r="AF83" s="11" t="n">
        <v>1015056</v>
      </c>
      <c r="AG83" s="11" t="n">
        <v>-859631</v>
      </c>
      <c r="AH83" s="11" t="n">
        <v>9819004</v>
      </c>
      <c r="AI83" s="11" t="n">
        <v>11920884</v>
      </c>
      <c r="AJ83" s="11" t="n">
        <v>-133627584</v>
      </c>
      <c r="AK83" s="11" t="n">
        <v>-2148447</v>
      </c>
      <c r="AL83" s="11" t="n">
        <v>-17860697</v>
      </c>
      <c r="AM83" s="11" t="n">
        <v>6651</v>
      </c>
      <c r="AN83" s="11" t="n">
        <v>7904075</v>
      </c>
      <c r="AO83" s="11" t="n">
        <v>1012580</v>
      </c>
      <c r="AP83" s="11" t="n">
        <v>-13309664</v>
      </c>
      <c r="AQ83" s="11" t="n">
        <v>425477</v>
      </c>
      <c r="AR83" s="11" t="n">
        <v>-5794904</v>
      </c>
      <c r="AS83" s="11" t="n">
        <v>18459635</v>
      </c>
      <c r="AT83" s="11" t="n">
        <v>283300824</v>
      </c>
      <c r="AU83" s="11" t="n">
        <v>130636617</v>
      </c>
      <c r="AV83" s="11" t="n">
        <v>106706788</v>
      </c>
      <c r="AW83" s="11" t="n">
        <v>215407588</v>
      </c>
      <c r="AX83" s="11" t="n">
        <v>21170571</v>
      </c>
      <c r="AY83" s="11" t="n">
        <v>8063633</v>
      </c>
      <c r="AZ83" s="11" t="n">
        <v>997889</v>
      </c>
      <c r="BA83" s="11" t="n">
        <v>-13795724</v>
      </c>
      <c r="BB83" s="11" t="n">
        <v>359531</v>
      </c>
      <c r="BC83" s="11" t="n">
        <v>-5997113</v>
      </c>
      <c r="BD83" s="11" t="n">
        <v>-41750715</v>
      </c>
      <c r="BE83" s="11" t="n">
        <v>-258335788</v>
      </c>
      <c r="BF83" s="11" t="n">
        <v>-88577716</v>
      </c>
      <c r="BG83" s="11" t="n">
        <v>-101285793</v>
      </c>
      <c r="BH83" s="11" t="n">
        <v>-103399024</v>
      </c>
      <c r="BI83" s="11" t="n">
        <v>-9100123</v>
      </c>
      <c r="BJ83" s="11" t="n">
        <v>-43585284</v>
      </c>
      <c r="BK83" s="11" t="n">
        <v>163062164</v>
      </c>
      <c r="BL83" s="11" t="n">
        <v>-18844864</v>
      </c>
      <c r="BM83" s="11" t="n">
        <v>-70393327</v>
      </c>
      <c r="BN83" s="11" t="n">
        <v>3291</v>
      </c>
      <c r="BO83" s="11" t="n">
        <v>104436873</v>
      </c>
      <c r="BP83" s="11" t="n">
        <v>2055893</v>
      </c>
      <c r="BQ83" s="11" t="n">
        <v>-47608196</v>
      </c>
      <c r="BR83" s="11" t="n">
        <v>4979829</v>
      </c>
      <c r="BS83" s="11" t="n">
        <v>-79103647</v>
      </c>
      <c r="BT83" s="11" t="n">
        <v>-37434</v>
      </c>
      <c r="BU83" s="11" t="n">
        <v>-579</v>
      </c>
      <c r="BV83" s="11" t="n">
        <v>15276</v>
      </c>
      <c r="BW83" s="11" t="n">
        <v>-1776</v>
      </c>
      <c r="BX83" s="11" t="n">
        <v>28389</v>
      </c>
      <c r="BY83" s="11" t="n">
        <v>5011045</v>
      </c>
      <c r="BZ83" s="11" t="n">
        <v>-56757076</v>
      </c>
      <c r="CA83" s="11" t="n">
        <v>284118</v>
      </c>
      <c r="CB83" s="11" t="n">
        <v>1121989</v>
      </c>
      <c r="CC83" s="11" t="n">
        <v>1167024</v>
      </c>
      <c r="CD83" s="11" t="n">
        <v>-233347</v>
      </c>
      <c r="CE83" s="11" t="n">
        <v>3817604</v>
      </c>
      <c r="CF83" s="11" t="n">
        <v>2576812</v>
      </c>
      <c r="CG83" s="11" t="n">
        <v>-43500992</v>
      </c>
      <c r="CH83" s="11" t="n">
        <v>268699</v>
      </c>
      <c r="CI83" s="11" t="n">
        <v>-107886843</v>
      </c>
      <c r="CJ83" s="11" t="n">
        <v>-2100764</v>
      </c>
      <c r="CK83" s="11" t="n">
        <v>49224344</v>
      </c>
      <c r="CL83" s="11" t="n">
        <v>-5107131</v>
      </c>
      <c r="CM83" s="11" t="n">
        <v>81760198</v>
      </c>
      <c r="CN83" s="11" t="n">
        <v>731261697</v>
      </c>
      <c r="CO83" s="11" t="n">
        <v>1379093124</v>
      </c>
      <c r="CP83" s="11" t="n">
        <v>1180564524</v>
      </c>
      <c r="CQ83" s="11" t="n">
        <v>1378508163</v>
      </c>
      <c r="CR83" s="11" t="n">
        <v>360498328</v>
      </c>
      <c r="CS83" s="11" t="n">
        <v>-11628497</v>
      </c>
      <c r="CT83" s="11" t="n">
        <v>581016366</v>
      </c>
      <c r="CU83" s="11" t="n">
        <v>-603926500</v>
      </c>
      <c r="CV83" s="11" t="n">
        <v>416165360</v>
      </c>
      <c r="CW83" s="11" t="n">
        <v>959926235</v>
      </c>
      <c r="CX83" s="11" t="n">
        <v>4914469</v>
      </c>
      <c r="CY83" s="11" t="n">
        <v>-59126308</v>
      </c>
      <c r="CZ83" s="11" t="n">
        <v>-129654</v>
      </c>
      <c r="DA83" s="11" t="n">
        <v>664945</v>
      </c>
      <c r="DB83" s="11" t="n">
        <v>1090968</v>
      </c>
      <c r="DC83" s="11" t="n">
        <v>-235165</v>
      </c>
      <c r="DD83" s="11" t="n">
        <v>3737294</v>
      </c>
      <c r="DE83" s="11" t="n">
        <v>2858068</v>
      </c>
      <c r="DF83" s="11" t="n">
        <v>-45111248</v>
      </c>
      <c r="DG83" s="11" t="n">
        <v>-66779</v>
      </c>
      <c r="DH83" s="11" t="n">
        <v>463581224</v>
      </c>
      <c r="DI83" s="11" t="n">
        <v>54655958</v>
      </c>
      <c r="DJ83" s="11" t="n">
        <v>58286874</v>
      </c>
      <c r="DK83" s="11" t="n">
        <v>-645339272</v>
      </c>
      <c r="DL83" s="11" t="n">
        <v>-763977488</v>
      </c>
      <c r="DM83" s="11" t="n">
        <v>-8932874</v>
      </c>
      <c r="DN83" s="11" t="n">
        <v>34316216</v>
      </c>
      <c r="DO83" s="11" t="n">
        <v>-339599296</v>
      </c>
      <c r="DP83" s="11" t="n">
        <v>-44353198</v>
      </c>
      <c r="DQ83" s="11" t="n">
        <v>529300080</v>
      </c>
      <c r="DR83" s="11" t="n">
        <v>317534</v>
      </c>
      <c r="DS83" s="11" t="n">
        <v>-138</v>
      </c>
      <c r="DT83" s="11" t="n">
        <v>-133002</v>
      </c>
      <c r="DU83" s="11" t="n">
        <v>-18136</v>
      </c>
      <c r="DV83" s="11" t="n">
        <v>250016</v>
      </c>
      <c r="DW83" s="11" t="n">
        <v>4634</v>
      </c>
      <c r="DX83" s="11" t="n">
        <v>110416</v>
      </c>
      <c r="DY83" s="11" t="n">
        <v>-362948</v>
      </c>
      <c r="DZ83" s="11" t="n">
        <v>8195906</v>
      </c>
      <c r="EA83" s="11" t="n">
        <v>-2558282</v>
      </c>
      <c r="EB83" s="11" t="n">
        <v>21669428</v>
      </c>
      <c r="EC83" s="11" t="n">
        <v>17636388</v>
      </c>
      <c r="ED83" s="11" t="n">
        <v>12631862</v>
      </c>
      <c r="EE83" s="11" t="n">
        <v>-155586</v>
      </c>
      <c r="EF83" s="11" t="n">
        <v>-19618</v>
      </c>
      <c r="EG83" s="11" t="n">
        <v>276356</v>
      </c>
      <c r="EH83" s="11" t="n">
        <v>-2368</v>
      </c>
      <c r="EI83" s="11" t="n">
        <v>120718</v>
      </c>
      <c r="EJ83" s="11" t="n">
        <v>1539670</v>
      </c>
      <c r="EK83" s="11" t="n">
        <v>-15529628</v>
      </c>
      <c r="EL83" s="11" t="n">
        <v>-7506770</v>
      </c>
      <c r="EM83" s="11" t="n">
        <v>-8140930</v>
      </c>
      <c r="EN83" s="11" t="n">
        <v>776656</v>
      </c>
      <c r="EO83" s="11" t="n">
        <v>-969970</v>
      </c>
      <c r="EP83" s="11" t="n">
        <v>168120</v>
      </c>
      <c r="EQ83" s="11" t="n">
        <v>13570084</v>
      </c>
      <c r="ER83" s="11" t="n">
        <v>2410816</v>
      </c>
      <c r="ES83" s="11" t="n">
        <v>-5948350</v>
      </c>
      <c r="ET83" s="11" t="n">
        <v>153</v>
      </c>
      <c r="EU83" s="11" t="n">
        <v>-1937221</v>
      </c>
      <c r="EV83" s="11" t="n">
        <v>-35116</v>
      </c>
      <c r="EW83" s="11" t="n">
        <v>703022</v>
      </c>
      <c r="EX83" s="11" t="n">
        <v>-219128</v>
      </c>
      <c r="EY83" s="11" t="n">
        <v>1327194</v>
      </c>
      <c r="EZ83" s="11" t="n">
        <v>906</v>
      </c>
      <c r="FA83" s="11" t="n">
        <v>24</v>
      </c>
      <c r="FB83" s="11" t="n">
        <v>-426</v>
      </c>
      <c r="FC83" s="11" t="n">
        <v>93</v>
      </c>
      <c r="FD83" s="11" t="n">
        <v>-630</v>
      </c>
      <c r="FE83" s="11" t="n">
        <v>-95936</v>
      </c>
      <c r="FF83" s="11" t="n">
        <v>1230838</v>
      </c>
      <c r="FG83" s="11" t="n">
        <v>120055</v>
      </c>
      <c r="FH83" s="11" t="n">
        <v>117722</v>
      </c>
      <c r="FI83" s="11" t="n">
        <v>-12504</v>
      </c>
      <c r="FJ83" s="11" t="n">
        <v>13028</v>
      </c>
      <c r="FK83" s="11" t="n">
        <v>-63592</v>
      </c>
      <c r="FL83" s="11" t="n">
        <v>-182794</v>
      </c>
      <c r="FM83" s="11" t="n">
        <v>800528</v>
      </c>
      <c r="FN83" s="11" t="n">
        <v>95566</v>
      </c>
      <c r="FO83" s="11" t="n">
        <v>2210335</v>
      </c>
      <c r="FP83" s="11" t="n">
        <v>41371</v>
      </c>
      <c r="FQ83" s="11" t="n">
        <v>-814010</v>
      </c>
      <c r="FR83" s="11" t="n">
        <v>241970</v>
      </c>
      <c r="FS83" s="11" t="n">
        <v>-1523097</v>
      </c>
      <c r="FT83" s="11" t="n">
        <v>-16514027</v>
      </c>
      <c r="FU83" s="11" t="n">
        <v>150347280</v>
      </c>
      <c r="FV83" s="11" t="n">
        <v>101940670</v>
      </c>
      <c r="FW83" s="11" t="n">
        <v>111321199</v>
      </c>
      <c r="FX83" s="11" t="n">
        <v>-3267634</v>
      </c>
      <c r="FY83" s="11" t="n">
        <v>3715856</v>
      </c>
      <c r="FZ83" s="11" t="n">
        <v>-9295874</v>
      </c>
      <c r="GA83" s="11" t="n">
        <v>-54000980</v>
      </c>
      <c r="GB83" s="11" t="n">
        <v>62604502</v>
      </c>
      <c r="GC83" s="11" t="n">
        <v>82431812</v>
      </c>
      <c r="GD83" s="11" t="n">
        <v>-101738</v>
      </c>
      <c r="GE83" s="11" t="n">
        <v>1334050</v>
      </c>
      <c r="GF83" s="11" t="n">
        <v>89305</v>
      </c>
      <c r="GG83" s="11" t="n">
        <v>82256</v>
      </c>
      <c r="GH83" s="11" t="n">
        <v>-12498</v>
      </c>
      <c r="GI83" s="11" t="n">
        <v>12809</v>
      </c>
      <c r="GJ83" s="11" t="n">
        <v>-68566</v>
      </c>
      <c r="GK83" s="11" t="n">
        <v>-178930</v>
      </c>
      <c r="GL83" s="11" t="n">
        <v>888974</v>
      </c>
      <c r="GM83" s="11" t="n">
        <v>70543</v>
      </c>
      <c r="GN83" s="11" t="n">
        <v>-3046826</v>
      </c>
      <c r="GO83" s="11" t="n">
        <v>4024935</v>
      </c>
      <c r="GP83" s="11" t="n">
        <v>4509370</v>
      </c>
      <c r="GQ83" s="11" t="n">
        <v>-55451860</v>
      </c>
      <c r="GR83" s="11" t="n">
        <v>-61592962</v>
      </c>
      <c r="GS83" s="11" t="n">
        <v>-704105</v>
      </c>
      <c r="GT83" s="11" t="n">
        <v>110842</v>
      </c>
      <c r="GU83" s="11" t="n">
        <v>2607352</v>
      </c>
      <c r="GV83" s="11" t="n">
        <v>-3280330</v>
      </c>
      <c r="GW83" s="11" t="n">
        <v>45212766</v>
      </c>
      <c r="GX83" s="11" t="n">
        <v>11409</v>
      </c>
      <c r="GY83" s="11" t="n">
        <v>-4342477</v>
      </c>
      <c r="GZ83" s="11" t="n">
        <v>77374</v>
      </c>
      <c r="HA83" s="11" t="n">
        <v>-7733742</v>
      </c>
      <c r="HB83" s="11" t="n">
        <v>-7044422</v>
      </c>
      <c r="HC83" s="11" t="n">
        <v>-4268872</v>
      </c>
      <c r="HD83" s="11" t="n">
        <v>6666</v>
      </c>
      <c r="HE83" s="11" t="n">
        <v>618</v>
      </c>
      <c r="HF83" s="11" t="n">
        <v>-5622</v>
      </c>
      <c r="HG83" s="11" t="n">
        <v>2895</v>
      </c>
      <c r="HH83" s="11" t="n">
        <v>-2112</v>
      </c>
      <c r="HI83" s="11" t="n">
        <v>-280430</v>
      </c>
      <c r="HJ83" s="11" t="n">
        <v>6658474</v>
      </c>
      <c r="HK83" s="11" t="n">
        <v>3013993</v>
      </c>
      <c r="HL83" s="11" t="n">
        <v>3298064</v>
      </c>
      <c r="HM83" s="11" t="n">
        <v>380792</v>
      </c>
      <c r="HN83" s="11" t="n">
        <v>401214</v>
      </c>
      <c r="HO83" s="11" t="n">
        <v>216912</v>
      </c>
      <c r="HP83" s="11" t="n">
        <v>-5433686</v>
      </c>
      <c r="HQ83" s="11" t="n">
        <v>-671920</v>
      </c>
      <c r="HR83" s="11" t="n">
        <v>2387256</v>
      </c>
      <c r="HS83" s="11" t="n">
        <v>4669063</v>
      </c>
      <c r="HT83" s="11" t="n">
        <v>3479</v>
      </c>
      <c r="HU83" s="11" t="n">
        <v>8061246</v>
      </c>
      <c r="HV83" s="11" t="n">
        <v>7418246</v>
      </c>
      <c r="HW83" s="11" t="n">
        <v>4425547</v>
      </c>
      <c r="HX83" s="11" t="n">
        <v>-32989005</v>
      </c>
      <c r="HY83" s="11" t="n">
        <v>96726556</v>
      </c>
      <c r="HZ83" s="11" t="n">
        <v>59364316</v>
      </c>
      <c r="IA83" s="11" t="n">
        <v>62564313</v>
      </c>
      <c r="IB83" s="11" t="n">
        <v>57028358</v>
      </c>
      <c r="IC83" s="11" t="n">
        <v>52457438</v>
      </c>
      <c r="ID83" s="11" t="n">
        <v>31315074</v>
      </c>
      <c r="IE83" s="11" t="n">
        <v>-51186080</v>
      </c>
      <c r="IF83" s="11" t="n">
        <v>16336982</v>
      </c>
      <c r="IG83" s="11" t="n">
        <v>43134542</v>
      </c>
      <c r="IH83" s="11" t="n">
        <v>-250880</v>
      </c>
      <c r="II83" s="11" t="n">
        <v>7010758</v>
      </c>
      <c r="IJ83" s="11" t="n">
        <v>3149539</v>
      </c>
      <c r="IK83" s="11" t="n">
        <v>3450062</v>
      </c>
      <c r="IL83" s="11" t="n">
        <v>438374</v>
      </c>
      <c r="IM83" s="11" t="n">
        <v>400947</v>
      </c>
      <c r="IN83" s="11" t="n">
        <v>240366</v>
      </c>
      <c r="IO83" s="11" t="n">
        <v>-5700998</v>
      </c>
      <c r="IP83" s="11" t="n">
        <v>-688498</v>
      </c>
      <c r="IQ83" s="11" t="n">
        <v>2496213</v>
      </c>
      <c r="IR83" s="11" t="n">
        <v>-44336770</v>
      </c>
      <c r="IS83" s="11" t="n">
        <v>-19063105</v>
      </c>
      <c r="IT83" s="11" t="n">
        <v>-21014490</v>
      </c>
      <c r="IU83" s="11" t="n">
        <v>-23890188</v>
      </c>
      <c r="IV83" s="11" t="n">
        <v>-22469314</v>
      </c>
      <c r="IW83" s="11" t="n">
        <v>1662395</v>
      </c>
      <c r="IX83" s="11" t="n">
        <v>-37547534</v>
      </c>
      <c r="IY83" s="11" t="n">
        <v>-5759112</v>
      </c>
      <c r="IZ83" s="11" t="n">
        <v>15320370</v>
      </c>
      <c r="JA83" s="11" t="n">
        <v>15925406</v>
      </c>
      <c r="JB83" s="11" t="n">
        <v>67512</v>
      </c>
      <c r="JC83" s="11" t="n">
        <v>1299</v>
      </c>
      <c r="JD83" s="11" t="n">
        <v>-28986</v>
      </c>
      <c r="JE83" s="11" t="n">
        <v>4479</v>
      </c>
      <c r="JF83" s="11" t="n">
        <v>-49743</v>
      </c>
      <c r="JG83" s="11" t="n">
        <v>-952279</v>
      </c>
      <c r="JH83" s="11" t="n">
        <v>56796514</v>
      </c>
      <c r="JI83" s="11" t="n">
        <v>39980109</v>
      </c>
      <c r="JJ83" s="11" t="n">
        <v>44193875</v>
      </c>
      <c r="JK83" s="11" t="n">
        <v>683966</v>
      </c>
      <c r="JL83" s="11" t="n">
        <v>832436</v>
      </c>
      <c r="JM83" s="11" t="n">
        <v>148694</v>
      </c>
      <c r="JN83" s="11" t="n">
        <v>-20933390</v>
      </c>
      <c r="JO83" s="11" t="n">
        <v>22873346</v>
      </c>
      <c r="JP83" s="11" t="n">
        <v>32389426</v>
      </c>
      <c r="JQ83" s="11" t="n">
        <v>-2898</v>
      </c>
      <c r="JR83" s="11" t="n">
        <v>16332</v>
      </c>
      <c r="JS83" s="11" t="n">
        <v>-14514</v>
      </c>
      <c r="JT83" s="11" t="n">
        <v>-16566</v>
      </c>
      <c r="JU83" s="11" t="n">
        <v>-930</v>
      </c>
      <c r="JV83" s="11" t="n">
        <v>-87</v>
      </c>
      <c r="JW83" s="11" t="n">
        <v>-2454</v>
      </c>
      <c r="JX83" s="11" t="n">
        <v>5148</v>
      </c>
      <c r="JY83" s="11" t="n">
        <v>19146</v>
      </c>
      <c r="JZ83" s="11" t="n">
        <v>-11793</v>
      </c>
      <c r="KA83" s="11" t="n">
        <v>2207662</v>
      </c>
      <c r="KB83" s="11" t="n">
        <v>1920899</v>
      </c>
      <c r="KC83" s="11" t="n">
        <v>2130722</v>
      </c>
      <c r="KD83" s="11" t="n">
        <v>-21882032</v>
      </c>
      <c r="KE83" s="11" t="n">
        <v>-24627702</v>
      </c>
      <c r="KF83" s="11" t="n">
        <v>-309287</v>
      </c>
      <c r="KG83" s="11" t="n">
        <v>550162</v>
      </c>
      <c r="KH83" s="11" t="n">
        <v>-1185656</v>
      </c>
      <c r="KI83" s="11" t="n">
        <v>-1562634</v>
      </c>
      <c r="KJ83" s="11" t="n">
        <v>17889418</v>
      </c>
      <c r="KK83" s="11" t="n">
        <v>511021</v>
      </c>
      <c r="KL83" s="11" t="n">
        <v>-59564230</v>
      </c>
      <c r="KM83" s="11" t="n">
        <v>-42063975</v>
      </c>
      <c r="KN83" s="11" t="n">
        <v>-46544897</v>
      </c>
      <c r="KO83" s="11" t="n">
        <v>-926672</v>
      </c>
      <c r="KP83" s="11" t="n">
        <v>-843257</v>
      </c>
      <c r="KQ83" s="11" t="n">
        <v>-519050</v>
      </c>
      <c r="KR83" s="11" t="n">
        <v>22011710</v>
      </c>
      <c r="KS83" s="11" t="n">
        <v>-23903204</v>
      </c>
      <c r="KT83" s="11" t="n">
        <v>-34080799</v>
      </c>
      <c r="KU83" s="11" t="n">
        <v>410261198</v>
      </c>
      <c r="KV83" s="11" t="n">
        <v>290703353</v>
      </c>
      <c r="KW83" s="11" t="n">
        <v>322012824</v>
      </c>
      <c r="KX83" s="11" t="n">
        <v>-114094340</v>
      </c>
      <c r="KY83" s="11" t="n">
        <v>-166100234</v>
      </c>
      <c r="KZ83" s="11" t="n">
        <v>-28143179</v>
      </c>
      <c r="LA83" s="11" t="n">
        <v>149835270</v>
      </c>
      <c r="LB83" s="11" t="n">
        <v>-167222468</v>
      </c>
      <c r="LC83" s="11" t="n">
        <v>-236095958</v>
      </c>
      <c r="LD83" s="11" t="n">
        <v>107167850</v>
      </c>
      <c r="LE83" s="11" t="n">
        <v>2433214</v>
      </c>
      <c r="LF83" s="11" t="n">
        <v>1915487</v>
      </c>
      <c r="LG83" s="11" t="n">
        <v>2123366</v>
      </c>
      <c r="LH83" s="11" t="n">
        <v>-22981160</v>
      </c>
      <c r="LI83" s="11" t="n">
        <v>-25875582</v>
      </c>
      <c r="LJ83" s="11" t="n">
        <v>-315191</v>
      </c>
      <c r="LK83" s="11" t="n">
        <v>541654</v>
      </c>
      <c r="LL83" s="11" t="n">
        <v>-1379012</v>
      </c>
      <c r="LM83" s="11" t="n">
        <v>-1558272</v>
      </c>
      <c r="LN83" s="11" t="n">
        <v>18784582</v>
      </c>
      <c r="LO83" s="11" t="n">
        <v>153626804</v>
      </c>
      <c r="LP83" s="11" t="n">
        <v>171438292</v>
      </c>
      <c r="LQ83" s="11" t="n">
        <v>896710</v>
      </c>
      <c r="LR83" s="11" t="n">
        <v>14520772</v>
      </c>
      <c r="LS83" s="11" t="n">
        <v>125230844</v>
      </c>
    </row>
    <row r="84" customFormat="false" ht="15" hidden="false" customHeight="true" outlineLevel="0" collapsed="false">
      <c r="A84" s="7" t="s">
        <v>150</v>
      </c>
      <c r="B84" s="11" t="n">
        <v>-702020</v>
      </c>
      <c r="C84" s="11" t="n">
        <v>-100329618</v>
      </c>
      <c r="D84" s="11" t="n">
        <v>-1351996</v>
      </c>
      <c r="E84" s="11" t="n">
        <v>12182256</v>
      </c>
      <c r="F84" s="11" t="n">
        <v>-11302678</v>
      </c>
      <c r="G84" s="11" t="n">
        <v>71361584</v>
      </c>
      <c r="H84" s="11" t="n">
        <v>46551132</v>
      </c>
      <c r="I84" s="11" t="n">
        <v>57212012</v>
      </c>
      <c r="J84" s="11" t="n">
        <v>-4853749</v>
      </c>
      <c r="K84" s="11" t="n">
        <v>8912</v>
      </c>
      <c r="L84" s="11" t="n">
        <v>-1727192</v>
      </c>
      <c r="M84" s="11" t="n">
        <v>323571</v>
      </c>
      <c r="N84" s="11" t="n">
        <v>-3383888</v>
      </c>
      <c r="O84" s="11" t="n">
        <v>-653634</v>
      </c>
      <c r="P84" s="11" t="n">
        <v>547096</v>
      </c>
      <c r="Q84" s="11" t="n">
        <v>10621331</v>
      </c>
      <c r="R84" s="11" t="n">
        <v>-331070520</v>
      </c>
      <c r="S84" s="11" t="n">
        <v>124389785</v>
      </c>
      <c r="T84" s="11" t="n">
        <v>-977002660</v>
      </c>
      <c r="U84" s="11" t="n">
        <v>-415267884</v>
      </c>
      <c r="V84" s="11" t="n">
        <v>-317373883</v>
      </c>
      <c r="W84" s="11" t="n">
        <v>-3171688</v>
      </c>
      <c r="X84" s="11" t="n">
        <v>479669</v>
      </c>
      <c r="Y84" s="11" t="n">
        <v>-5610992</v>
      </c>
      <c r="Z84" s="11" t="n">
        <v>-667854</v>
      </c>
      <c r="AA84" s="11" t="n">
        <v>1779928</v>
      </c>
      <c r="AB84" s="11" t="n">
        <v>22193200</v>
      </c>
      <c r="AC84" s="11" t="n">
        <v>-116851040</v>
      </c>
      <c r="AD84" s="11" t="n">
        <v>-103187952</v>
      </c>
      <c r="AE84" s="11" t="n">
        <v>-150253544</v>
      </c>
      <c r="AF84" s="11" t="n">
        <v>-21589780</v>
      </c>
      <c r="AG84" s="11" t="n">
        <v>10932426</v>
      </c>
      <c r="AH84" s="11" t="n">
        <v>35178197</v>
      </c>
      <c r="AI84" s="11" t="n">
        <v>-157943448</v>
      </c>
      <c r="AJ84" s="11" t="n">
        <v>-331387536</v>
      </c>
      <c r="AK84" s="11" t="n">
        <v>-89546814</v>
      </c>
      <c r="AL84" s="11" t="n">
        <v>30629601</v>
      </c>
      <c r="AM84" s="11" t="n">
        <v>207772</v>
      </c>
      <c r="AN84" s="11" t="n">
        <v>-6593652</v>
      </c>
      <c r="AO84" s="11" t="n">
        <v>2178221</v>
      </c>
      <c r="AP84" s="11" t="n">
        <v>-26809248</v>
      </c>
      <c r="AQ84" s="11" t="n">
        <v>-18106754</v>
      </c>
      <c r="AR84" s="11" t="n">
        <v>-19976044</v>
      </c>
      <c r="AS84" s="11" t="n">
        <v>-29294625</v>
      </c>
      <c r="AT84" s="11" t="n">
        <v>-410815854</v>
      </c>
      <c r="AU84" s="11" t="n">
        <v>-181841595</v>
      </c>
      <c r="AV84" s="11" t="n">
        <v>-717906564</v>
      </c>
      <c r="AW84" s="11" t="n">
        <v>-556680882</v>
      </c>
      <c r="AX84" s="11" t="n">
        <v>-358690299</v>
      </c>
      <c r="AY84" s="11" t="n">
        <v>-9092988</v>
      </c>
      <c r="AZ84" s="11" t="n">
        <v>849785</v>
      </c>
      <c r="BA84" s="11" t="n">
        <v>-30510608</v>
      </c>
      <c r="BB84" s="11" t="n">
        <v>-21093754</v>
      </c>
      <c r="BC84" s="11" t="n">
        <v>-21538528</v>
      </c>
      <c r="BD84" s="11" t="n">
        <v>68360274</v>
      </c>
      <c r="BE84" s="11" t="n">
        <v>-205031664</v>
      </c>
      <c r="BF84" s="11" t="n">
        <v>-123017652</v>
      </c>
      <c r="BG84" s="11" t="n">
        <v>-190710828</v>
      </c>
      <c r="BH84" s="11" t="n">
        <v>-210214804</v>
      </c>
      <c r="BI84" s="11" t="n">
        <v>-147084352</v>
      </c>
      <c r="BJ84" s="11" t="n">
        <v>-144101859</v>
      </c>
      <c r="BK84" s="11" t="n">
        <v>62855480</v>
      </c>
      <c r="BL84" s="11" t="n">
        <v>-154253264</v>
      </c>
      <c r="BM84" s="11" t="n">
        <v>-151016162</v>
      </c>
      <c r="BN84" s="11" t="n">
        <v>1825367</v>
      </c>
      <c r="BO84" s="11" t="n">
        <v>-120946887</v>
      </c>
      <c r="BP84" s="11" t="n">
        <v>29177785</v>
      </c>
      <c r="BQ84" s="11" t="n">
        <v>-332999772</v>
      </c>
      <c r="BR84" s="11" t="n">
        <v>-153708139</v>
      </c>
      <c r="BS84" s="11" t="n">
        <v>-114243713</v>
      </c>
      <c r="BT84" s="11" t="n">
        <v>-427480</v>
      </c>
      <c r="BU84" s="11" t="n">
        <v>68113</v>
      </c>
      <c r="BV84" s="11" t="n">
        <v>-661168</v>
      </c>
      <c r="BW84" s="11" t="n">
        <v>36410</v>
      </c>
      <c r="BX84" s="11" t="n">
        <v>415512</v>
      </c>
      <c r="BY84" s="11" t="n">
        <v>2320007</v>
      </c>
      <c r="BZ84" s="11" t="n">
        <v>-34176432</v>
      </c>
      <c r="CA84" s="11" t="n">
        <v>-38409170</v>
      </c>
      <c r="CB84" s="11" t="n">
        <v>-54285952</v>
      </c>
      <c r="CC84" s="11" t="n">
        <v>1857268</v>
      </c>
      <c r="CD84" s="11" t="n">
        <v>6317571</v>
      </c>
      <c r="CE84" s="11" t="n">
        <v>10904767</v>
      </c>
      <c r="CF84" s="11" t="n">
        <v>-62317016</v>
      </c>
      <c r="CG84" s="11" t="n">
        <v>-117181744</v>
      </c>
      <c r="CH84" s="11" t="n">
        <v>-32710114</v>
      </c>
      <c r="CI84" s="11" t="n">
        <v>140157993</v>
      </c>
      <c r="CJ84" s="11" t="n">
        <v>-17069260</v>
      </c>
      <c r="CK84" s="11" t="n">
        <v>361269688</v>
      </c>
      <c r="CL84" s="11" t="n">
        <v>180184169</v>
      </c>
      <c r="CM84" s="11" t="n">
        <v>130640558</v>
      </c>
      <c r="CN84" s="11" t="n">
        <v>-1109380155</v>
      </c>
      <c r="CO84" s="11" t="n">
        <v>1631527020</v>
      </c>
      <c r="CP84" s="11" t="n">
        <v>-136569828</v>
      </c>
      <c r="CQ84" s="11" t="n">
        <v>115922289</v>
      </c>
      <c r="CR84" s="11" t="n">
        <v>2660829080</v>
      </c>
      <c r="CS84" s="11" t="n">
        <v>1442828075</v>
      </c>
      <c r="CT84" s="11" t="n">
        <v>1019929950</v>
      </c>
      <c r="CU84" s="11" t="n">
        <v>-2449477708</v>
      </c>
      <c r="CV84" s="11" t="n">
        <v>-1221938096</v>
      </c>
      <c r="CW84" s="11" t="n">
        <v>276323305</v>
      </c>
      <c r="CX84" s="11" t="n">
        <v>-1232527</v>
      </c>
      <c r="CY84" s="11" t="n">
        <v>-33838448</v>
      </c>
      <c r="CZ84" s="11" t="n">
        <v>-44992750</v>
      </c>
      <c r="DA84" s="11" t="n">
        <v>-62498968</v>
      </c>
      <c r="DB84" s="11" t="n">
        <v>7297992</v>
      </c>
      <c r="DC84" s="11" t="n">
        <v>7063991</v>
      </c>
      <c r="DD84" s="11" t="n">
        <v>8760322</v>
      </c>
      <c r="DE84" s="11" t="n">
        <v>-72470816</v>
      </c>
      <c r="DF84" s="11" t="n">
        <v>-129556000</v>
      </c>
      <c r="DG84" s="11" t="n">
        <v>-38409844</v>
      </c>
      <c r="DH84" s="11" t="n">
        <v>282185860</v>
      </c>
      <c r="DI84" s="11" t="n">
        <v>354926158</v>
      </c>
      <c r="DJ84" s="11" t="n">
        <v>495711951</v>
      </c>
      <c r="DK84" s="11" t="n">
        <v>-556716008</v>
      </c>
      <c r="DL84" s="11" t="n">
        <v>-699540016</v>
      </c>
      <c r="DM84" s="11" t="n">
        <v>98111678</v>
      </c>
      <c r="DN84" s="11" t="n">
        <v>-484281388</v>
      </c>
      <c r="DO84" s="11" t="n">
        <v>-929523536</v>
      </c>
      <c r="DP84" s="11" t="n">
        <v>-318400595</v>
      </c>
      <c r="DQ84" s="11" t="n">
        <v>633293328</v>
      </c>
      <c r="DR84" s="11" t="n">
        <v>-508410</v>
      </c>
      <c r="DS84" s="11" t="n">
        <v>-3280</v>
      </c>
      <c r="DT84" s="11" t="n">
        <v>-70120</v>
      </c>
      <c r="DU84" s="11" t="n">
        <v>-38110</v>
      </c>
      <c r="DV84" s="11" t="n">
        <v>204360</v>
      </c>
      <c r="DW84" s="11" t="n">
        <v>45840</v>
      </c>
      <c r="DX84" s="11" t="n">
        <v>201960</v>
      </c>
      <c r="DY84" s="11" t="n">
        <v>510366</v>
      </c>
      <c r="DZ84" s="11" t="n">
        <v>-18843756</v>
      </c>
      <c r="EA84" s="11" t="n">
        <v>2739000</v>
      </c>
      <c r="EB84" s="11" t="n">
        <v>-22474548</v>
      </c>
      <c r="EC84" s="11" t="n">
        <v>-27161550</v>
      </c>
      <c r="ED84" s="11" t="n">
        <v>-12570282</v>
      </c>
      <c r="EE84" s="11" t="n">
        <v>-191960</v>
      </c>
      <c r="EF84" s="11" t="n">
        <v>-20586</v>
      </c>
      <c r="EG84" s="11" t="n">
        <v>60152</v>
      </c>
      <c r="EH84" s="11" t="n">
        <v>-129216</v>
      </c>
      <c r="EI84" s="11" t="n">
        <v>121640</v>
      </c>
      <c r="EJ84" s="11" t="n">
        <v>1790276</v>
      </c>
      <c r="EK84" s="11" t="n">
        <v>-10674112</v>
      </c>
      <c r="EL84" s="11" t="n">
        <v>-5445144</v>
      </c>
      <c r="EM84" s="11" t="n">
        <v>-9219160</v>
      </c>
      <c r="EN84" s="11" t="n">
        <v>-583708</v>
      </c>
      <c r="EO84" s="11" t="n">
        <v>-1789050</v>
      </c>
      <c r="EP84" s="11" t="n">
        <v>145778</v>
      </c>
      <c r="EQ84" s="11" t="n">
        <v>8891448</v>
      </c>
      <c r="ER84" s="11" t="n">
        <v>-3875016</v>
      </c>
      <c r="ES84" s="11" t="n">
        <v>-9656232</v>
      </c>
      <c r="ET84" s="11" t="n">
        <v>-29132</v>
      </c>
      <c r="EU84" s="11" t="n">
        <v>766042</v>
      </c>
      <c r="EV84" s="11" t="n">
        <v>-497825</v>
      </c>
      <c r="EW84" s="11" t="n">
        <v>3863586</v>
      </c>
      <c r="EX84" s="11" t="n">
        <v>790305</v>
      </c>
      <c r="EY84" s="11" t="n">
        <v>1000134</v>
      </c>
      <c r="EZ84" s="11" t="n">
        <v>8960</v>
      </c>
      <c r="FA84" s="11" t="n">
        <v>-1028</v>
      </c>
      <c r="FB84" s="11" t="n">
        <v>13216</v>
      </c>
      <c r="FC84" s="11" t="n">
        <v>2472</v>
      </c>
      <c r="FD84" s="11" t="n">
        <v>-5120</v>
      </c>
      <c r="FE84" s="11" t="n">
        <v>-126082</v>
      </c>
      <c r="FF84" s="11" t="n">
        <v>840784</v>
      </c>
      <c r="FG84" s="11" t="n">
        <v>178068</v>
      </c>
      <c r="FH84" s="11" t="n">
        <v>442240</v>
      </c>
      <c r="FI84" s="11" t="n">
        <v>89506</v>
      </c>
      <c r="FJ84" s="11" t="n">
        <v>14355</v>
      </c>
      <c r="FK84" s="11" t="n">
        <v>-122786</v>
      </c>
      <c r="FL84" s="11" t="n">
        <v>30684</v>
      </c>
      <c r="FM84" s="11" t="n">
        <v>1132752</v>
      </c>
      <c r="FN84" s="11" t="n">
        <v>223764</v>
      </c>
      <c r="FO84" s="11" t="n">
        <v>310762</v>
      </c>
      <c r="FP84" s="11" t="n">
        <v>342795</v>
      </c>
      <c r="FQ84" s="11" t="n">
        <v>-2590654</v>
      </c>
      <c r="FR84" s="11" t="n">
        <v>763017</v>
      </c>
      <c r="FS84" s="11" t="n">
        <v>-283702</v>
      </c>
      <c r="FT84" s="11" t="n">
        <v>-14324470</v>
      </c>
      <c r="FU84" s="11" t="n">
        <v>109337000</v>
      </c>
      <c r="FV84" s="11" t="n">
        <v>-11633472</v>
      </c>
      <c r="FW84" s="11" t="n">
        <v>18128906</v>
      </c>
      <c r="FX84" s="11" t="n">
        <v>1192010</v>
      </c>
      <c r="FY84" s="11" t="n">
        <v>22338375</v>
      </c>
      <c r="FZ84" s="11" t="n">
        <v>6920465</v>
      </c>
      <c r="GA84" s="11" t="n">
        <v>-171474276</v>
      </c>
      <c r="GB84" s="11" t="n">
        <v>-51314502</v>
      </c>
      <c r="GC84" s="11" t="n">
        <v>33891609</v>
      </c>
      <c r="GD84" s="11" t="n">
        <v>-116398</v>
      </c>
      <c r="GE84" s="11" t="n">
        <v>937776</v>
      </c>
      <c r="GF84" s="11" t="n">
        <v>-208308</v>
      </c>
      <c r="GG84" s="11" t="n">
        <v>32640</v>
      </c>
      <c r="GH84" s="11" t="n">
        <v>64094</v>
      </c>
      <c r="GI84" s="11" t="n">
        <v>56013</v>
      </c>
      <c r="GJ84" s="11" t="n">
        <v>-70258</v>
      </c>
      <c r="GK84" s="11" t="n">
        <v>-565980</v>
      </c>
      <c r="GL84" s="11" t="n">
        <v>584016</v>
      </c>
      <c r="GM84" s="11" t="n">
        <v>-110028</v>
      </c>
      <c r="GN84" s="11" t="n">
        <v>-2273560</v>
      </c>
      <c r="GO84" s="11" t="n">
        <v>5244492</v>
      </c>
      <c r="GP84" s="11" t="n">
        <v>5285774</v>
      </c>
      <c r="GQ84" s="11" t="n">
        <v>-38184144</v>
      </c>
      <c r="GR84" s="11" t="n">
        <v>-43223088</v>
      </c>
      <c r="GS84" s="11" t="n">
        <v>10930164</v>
      </c>
      <c r="GT84" s="11" t="n">
        <v>-3981936</v>
      </c>
      <c r="GU84" s="11" t="n">
        <v>-1538262</v>
      </c>
      <c r="GV84" s="11" t="n">
        <v>-5709201</v>
      </c>
      <c r="GW84" s="11" t="n">
        <v>49866444</v>
      </c>
      <c r="GX84" s="11" t="n">
        <v>-7362</v>
      </c>
      <c r="GY84" s="11" t="n">
        <v>7834572</v>
      </c>
      <c r="GZ84" s="11" t="n">
        <v>85275</v>
      </c>
      <c r="HA84" s="11" t="n">
        <v>10499166</v>
      </c>
      <c r="HB84" s="11" t="n">
        <v>11113065</v>
      </c>
      <c r="HC84" s="11" t="n">
        <v>5655204</v>
      </c>
      <c r="HD84" s="11" t="n">
        <v>51560</v>
      </c>
      <c r="HE84" s="11" t="n">
        <v>1102</v>
      </c>
      <c r="HF84" s="11" t="n">
        <v>64776</v>
      </c>
      <c r="HG84" s="11" t="n">
        <v>71032</v>
      </c>
      <c r="HH84" s="11" t="n">
        <v>33560</v>
      </c>
      <c r="HI84" s="11" t="n">
        <v>-575512</v>
      </c>
      <c r="HJ84" s="11" t="n">
        <v>4597224</v>
      </c>
      <c r="HK84" s="11" t="n">
        <v>2239108</v>
      </c>
      <c r="HL84" s="11" t="n">
        <v>3892160</v>
      </c>
      <c r="HM84" s="11" t="n">
        <v>821286</v>
      </c>
      <c r="HN84" s="11" t="n">
        <v>840715</v>
      </c>
      <c r="HO84" s="11" t="n">
        <v>457784</v>
      </c>
      <c r="HP84" s="11" t="n">
        <v>-3520356</v>
      </c>
      <c r="HQ84" s="11" t="n">
        <v>1897512</v>
      </c>
      <c r="HR84" s="11" t="n">
        <v>3904644</v>
      </c>
      <c r="HS84" s="11" t="n">
        <v>-7591848</v>
      </c>
      <c r="HT84" s="11" t="n">
        <v>-125265</v>
      </c>
      <c r="HU84" s="11" t="n">
        <v>-10214118</v>
      </c>
      <c r="HV84" s="11" t="n">
        <v>-10762509</v>
      </c>
      <c r="HW84" s="11" t="n">
        <v>-5494938</v>
      </c>
      <c r="HX84" s="11" t="n">
        <v>45368490</v>
      </c>
      <c r="HY84" s="11" t="n">
        <v>42810444</v>
      </c>
      <c r="HZ84" s="11" t="n">
        <v>-6662406</v>
      </c>
      <c r="IA84" s="11" t="n">
        <v>15897612</v>
      </c>
      <c r="IB84" s="11" t="n">
        <v>-60332670</v>
      </c>
      <c r="IC84" s="11" t="n">
        <v>-64426125</v>
      </c>
      <c r="ID84" s="11" t="n">
        <v>-32575155</v>
      </c>
      <c r="IE84" s="11" t="n">
        <v>-69653448</v>
      </c>
      <c r="IF84" s="11" t="n">
        <v>-9597222</v>
      </c>
      <c r="IG84" s="11" t="n">
        <v>27359307</v>
      </c>
      <c r="IH84" s="11" t="n">
        <v>-259108</v>
      </c>
      <c r="II84" s="11" t="n">
        <v>4736536</v>
      </c>
      <c r="IJ84" s="11" t="n">
        <v>2125892</v>
      </c>
      <c r="IK84" s="11" t="n">
        <v>3876200</v>
      </c>
      <c r="IL84" s="11" t="n">
        <v>426758</v>
      </c>
      <c r="IM84" s="11" t="n">
        <v>402399</v>
      </c>
      <c r="IN84" s="11" t="n">
        <v>251498</v>
      </c>
      <c r="IO84" s="11" t="n">
        <v>-3854516</v>
      </c>
      <c r="IP84" s="11" t="n">
        <v>1786784</v>
      </c>
      <c r="IQ84" s="11" t="n">
        <v>3956348</v>
      </c>
      <c r="IR84" s="11" t="n">
        <v>-29766404</v>
      </c>
      <c r="IS84" s="11" t="n">
        <v>-12476834</v>
      </c>
      <c r="IT84" s="11" t="n">
        <v>-23706552</v>
      </c>
      <c r="IU84" s="11" t="n">
        <v>-16144568</v>
      </c>
      <c r="IV84" s="11" t="n">
        <v>-11939416</v>
      </c>
      <c r="IW84" s="11" t="n">
        <v>7853348</v>
      </c>
      <c r="IX84" s="11" t="n">
        <v>-25678028</v>
      </c>
      <c r="IY84" s="11" t="n">
        <v>10153178</v>
      </c>
      <c r="IZ84" s="11" t="n">
        <v>24706277</v>
      </c>
      <c r="JA84" s="11" t="n">
        <v>15806388</v>
      </c>
      <c r="JB84" s="11" t="n">
        <v>437830</v>
      </c>
      <c r="JC84" s="11" t="n">
        <v>12095</v>
      </c>
      <c r="JD84" s="11" t="n">
        <v>545658</v>
      </c>
      <c r="JE84" s="11" t="n">
        <v>625337</v>
      </c>
      <c r="JF84" s="11" t="n">
        <v>309562</v>
      </c>
      <c r="JG84" s="11" t="n">
        <v>-7799945</v>
      </c>
      <c r="JH84" s="11" t="n">
        <v>43718142</v>
      </c>
      <c r="JI84" s="11" t="n">
        <v>-4565947</v>
      </c>
      <c r="JJ84" s="11" t="n">
        <v>6891088</v>
      </c>
      <c r="JK84" s="11" t="n">
        <v>10928610</v>
      </c>
      <c r="JL84" s="11" t="n">
        <v>11014250</v>
      </c>
      <c r="JM84" s="11" t="n">
        <v>5705215</v>
      </c>
      <c r="JN84" s="11" t="n">
        <v>-68131506</v>
      </c>
      <c r="JO84" s="11" t="n">
        <v>-22322130</v>
      </c>
      <c r="JP84" s="11" t="n">
        <v>13070589</v>
      </c>
      <c r="JQ84" s="11" t="n">
        <v>-19170</v>
      </c>
      <c r="JR84" s="11" t="n">
        <v>30800</v>
      </c>
      <c r="JS84" s="11" t="n">
        <v>-155180</v>
      </c>
      <c r="JT84" s="11" t="n">
        <v>-172160</v>
      </c>
      <c r="JU84" s="11" t="n">
        <v>24742</v>
      </c>
      <c r="JV84" s="11" t="n">
        <v>23093</v>
      </c>
      <c r="JW84" s="11" t="n">
        <v>8798</v>
      </c>
      <c r="JX84" s="11" t="n">
        <v>-237388</v>
      </c>
      <c r="JY84" s="11" t="n">
        <v>-236336</v>
      </c>
      <c r="JZ84" s="11" t="n">
        <v>-136172</v>
      </c>
      <c r="KA84" s="11" t="n">
        <v>1365458</v>
      </c>
      <c r="KB84" s="11" t="n">
        <v>2564617</v>
      </c>
      <c r="KC84" s="11" t="n">
        <v>3368752</v>
      </c>
      <c r="KD84" s="11" t="n">
        <v>-15173812</v>
      </c>
      <c r="KE84" s="11" t="n">
        <v>-17675264</v>
      </c>
      <c r="KF84" s="11" t="n">
        <v>4237792</v>
      </c>
      <c r="KG84" s="11" t="n">
        <v>-1665166</v>
      </c>
      <c r="KH84" s="11" t="n">
        <v>-3721250</v>
      </c>
      <c r="KI84" s="11" t="n">
        <v>-2881121</v>
      </c>
      <c r="KJ84" s="11" t="n">
        <v>19797972</v>
      </c>
      <c r="KK84" s="11" t="n">
        <v>5022905</v>
      </c>
      <c r="KL84" s="11" t="n">
        <v>-44756138</v>
      </c>
      <c r="KM84" s="11" t="n">
        <v>4796813</v>
      </c>
      <c r="KN84" s="11" t="n">
        <v>-7566022</v>
      </c>
      <c r="KO84" s="11" t="n">
        <v>-7496320</v>
      </c>
      <c r="KP84" s="11" t="n">
        <v>-7041525</v>
      </c>
      <c r="KQ84" s="11" t="n">
        <v>-3760390</v>
      </c>
      <c r="KR84" s="11" t="n">
        <v>69901762</v>
      </c>
      <c r="KS84" s="11" t="n">
        <v>22214876</v>
      </c>
      <c r="KT84" s="11" t="n">
        <v>-14197804</v>
      </c>
      <c r="KU84" s="11" t="n">
        <v>295784530</v>
      </c>
      <c r="KV84" s="11" t="n">
        <v>-33073475</v>
      </c>
      <c r="KW84" s="11" t="n">
        <v>55732305</v>
      </c>
      <c r="KX84" s="11" t="n">
        <v>12227572</v>
      </c>
      <c r="KY84" s="11" t="n">
        <v>-51056206</v>
      </c>
      <c r="KZ84" s="11" t="n">
        <v>3404963</v>
      </c>
      <c r="LA84" s="11" t="n">
        <v>464015050</v>
      </c>
      <c r="LB84" s="11" t="n">
        <v>138262220</v>
      </c>
      <c r="LC84" s="11" t="n">
        <v>-102890575</v>
      </c>
      <c r="LD84" s="11" t="n">
        <v>85810638</v>
      </c>
      <c r="LE84" s="11" t="n">
        <v>1606262</v>
      </c>
      <c r="LF84" s="11" t="n">
        <v>1570243</v>
      </c>
      <c r="LG84" s="11" t="n">
        <v>2306338</v>
      </c>
      <c r="LH84" s="11" t="n">
        <v>-15525468</v>
      </c>
      <c r="LI84" s="11" t="n">
        <v>-18130896</v>
      </c>
      <c r="LJ84" s="11" t="n">
        <v>4567788</v>
      </c>
      <c r="LK84" s="11" t="n">
        <v>-91682</v>
      </c>
      <c r="LL84" s="11" t="n">
        <v>-2239516</v>
      </c>
      <c r="LM84" s="11" t="n">
        <v>-2057656</v>
      </c>
      <c r="LN84" s="11" t="n">
        <v>20611368</v>
      </c>
      <c r="LO84" s="11" t="n">
        <v>103043608</v>
      </c>
      <c r="LP84" s="11" t="n">
        <v>117991166</v>
      </c>
      <c r="LQ84" s="11" t="n">
        <v>-32608993</v>
      </c>
      <c r="LR84" s="11" t="n">
        <v>22664340</v>
      </c>
      <c r="LS84" s="11" t="n">
        <v>136932918</v>
      </c>
    </row>
    <row r="85" customFormat="false" ht="15" hidden="false" customHeight="true" outlineLevel="0" collapsed="false">
      <c r="A85" s="7" t="s">
        <v>151</v>
      </c>
      <c r="B85" s="11" t="n">
        <v>-781330</v>
      </c>
      <c r="C85" s="11" t="n">
        <v>-424672730</v>
      </c>
      <c r="D85" s="11" t="n">
        <v>-1304712</v>
      </c>
      <c r="E85" s="11" t="n">
        <v>-87573762</v>
      </c>
      <c r="F85" s="11" t="n">
        <v>2317844</v>
      </c>
      <c r="G85" s="11" t="n">
        <v>-90721820</v>
      </c>
      <c r="H85" s="11" t="n">
        <v>33459176</v>
      </c>
      <c r="I85" s="11" t="n">
        <v>43295080</v>
      </c>
      <c r="J85" s="11" t="n">
        <v>-1990995</v>
      </c>
      <c r="K85" s="11" t="n">
        <v>7739</v>
      </c>
      <c r="L85" s="11" t="n">
        <v>-820201</v>
      </c>
      <c r="M85" s="11" t="n">
        <v>197777</v>
      </c>
      <c r="N85" s="11" t="n">
        <v>-1911970</v>
      </c>
      <c r="O85" s="11" t="n">
        <v>-527492</v>
      </c>
      <c r="P85" s="11" t="n">
        <v>831005</v>
      </c>
      <c r="Q85" s="11" t="n">
        <v>7531027</v>
      </c>
      <c r="R85" s="11" t="n">
        <v>-222643538</v>
      </c>
      <c r="S85" s="11" t="n">
        <v>101590471</v>
      </c>
      <c r="T85" s="11" t="n">
        <v>-808025840</v>
      </c>
      <c r="U85" s="11" t="n">
        <v>-371966416</v>
      </c>
      <c r="V85" s="11" t="n">
        <v>341347285</v>
      </c>
      <c r="W85" s="11" t="n">
        <v>-2237031</v>
      </c>
      <c r="X85" s="11" t="n">
        <v>353218</v>
      </c>
      <c r="Y85" s="11" t="n">
        <v>-4091314</v>
      </c>
      <c r="Z85" s="11" t="n">
        <v>-549428</v>
      </c>
      <c r="AA85" s="11" t="n">
        <v>1816496</v>
      </c>
      <c r="AB85" s="11" t="n">
        <v>19734271</v>
      </c>
      <c r="AC85" s="11" t="n">
        <v>-119064004</v>
      </c>
      <c r="AD85" s="11" t="n">
        <v>-94246616</v>
      </c>
      <c r="AE85" s="11" t="n">
        <v>47692481</v>
      </c>
      <c r="AF85" s="11" t="n">
        <v>-17292362</v>
      </c>
      <c r="AG85" s="11" t="n">
        <v>10034300</v>
      </c>
      <c r="AH85" s="11" t="n">
        <v>8494018</v>
      </c>
      <c r="AI85" s="11" t="n">
        <v>-143125152</v>
      </c>
      <c r="AJ85" s="11" t="n">
        <v>-9456450</v>
      </c>
      <c r="AK85" s="11" t="n">
        <v>-64815828</v>
      </c>
      <c r="AL85" s="11" t="n">
        <v>137441875</v>
      </c>
      <c r="AM85" s="11" t="n">
        <v>165199</v>
      </c>
      <c r="AN85" s="11" t="n">
        <v>26054199</v>
      </c>
      <c r="AO85" s="11" t="n">
        <v>-2494663</v>
      </c>
      <c r="AP85" s="11" t="n">
        <v>26342130</v>
      </c>
      <c r="AQ85" s="11" t="n">
        <v>-14093042</v>
      </c>
      <c r="AR85" s="11" t="n">
        <v>-15503435</v>
      </c>
      <c r="AS85" s="11" t="n">
        <v>-139718881</v>
      </c>
      <c r="AT85" s="11" t="n">
        <v>-1243769256</v>
      </c>
      <c r="AU85" s="11" t="n">
        <v>-948186453</v>
      </c>
      <c r="AV85" s="11" t="n">
        <v>-1641038720</v>
      </c>
      <c r="AW85" s="11" t="n">
        <v>-1774203902</v>
      </c>
      <c r="AX85" s="11" t="n">
        <v>-810578235</v>
      </c>
      <c r="AY85" s="11" t="n">
        <v>24990885</v>
      </c>
      <c r="AZ85" s="11" t="n">
        <v>-3675670</v>
      </c>
      <c r="BA85" s="11" t="n">
        <v>24806086</v>
      </c>
      <c r="BB85" s="11" t="n">
        <v>-16459036</v>
      </c>
      <c r="BC85" s="11" t="n">
        <v>-16734560</v>
      </c>
      <c r="BD85" s="11" t="n">
        <v>-202318425</v>
      </c>
      <c r="BE85" s="11" t="n">
        <v>-72702864</v>
      </c>
      <c r="BF85" s="11" t="n">
        <v>-463861206</v>
      </c>
      <c r="BG85" s="11" t="n">
        <v>-293954535</v>
      </c>
      <c r="BH85" s="11" t="n">
        <v>211515518</v>
      </c>
      <c r="BI85" s="11" t="n">
        <v>-65022328</v>
      </c>
      <c r="BJ85" s="11" t="n">
        <v>-92242830</v>
      </c>
      <c r="BK85" s="11" t="n">
        <v>-508313332</v>
      </c>
      <c r="BL85" s="11" t="n">
        <v>-340464610</v>
      </c>
      <c r="BM85" s="11" t="n">
        <v>-117014860</v>
      </c>
      <c r="BN85" s="11" t="n">
        <v>1782311</v>
      </c>
      <c r="BO85" s="11" t="n">
        <v>-77887939</v>
      </c>
      <c r="BP85" s="11" t="n">
        <v>28433543</v>
      </c>
      <c r="BQ85" s="11" t="n">
        <v>-269204680</v>
      </c>
      <c r="BR85" s="11" t="n">
        <v>-128701913</v>
      </c>
      <c r="BS85" s="11" t="n">
        <v>106674035</v>
      </c>
      <c r="BT85" s="11" t="n">
        <v>-431482</v>
      </c>
      <c r="BU85" s="11" t="n">
        <v>66526</v>
      </c>
      <c r="BV85" s="11" t="n">
        <v>-665170</v>
      </c>
      <c r="BW85" s="11" t="n">
        <v>28061</v>
      </c>
      <c r="BX85" s="11" t="n">
        <v>329262</v>
      </c>
      <c r="BY85" s="11" t="n">
        <v>3976292</v>
      </c>
      <c r="BZ85" s="11" t="n">
        <v>-36103830</v>
      </c>
      <c r="CA85" s="11" t="n">
        <v>-32383895</v>
      </c>
      <c r="CB85" s="11" t="n">
        <v>11435932</v>
      </c>
      <c r="CC85" s="11" t="n">
        <v>-563330</v>
      </c>
      <c r="CD85" s="11" t="n">
        <v>5251551</v>
      </c>
      <c r="CE85" s="11" t="n">
        <v>1271096</v>
      </c>
      <c r="CF85" s="11" t="n">
        <v>-52270790</v>
      </c>
      <c r="CG85" s="11" t="n">
        <v>-9921110</v>
      </c>
      <c r="CH85" s="11" t="n">
        <v>-25455731</v>
      </c>
      <c r="CI85" s="11" t="n">
        <v>95307193</v>
      </c>
      <c r="CJ85" s="11" t="n">
        <v>-16608764</v>
      </c>
      <c r="CK85" s="11" t="n">
        <v>294945176</v>
      </c>
      <c r="CL85" s="11" t="n">
        <v>153841545</v>
      </c>
      <c r="CM85" s="11" t="n">
        <v>-97929938</v>
      </c>
      <c r="CN85" s="11" t="n">
        <v>-794641773</v>
      </c>
      <c r="CO85" s="11" t="n">
        <v>1506174016</v>
      </c>
      <c r="CP85" s="11" t="n">
        <v>159241114</v>
      </c>
      <c r="CQ85" s="11" t="n">
        <v>-1424690643</v>
      </c>
      <c r="CR85" s="11" t="n">
        <v>2196686968</v>
      </c>
      <c r="CS85" s="11" t="n">
        <v>1254932773</v>
      </c>
      <c r="CT85" s="11" t="n">
        <v>-568234854</v>
      </c>
      <c r="CU85" s="11" t="n">
        <v>-1938413392</v>
      </c>
      <c r="CV85" s="11" t="n">
        <v>-2861338120</v>
      </c>
      <c r="CW85" s="11" t="n">
        <v>-2136062671</v>
      </c>
      <c r="CX85" s="11" t="n">
        <v>463430</v>
      </c>
      <c r="CY85" s="11" t="n">
        <v>-35834402</v>
      </c>
      <c r="CZ85" s="11" t="n">
        <v>-38744233</v>
      </c>
      <c r="DA85" s="11" t="n">
        <v>6101050</v>
      </c>
      <c r="DB85" s="11" t="n">
        <v>4810536</v>
      </c>
      <c r="DC85" s="11" t="n">
        <v>6003734</v>
      </c>
      <c r="DD85" s="11" t="n">
        <v>-587020</v>
      </c>
      <c r="DE85" s="11" t="n">
        <v>-62058326</v>
      </c>
      <c r="DF85" s="11" t="n">
        <v>-17939732</v>
      </c>
      <c r="DG85" s="11" t="n">
        <v>-29962328</v>
      </c>
      <c r="DH85" s="11" t="n">
        <v>291452362</v>
      </c>
      <c r="DI85" s="11" t="n">
        <v>322263073</v>
      </c>
      <c r="DJ85" s="11" t="n">
        <v>-43941120</v>
      </c>
      <c r="DK85" s="11" t="n">
        <v>-552416300</v>
      </c>
      <c r="DL85" s="11" t="n">
        <v>-439250102</v>
      </c>
      <c r="DM85" s="11" t="n">
        <v>-568970783</v>
      </c>
      <c r="DN85" s="11" t="n">
        <v>-430581406</v>
      </c>
      <c r="DO85" s="11" t="n">
        <v>-86942956</v>
      </c>
      <c r="DP85" s="11" t="n">
        <v>-161051134</v>
      </c>
      <c r="DQ85" s="11" t="n">
        <v>-484141626</v>
      </c>
      <c r="DR85" s="11" t="n">
        <v>-2413240</v>
      </c>
      <c r="DS85" s="11" t="n">
        <v>-2470</v>
      </c>
      <c r="DT85" s="11" t="n">
        <v>-674930</v>
      </c>
      <c r="DU85" s="11" t="n">
        <v>45510</v>
      </c>
      <c r="DV85" s="11" t="n">
        <v>-776760</v>
      </c>
      <c r="DW85" s="11" t="n">
        <v>-57290</v>
      </c>
      <c r="DX85" s="11" t="n">
        <v>104490</v>
      </c>
      <c r="DY85" s="11" t="n">
        <v>2687266</v>
      </c>
      <c r="DZ85" s="11" t="n">
        <v>-96358594</v>
      </c>
      <c r="EA85" s="11" t="n">
        <v>17576878</v>
      </c>
      <c r="EB85" s="11" t="n">
        <v>-141982600</v>
      </c>
      <c r="EC85" s="11" t="n">
        <v>-134481618</v>
      </c>
      <c r="ED85" s="11" t="n">
        <v>-76929550</v>
      </c>
      <c r="EE85" s="11" t="n">
        <v>-850194</v>
      </c>
      <c r="EF85" s="11" t="n">
        <v>68668</v>
      </c>
      <c r="EG85" s="11" t="n">
        <v>-1010284</v>
      </c>
      <c r="EH85" s="11" t="n">
        <v>-201440</v>
      </c>
      <c r="EI85" s="11" t="n">
        <v>37616</v>
      </c>
      <c r="EJ85" s="11" t="n">
        <v>3098690</v>
      </c>
      <c r="EK85" s="11" t="n">
        <v>-8694044</v>
      </c>
      <c r="EL85" s="11" t="n">
        <v>-35324002</v>
      </c>
      <c r="EM85" s="11" t="n">
        <v>-25687694</v>
      </c>
      <c r="EN85" s="11" t="n">
        <v>-2979972</v>
      </c>
      <c r="EO85" s="11" t="n">
        <v>2118844</v>
      </c>
      <c r="EP85" s="11" t="n">
        <v>2211828</v>
      </c>
      <c r="EQ85" s="11" t="n">
        <v>-39915532</v>
      </c>
      <c r="ER85" s="11" t="n">
        <v>-30909300</v>
      </c>
      <c r="ES85" s="11" t="n">
        <v>-7649168</v>
      </c>
      <c r="ET85" s="11" t="n">
        <v>-30197</v>
      </c>
      <c r="EU85" s="11" t="n">
        <v>813433</v>
      </c>
      <c r="EV85" s="11" t="n">
        <v>-494891</v>
      </c>
      <c r="EW85" s="11" t="n">
        <v>3926020</v>
      </c>
      <c r="EX85" s="11" t="n">
        <v>1483241</v>
      </c>
      <c r="EY85" s="11" t="n">
        <v>-2300405</v>
      </c>
      <c r="EZ85" s="11" t="n">
        <v>9278</v>
      </c>
      <c r="FA85" s="11" t="n">
        <v>-1076</v>
      </c>
      <c r="FB85" s="11" t="n">
        <v>13738</v>
      </c>
      <c r="FC85" s="11" t="n">
        <v>2235</v>
      </c>
      <c r="FD85" s="11" t="n">
        <v>-3662</v>
      </c>
      <c r="FE85" s="11" t="n">
        <v>-123070</v>
      </c>
      <c r="FF85" s="11" t="n">
        <v>836198</v>
      </c>
      <c r="FG85" s="11" t="n">
        <v>395519</v>
      </c>
      <c r="FH85" s="11" t="n">
        <v>-608152</v>
      </c>
      <c r="FI85" s="11" t="n">
        <v>85254</v>
      </c>
      <c r="FJ85" s="11" t="n">
        <v>-16223</v>
      </c>
      <c r="FK85" s="11" t="n">
        <v>21954</v>
      </c>
      <c r="FL85" s="11" t="n">
        <v>384214</v>
      </c>
      <c r="FM85" s="11" t="n">
        <v>-570450</v>
      </c>
      <c r="FN85" s="11" t="n">
        <v>9611</v>
      </c>
      <c r="FO85" s="11" t="n">
        <v>299941</v>
      </c>
      <c r="FP85" s="11" t="n">
        <v>331146</v>
      </c>
      <c r="FQ85" s="11" t="n">
        <v>-2595188</v>
      </c>
      <c r="FR85" s="11" t="n">
        <v>31111</v>
      </c>
      <c r="FS85" s="11" t="n">
        <v>3524242</v>
      </c>
      <c r="FT85" s="11" t="n">
        <v>-13835917</v>
      </c>
      <c r="FU85" s="11" t="n">
        <v>108904392</v>
      </c>
      <c r="FV85" s="11" t="n">
        <v>13894694</v>
      </c>
      <c r="FW85" s="11" t="n">
        <v>-117783903</v>
      </c>
      <c r="FX85" s="11" t="n">
        <v>521596</v>
      </c>
      <c r="FY85" s="11" t="n">
        <v>16775371</v>
      </c>
      <c r="FZ85" s="11" t="n">
        <v>32531236</v>
      </c>
      <c r="GA85" s="11" t="n">
        <v>-131517424</v>
      </c>
      <c r="GB85" s="11" t="n">
        <v>-260498100</v>
      </c>
      <c r="GC85" s="11" t="n">
        <v>-175476641</v>
      </c>
      <c r="GD85" s="11" t="n">
        <v>-112432</v>
      </c>
      <c r="GE85" s="11" t="n">
        <v>933826</v>
      </c>
      <c r="GF85" s="11" t="n">
        <v>12641</v>
      </c>
      <c r="GG85" s="11" t="n">
        <v>-1119194</v>
      </c>
      <c r="GH85" s="11" t="n">
        <v>58180</v>
      </c>
      <c r="GI85" s="11" t="n">
        <v>25618</v>
      </c>
      <c r="GJ85" s="11" t="n">
        <v>85420</v>
      </c>
      <c r="GK85" s="11" t="n">
        <v>-206234</v>
      </c>
      <c r="GL85" s="11" t="n">
        <v>-1288620</v>
      </c>
      <c r="GM85" s="11" t="n">
        <v>-264616</v>
      </c>
      <c r="GN85" s="11" t="n">
        <v>-2253778</v>
      </c>
      <c r="GO85" s="11" t="n">
        <v>4625271</v>
      </c>
      <c r="GP85" s="11" t="n">
        <v>7476122</v>
      </c>
      <c r="GQ85" s="11" t="n">
        <v>-38669492</v>
      </c>
      <c r="GR85" s="11" t="n">
        <v>-39659370</v>
      </c>
      <c r="GS85" s="11" t="n">
        <v>-46882393</v>
      </c>
      <c r="GT85" s="11" t="n">
        <v>-2906962</v>
      </c>
      <c r="GU85" s="11" t="n">
        <v>-5580960</v>
      </c>
      <c r="GV85" s="11" t="n">
        <v>1810582</v>
      </c>
      <c r="GW85" s="11" t="n">
        <v>-44602710</v>
      </c>
      <c r="GX85" s="11" t="n">
        <v>-75747</v>
      </c>
      <c r="GY85" s="11" t="n">
        <v>38253503</v>
      </c>
      <c r="GZ85" s="11" t="n">
        <v>-300461</v>
      </c>
      <c r="HA85" s="11" t="n">
        <v>55276860</v>
      </c>
      <c r="HB85" s="11" t="n">
        <v>53605951</v>
      </c>
      <c r="HC85" s="11" t="n">
        <v>29503805</v>
      </c>
      <c r="HD85" s="11" t="n">
        <v>60338</v>
      </c>
      <c r="HE85" s="11" t="n">
        <v>-1736</v>
      </c>
      <c r="HF85" s="11" t="n">
        <v>80958</v>
      </c>
      <c r="HG85" s="11" t="n">
        <v>56665</v>
      </c>
      <c r="HH85" s="11" t="n">
        <v>26918</v>
      </c>
      <c r="HI85" s="11" t="n">
        <v>637370</v>
      </c>
      <c r="HJ85" s="11" t="n">
        <v>3146898</v>
      </c>
      <c r="HK85" s="11" t="n">
        <v>14084269</v>
      </c>
      <c r="HL85" s="11" t="n">
        <v>9907888</v>
      </c>
      <c r="HM85" s="11" t="n">
        <v>-945726</v>
      </c>
      <c r="HN85" s="11" t="n">
        <v>-1003793</v>
      </c>
      <c r="HO85" s="11" t="n">
        <v>-569406</v>
      </c>
      <c r="HP85" s="11" t="n">
        <v>15942114</v>
      </c>
      <c r="HQ85" s="11" t="n">
        <v>11889930</v>
      </c>
      <c r="HR85" s="11" t="n">
        <v>3021481</v>
      </c>
      <c r="HS85" s="11" t="n">
        <v>-39572717</v>
      </c>
      <c r="HT85" s="11" t="n">
        <v>-217126</v>
      </c>
      <c r="HU85" s="11" t="n">
        <v>-57097044</v>
      </c>
      <c r="HV85" s="11" t="n">
        <v>-55471843</v>
      </c>
      <c r="HW85" s="11" t="n">
        <v>-30439322</v>
      </c>
      <c r="HX85" s="11" t="n">
        <v>266622945</v>
      </c>
      <c r="HY85" s="11" t="n">
        <v>-43481504</v>
      </c>
      <c r="HZ85" s="11" t="n">
        <v>8702446</v>
      </c>
      <c r="IA85" s="11" t="n">
        <v>-41388177</v>
      </c>
      <c r="IB85" s="11" t="n">
        <v>-384932452</v>
      </c>
      <c r="IC85" s="11" t="n">
        <v>-373696267</v>
      </c>
      <c r="ID85" s="11" t="n">
        <v>-205313376</v>
      </c>
      <c r="IE85" s="11" t="n">
        <v>73507288</v>
      </c>
      <c r="IF85" s="11" t="n">
        <v>-26270500</v>
      </c>
      <c r="IG85" s="11" t="n">
        <v>-64710619</v>
      </c>
      <c r="IH85" s="11" t="n">
        <v>1079900</v>
      </c>
      <c r="II85" s="11" t="n">
        <v>3186838</v>
      </c>
      <c r="IJ85" s="11" t="n">
        <v>14583707</v>
      </c>
      <c r="IK85" s="11" t="n">
        <v>10184290</v>
      </c>
      <c r="IL85" s="11" t="n">
        <v>-1540636</v>
      </c>
      <c r="IM85" s="11" t="n">
        <v>-1433754</v>
      </c>
      <c r="IN85" s="11" t="n">
        <v>-774780</v>
      </c>
      <c r="IO85" s="11" t="n">
        <v>16574722</v>
      </c>
      <c r="IP85" s="11" t="n">
        <v>12242972</v>
      </c>
      <c r="IQ85" s="11" t="n">
        <v>3058248</v>
      </c>
      <c r="IR85" s="11" t="n">
        <v>-22658030</v>
      </c>
      <c r="IS85" s="11" t="n">
        <v>-98020895</v>
      </c>
      <c r="IT85" s="11" t="n">
        <v>-69746550</v>
      </c>
      <c r="IU85" s="11" t="n">
        <v>16725028</v>
      </c>
      <c r="IV85" s="11" t="n">
        <v>7857202</v>
      </c>
      <c r="IW85" s="11" t="n">
        <v>-17492387</v>
      </c>
      <c r="IX85" s="11" t="n">
        <v>109758754</v>
      </c>
      <c r="IY85" s="11" t="n">
        <v>83247576</v>
      </c>
      <c r="IZ85" s="11" t="n">
        <v>22274994</v>
      </c>
      <c r="JA85" s="11" t="n">
        <v>-23387794</v>
      </c>
      <c r="JB85" s="11" t="n">
        <v>453136</v>
      </c>
      <c r="JC85" s="11" t="n">
        <v>11774</v>
      </c>
      <c r="JD85" s="11" t="n">
        <v>568452</v>
      </c>
      <c r="JE85" s="11" t="n">
        <v>624218</v>
      </c>
      <c r="JF85" s="11" t="n">
        <v>441388</v>
      </c>
      <c r="JG85" s="11" t="n">
        <v>-7743494</v>
      </c>
      <c r="JH85" s="11" t="n">
        <v>43601132</v>
      </c>
      <c r="JI85" s="11" t="n">
        <v>5442606</v>
      </c>
      <c r="JJ85" s="11" t="n">
        <v>-46409772</v>
      </c>
      <c r="JK85" s="11" t="n">
        <v>10846996</v>
      </c>
      <c r="JL85" s="11" t="n">
        <v>10808476</v>
      </c>
      <c r="JM85" s="11" t="n">
        <v>6336854</v>
      </c>
      <c r="JN85" s="11" t="n">
        <v>-53235124</v>
      </c>
      <c r="JO85" s="11" t="n">
        <v>-100691060</v>
      </c>
      <c r="JP85" s="11" t="n">
        <v>-69233334</v>
      </c>
      <c r="JQ85" s="11" t="n">
        <v>-19764</v>
      </c>
      <c r="JR85" s="11" t="n">
        <v>31496</v>
      </c>
      <c r="JS85" s="11" t="n">
        <v>-158252</v>
      </c>
      <c r="JT85" s="11" t="n">
        <v>-190568</v>
      </c>
      <c r="JU85" s="11" t="n">
        <v>25612</v>
      </c>
      <c r="JV85" s="11" t="n">
        <v>23114</v>
      </c>
      <c r="JW85" s="11" t="n">
        <v>14300</v>
      </c>
      <c r="JX85" s="11" t="n">
        <v>-241912</v>
      </c>
      <c r="JY85" s="11" t="n">
        <v>-269744</v>
      </c>
      <c r="JZ85" s="11" t="n">
        <v>-108368</v>
      </c>
      <c r="KA85" s="11" t="n">
        <v>1363484</v>
      </c>
      <c r="KB85" s="11" t="n">
        <v>2941702</v>
      </c>
      <c r="KC85" s="11" t="n">
        <v>1232344</v>
      </c>
      <c r="KD85" s="11" t="n">
        <v>-15605440</v>
      </c>
      <c r="KE85" s="11" t="n">
        <v>-15110824</v>
      </c>
      <c r="KF85" s="11" t="n">
        <v>-18496932</v>
      </c>
      <c r="KG85" s="11" t="n">
        <v>-2217532</v>
      </c>
      <c r="KH85" s="11" t="n">
        <v>-610452</v>
      </c>
      <c r="KI85" s="11" t="n">
        <v>687206</v>
      </c>
      <c r="KJ85" s="11" t="n">
        <v>-17589032</v>
      </c>
      <c r="KK85" s="11" t="n">
        <v>4852226</v>
      </c>
      <c r="KL85" s="11" t="n">
        <v>-44589700</v>
      </c>
      <c r="KM85" s="11" t="n">
        <v>-5733386</v>
      </c>
      <c r="KN85" s="11" t="n">
        <v>48500532</v>
      </c>
      <c r="KO85" s="11" t="n">
        <v>-7245632</v>
      </c>
      <c r="KP85" s="11" t="n">
        <v>-6833162</v>
      </c>
      <c r="KQ85" s="11" t="n">
        <v>-3466220</v>
      </c>
      <c r="KR85" s="11" t="n">
        <v>54232148</v>
      </c>
      <c r="KS85" s="11" t="n">
        <v>104276824</v>
      </c>
      <c r="KT85" s="11" t="n">
        <v>72396704</v>
      </c>
      <c r="KU85" s="11" t="n">
        <v>295093588</v>
      </c>
      <c r="KV85" s="11" t="n">
        <v>39695998</v>
      </c>
      <c r="KW85" s="11" t="n">
        <v>-331849326</v>
      </c>
      <c r="KX85" s="11" t="n">
        <v>-16105432</v>
      </c>
      <c r="KY85" s="11" t="n">
        <v>99926484</v>
      </c>
      <c r="KZ85" s="11" t="n">
        <v>-4669350</v>
      </c>
      <c r="LA85" s="11" t="n">
        <v>356290020</v>
      </c>
      <c r="LB85" s="11" t="n">
        <v>706339192</v>
      </c>
      <c r="LC85" s="11" t="n">
        <v>495684922</v>
      </c>
      <c r="LD85" s="11" t="n">
        <v>-159199348</v>
      </c>
      <c r="LE85" s="11" t="n">
        <v>1607564</v>
      </c>
      <c r="LF85" s="11" t="n">
        <v>1944646</v>
      </c>
      <c r="LG85" s="11" t="n">
        <v>-74780</v>
      </c>
      <c r="LH85" s="11" t="n">
        <v>-15970896</v>
      </c>
      <c r="LI85" s="11" t="n">
        <v>-15381248</v>
      </c>
      <c r="LJ85" s="11" t="n">
        <v>-19349392</v>
      </c>
      <c r="LK85" s="11" t="n">
        <v>-640004</v>
      </c>
      <c r="LL85" s="11" t="n">
        <v>1260040</v>
      </c>
      <c r="LM85" s="11" t="n">
        <v>1494480</v>
      </c>
      <c r="LN85" s="11" t="n">
        <v>-18641888</v>
      </c>
      <c r="LO85" s="11" t="n">
        <v>105114376</v>
      </c>
      <c r="LP85" s="11" t="n">
        <v>105395324</v>
      </c>
      <c r="LQ85" s="11" t="n">
        <v>132384806</v>
      </c>
      <c r="LR85" s="11" t="n">
        <v>-41346704</v>
      </c>
      <c r="LS85" s="11" t="n">
        <v>-124350724</v>
      </c>
    </row>
    <row r="86" customFormat="false" ht="15" hidden="false" customHeight="true" outlineLevel="0" collapsed="false">
      <c r="A86" s="7" t="s">
        <v>152</v>
      </c>
      <c r="B86" s="11" t="n">
        <v>-1163108</v>
      </c>
      <c r="C86" s="11" t="n">
        <v>-315012266</v>
      </c>
      <c r="D86" s="11" t="n">
        <v>-2097572</v>
      </c>
      <c r="E86" s="11" t="n">
        <v>88790888</v>
      </c>
      <c r="F86" s="11" t="n">
        <v>-8737030</v>
      </c>
      <c r="G86" s="11" t="n">
        <v>-12346704</v>
      </c>
      <c r="H86" s="11" t="n">
        <v>73771780</v>
      </c>
      <c r="I86" s="11" t="n">
        <v>34639756</v>
      </c>
      <c r="J86" s="11" t="n">
        <v>-2024735</v>
      </c>
      <c r="K86" s="11" t="n">
        <v>9006</v>
      </c>
      <c r="L86" s="11" t="n">
        <v>-5636122</v>
      </c>
      <c r="M86" s="11" t="n">
        <v>132123</v>
      </c>
      <c r="N86" s="11" t="n">
        <v>-325776</v>
      </c>
      <c r="O86" s="11" t="n">
        <v>-947296</v>
      </c>
      <c r="P86" s="11" t="n">
        <v>3338888</v>
      </c>
      <c r="Q86" s="11" t="n">
        <v>6090602</v>
      </c>
      <c r="R86" s="11" t="n">
        <v>-1681035279</v>
      </c>
      <c r="S86" s="11" t="n">
        <v>50993146</v>
      </c>
      <c r="T86" s="11" t="n">
        <v>-66738972</v>
      </c>
      <c r="U86" s="11" t="n">
        <v>-384984167</v>
      </c>
      <c r="V86" s="11" t="n">
        <v>843992431</v>
      </c>
      <c r="W86" s="11" t="n">
        <v>-9476782</v>
      </c>
      <c r="X86" s="11" t="n">
        <v>170622</v>
      </c>
      <c r="Y86" s="11" t="n">
        <v>-683112</v>
      </c>
      <c r="Z86" s="11" t="n">
        <v>-1137154</v>
      </c>
      <c r="AA86" s="11" t="n">
        <v>6289634</v>
      </c>
      <c r="AB86" s="11" t="n">
        <v>32251217</v>
      </c>
      <c r="AC86" s="11" t="n">
        <v>84698472</v>
      </c>
      <c r="AD86" s="11" t="n">
        <v>-285163114</v>
      </c>
      <c r="AE86" s="11" t="n">
        <v>-422743822</v>
      </c>
      <c r="AF86" s="11" t="n">
        <v>-3849684</v>
      </c>
      <c r="AG86" s="11" t="n">
        <v>1264195</v>
      </c>
      <c r="AH86" s="11" t="n">
        <v>29015941</v>
      </c>
      <c r="AI86" s="11" t="n">
        <v>-30718608</v>
      </c>
      <c r="AJ86" s="11" t="n">
        <v>25740912</v>
      </c>
      <c r="AK86" s="11" t="n">
        <v>-239986152</v>
      </c>
      <c r="AL86" s="11" t="n">
        <v>104950287</v>
      </c>
      <c r="AM86" s="11" t="n">
        <v>292354</v>
      </c>
      <c r="AN86" s="11" t="n">
        <v>-35918190</v>
      </c>
      <c r="AO86" s="11" t="n">
        <v>-30235</v>
      </c>
      <c r="AP86" s="11" t="n">
        <v>3152544</v>
      </c>
      <c r="AQ86" s="11" t="n">
        <v>-28777352</v>
      </c>
      <c r="AR86" s="11" t="n">
        <v>-11183836</v>
      </c>
      <c r="AS86" s="11" t="n">
        <v>-110089250</v>
      </c>
      <c r="AT86" s="11" t="n">
        <v>-1716127173</v>
      </c>
      <c r="AU86" s="11" t="n">
        <v>-796553890</v>
      </c>
      <c r="AV86" s="11" t="n">
        <v>-260251068</v>
      </c>
      <c r="AW86" s="11" t="n">
        <v>-1137340109</v>
      </c>
      <c r="AX86" s="11" t="n">
        <v>96643487</v>
      </c>
      <c r="AY86" s="11" t="n">
        <v>-42457466</v>
      </c>
      <c r="AZ86" s="11" t="n">
        <v>-2250630</v>
      </c>
      <c r="BA86" s="11" t="n">
        <v>2581944</v>
      </c>
      <c r="BB86" s="11" t="n">
        <v>-33354678</v>
      </c>
      <c r="BC86" s="11" t="n">
        <v>-11462246</v>
      </c>
      <c r="BD86" s="11" t="n">
        <v>272118235</v>
      </c>
      <c r="BE86" s="11" t="n">
        <v>140618136</v>
      </c>
      <c r="BF86" s="11" t="n">
        <v>-81318478</v>
      </c>
      <c r="BG86" s="11" t="n">
        <v>-215951234</v>
      </c>
      <c r="BH86" s="11" t="n">
        <v>24002220</v>
      </c>
      <c r="BI86" s="11" t="n">
        <v>-218087295</v>
      </c>
      <c r="BJ86" s="11" t="n">
        <v>-84911155</v>
      </c>
      <c r="BK86" s="11" t="n">
        <v>-105524736</v>
      </c>
      <c r="BL86" s="11" t="n">
        <v>-24830160</v>
      </c>
      <c r="BM86" s="11" t="n">
        <v>-147698204</v>
      </c>
      <c r="BN86" s="11" t="n">
        <v>1321564</v>
      </c>
      <c r="BO86" s="11" t="n">
        <v>-571088358</v>
      </c>
      <c r="BP86" s="11" t="n">
        <v>11869172</v>
      </c>
      <c r="BQ86" s="11" t="n">
        <v>-23907684</v>
      </c>
      <c r="BR86" s="11" t="n">
        <v>-135572534</v>
      </c>
      <c r="BS86" s="11" t="n">
        <v>281807837</v>
      </c>
      <c r="BT86" s="11" t="n">
        <v>-1138556</v>
      </c>
      <c r="BU86" s="11" t="n">
        <v>33444</v>
      </c>
      <c r="BV86" s="11" t="n">
        <v>-106296</v>
      </c>
      <c r="BW86" s="11" t="n">
        <v>-15284</v>
      </c>
      <c r="BX86" s="11" t="n">
        <v>925846</v>
      </c>
      <c r="BY86" s="11" t="n">
        <v>-4226630</v>
      </c>
      <c r="BZ86" s="11" t="n">
        <v>25336776</v>
      </c>
      <c r="CA86" s="11" t="n">
        <v>-110193988</v>
      </c>
      <c r="CB86" s="11" t="n">
        <v>-157302914</v>
      </c>
      <c r="CC86" s="11" t="n">
        <v>-349644</v>
      </c>
      <c r="CD86" s="11" t="n">
        <v>3293582</v>
      </c>
      <c r="CE86" s="11" t="n">
        <v>1183631</v>
      </c>
      <c r="CF86" s="11" t="n">
        <v>-10627872</v>
      </c>
      <c r="CG86" s="11" t="n">
        <v>5917392</v>
      </c>
      <c r="CH86" s="11" t="n">
        <v>-91718704</v>
      </c>
      <c r="CI86" s="11" t="n">
        <v>620662056</v>
      </c>
      <c r="CJ86" s="11" t="n">
        <v>-2419920</v>
      </c>
      <c r="CK86" s="11" t="n">
        <v>28355496</v>
      </c>
      <c r="CL86" s="11" t="n">
        <v>156532648</v>
      </c>
      <c r="CM86" s="11" t="n">
        <v>-296823714</v>
      </c>
      <c r="CN86" s="11" t="n">
        <v>-4528540848</v>
      </c>
      <c r="CO86" s="11" t="n">
        <v>-1025225676</v>
      </c>
      <c r="CP86" s="11" t="n">
        <v>-3971994720</v>
      </c>
      <c r="CQ86" s="11" t="n">
        <v>-4082181465</v>
      </c>
      <c r="CR86" s="11" t="n">
        <v>210887688</v>
      </c>
      <c r="CS86" s="11" t="n">
        <v>1157596784</v>
      </c>
      <c r="CT86" s="11" t="n">
        <v>-2149800762</v>
      </c>
      <c r="CU86" s="11" t="n">
        <v>77100588</v>
      </c>
      <c r="CV86" s="11" t="n">
        <v>-676799184</v>
      </c>
      <c r="CW86" s="11" t="n">
        <v>-2929093025</v>
      </c>
      <c r="CX86" s="11" t="n">
        <v>-13621896</v>
      </c>
      <c r="CY86" s="11" t="n">
        <v>25492200</v>
      </c>
      <c r="CZ86" s="11" t="n">
        <v>-127678256</v>
      </c>
      <c r="DA86" s="11" t="n">
        <v>-179096178</v>
      </c>
      <c r="DB86" s="11" t="n">
        <v>522936</v>
      </c>
      <c r="DC86" s="11" t="n">
        <v>3933288</v>
      </c>
      <c r="DD86" s="11" t="n">
        <v>-5816214</v>
      </c>
      <c r="DE86" s="11" t="n">
        <v>-12262296</v>
      </c>
      <c r="DF86" s="11" t="n">
        <v>4009152</v>
      </c>
      <c r="DG86" s="11" t="n">
        <v>-106229038</v>
      </c>
      <c r="DH86" s="11" t="n">
        <v>-208499916</v>
      </c>
      <c r="DI86" s="11" t="n">
        <v>844404928</v>
      </c>
      <c r="DJ86" s="11" t="n">
        <v>1217147559</v>
      </c>
      <c r="DK86" s="11" t="n">
        <v>374042376</v>
      </c>
      <c r="DL86" s="11" t="n">
        <v>463501488</v>
      </c>
      <c r="DM86" s="11" t="n">
        <v>306387770</v>
      </c>
      <c r="DN86" s="11" t="n">
        <v>-92619996</v>
      </c>
      <c r="DO86" s="11" t="n">
        <v>42298800</v>
      </c>
      <c r="DP86" s="11" t="n">
        <v>-711988379</v>
      </c>
      <c r="DQ86" s="11" t="n">
        <v>-281779728</v>
      </c>
      <c r="DR86" s="11" t="n">
        <v>-1354570</v>
      </c>
      <c r="DS86" s="11" t="n">
        <v>-4944</v>
      </c>
      <c r="DT86" s="11" t="n">
        <v>120024</v>
      </c>
      <c r="DU86" s="11" t="n">
        <v>-28750</v>
      </c>
      <c r="DV86" s="11" t="n">
        <v>-110968</v>
      </c>
      <c r="DW86" s="11" t="n">
        <v>64400</v>
      </c>
      <c r="DX86" s="11" t="n">
        <v>127528</v>
      </c>
      <c r="DY86" s="11" t="n">
        <v>1103842</v>
      </c>
      <c r="DZ86" s="11" t="n">
        <v>-70900072</v>
      </c>
      <c r="EA86" s="11" t="n">
        <v>2388700</v>
      </c>
      <c r="EB86" s="11" t="n">
        <v>-15675076</v>
      </c>
      <c r="EC86" s="11" t="n">
        <v>-68473650</v>
      </c>
      <c r="ED86" s="11" t="n">
        <v>-5802634</v>
      </c>
      <c r="EE86" s="11" t="n">
        <v>-160968</v>
      </c>
      <c r="EF86" s="11" t="n">
        <v>-14710</v>
      </c>
      <c r="EG86" s="11" t="n">
        <v>-147640</v>
      </c>
      <c r="EH86" s="11" t="n">
        <v>-197440</v>
      </c>
      <c r="EI86" s="11" t="n">
        <v>82744</v>
      </c>
      <c r="EJ86" s="11" t="n">
        <v>1293160</v>
      </c>
      <c r="EK86" s="11" t="n">
        <v>7197136</v>
      </c>
      <c r="EL86" s="11" t="n">
        <v>2696440</v>
      </c>
      <c r="EM86" s="11" t="n">
        <v>-6160840</v>
      </c>
      <c r="EN86" s="11" t="n">
        <v>-528380</v>
      </c>
      <c r="EO86" s="11" t="n">
        <v>-1339750</v>
      </c>
      <c r="EP86" s="11" t="n">
        <v>101730</v>
      </c>
      <c r="EQ86" s="11" t="n">
        <v>-6354680</v>
      </c>
      <c r="ER86" s="11" t="n">
        <v>-1951112</v>
      </c>
      <c r="ES86" s="11" t="n">
        <v>-6170680</v>
      </c>
      <c r="ET86" s="11" t="n">
        <v>-19095</v>
      </c>
      <c r="EU86" s="11" t="n">
        <v>6772835</v>
      </c>
      <c r="EV86" s="11" t="n">
        <v>-203920</v>
      </c>
      <c r="EW86" s="11" t="n">
        <v>186230</v>
      </c>
      <c r="EX86" s="11" t="n">
        <v>1215340</v>
      </c>
      <c r="EY86" s="11" t="n">
        <v>-3666510</v>
      </c>
      <c r="EZ86" s="11" t="n">
        <v>23028</v>
      </c>
      <c r="FA86" s="11" t="n">
        <v>-339</v>
      </c>
      <c r="FB86" s="11" t="n">
        <v>2244</v>
      </c>
      <c r="FC86" s="11" t="n">
        <v>3528</v>
      </c>
      <c r="FD86" s="11" t="n">
        <v>-15180</v>
      </c>
      <c r="FE86" s="11" t="n">
        <v>-125681</v>
      </c>
      <c r="FF86" s="11" t="n">
        <v>-571340</v>
      </c>
      <c r="FG86" s="11" t="n">
        <v>214312</v>
      </c>
      <c r="FH86" s="11" t="n">
        <v>962516</v>
      </c>
      <c r="FI86" s="11" t="n">
        <v>20658</v>
      </c>
      <c r="FJ86" s="11" t="n">
        <v>16100</v>
      </c>
      <c r="FK86" s="11" t="n">
        <v>-97018</v>
      </c>
      <c r="FL86" s="11" t="n">
        <v>108416</v>
      </c>
      <c r="FM86" s="11" t="n">
        <v>-282832</v>
      </c>
      <c r="FN86" s="11" t="n">
        <v>288736</v>
      </c>
      <c r="FO86" s="11" t="n">
        <v>-4519739</v>
      </c>
      <c r="FP86" s="11" t="n">
        <v>132502</v>
      </c>
      <c r="FQ86" s="11" t="n">
        <v>69208</v>
      </c>
      <c r="FR86" s="11" t="n">
        <v>-25129</v>
      </c>
      <c r="FS86" s="11" t="n">
        <v>3069645</v>
      </c>
      <c r="FT86" s="11" t="n">
        <v>1270018</v>
      </c>
      <c r="FU86" s="11" t="n">
        <v>-68627670</v>
      </c>
      <c r="FV86" s="11" t="n">
        <v>-278754911</v>
      </c>
      <c r="FW86" s="11" t="n">
        <v>-220923323</v>
      </c>
      <c r="FX86" s="11" t="n">
        <v>2031356</v>
      </c>
      <c r="FY86" s="11" t="n">
        <v>8165000</v>
      </c>
      <c r="FZ86" s="11" t="n">
        <v>7339204</v>
      </c>
      <c r="GA86" s="11" t="n">
        <v>4649962</v>
      </c>
      <c r="GB86" s="11" t="n">
        <v>-43226594</v>
      </c>
      <c r="GC86" s="11" t="n">
        <v>-190548658</v>
      </c>
      <c r="GD86" s="11" t="n">
        <v>-79553</v>
      </c>
      <c r="GE86" s="11" t="n">
        <v>-614612</v>
      </c>
      <c r="GF86" s="11" t="n">
        <v>-804764</v>
      </c>
      <c r="GG86" s="11" t="n">
        <v>-108832</v>
      </c>
      <c r="GH86" s="11" t="n">
        <v>16800</v>
      </c>
      <c r="GI86" s="11" t="n">
        <v>24035</v>
      </c>
      <c r="GJ86" s="11" t="n">
        <v>-50839</v>
      </c>
      <c r="GK86" s="11" t="n">
        <v>15740</v>
      </c>
      <c r="GL86" s="11" t="n">
        <v>-415756</v>
      </c>
      <c r="GM86" s="11" t="n">
        <v>-547172</v>
      </c>
      <c r="GN86" s="11" t="n">
        <v>1380634</v>
      </c>
      <c r="GO86" s="11" t="n">
        <v>5132565</v>
      </c>
      <c r="GP86" s="11" t="n">
        <v>3919105</v>
      </c>
      <c r="GQ86" s="11" t="n">
        <v>25686668</v>
      </c>
      <c r="GR86" s="11" t="n">
        <v>28389524</v>
      </c>
      <c r="GS86" s="11" t="n">
        <v>32624380</v>
      </c>
      <c r="GT86" s="11" t="n">
        <v>-666770</v>
      </c>
      <c r="GU86" s="11" t="n">
        <v>-1709942</v>
      </c>
      <c r="GV86" s="11" t="n">
        <v>-4464070</v>
      </c>
      <c r="GW86" s="11" t="n">
        <v>-18102864</v>
      </c>
      <c r="GX86" s="11" t="n">
        <v>105631</v>
      </c>
      <c r="GY86" s="11" t="n">
        <v>31000689</v>
      </c>
      <c r="GZ86" s="11" t="n">
        <v>2629400</v>
      </c>
      <c r="HA86" s="11" t="n">
        <v>6341442</v>
      </c>
      <c r="HB86" s="11" t="n">
        <v>27703480</v>
      </c>
      <c r="HC86" s="11" t="n">
        <v>1517648</v>
      </c>
      <c r="HD86" s="11" t="n">
        <v>122508</v>
      </c>
      <c r="HE86" s="11" t="n">
        <v>7355</v>
      </c>
      <c r="HF86" s="11" t="n">
        <v>14492</v>
      </c>
      <c r="HG86" s="11" t="n">
        <v>106136</v>
      </c>
      <c r="HH86" s="11" t="n">
        <v>15484</v>
      </c>
      <c r="HI86" s="11" t="n">
        <v>-890955</v>
      </c>
      <c r="HJ86" s="11" t="n">
        <v>-3101508</v>
      </c>
      <c r="HK86" s="11" t="n">
        <v>-980856</v>
      </c>
      <c r="HL86" s="11" t="n">
        <v>2784132</v>
      </c>
      <c r="HM86" s="11" t="n">
        <v>-80810</v>
      </c>
      <c r="HN86" s="11" t="n">
        <v>713000</v>
      </c>
      <c r="HO86" s="11" t="n">
        <v>279760</v>
      </c>
      <c r="HP86" s="11" t="n">
        <v>2570992</v>
      </c>
      <c r="HQ86" s="11" t="n">
        <v>721352</v>
      </c>
      <c r="HR86" s="11" t="n">
        <v>2536032</v>
      </c>
      <c r="HS86" s="11" t="n">
        <v>-30791401</v>
      </c>
      <c r="HT86" s="11" t="n">
        <v>-1956430</v>
      </c>
      <c r="HU86" s="11" t="n">
        <v>-6390016</v>
      </c>
      <c r="HV86" s="11" t="n">
        <v>-27915283</v>
      </c>
      <c r="HW86" s="11" t="n">
        <v>-1689231</v>
      </c>
      <c r="HX86" s="11" t="n">
        <v>192294230</v>
      </c>
      <c r="HY86" s="11" t="n">
        <v>-26819922</v>
      </c>
      <c r="HZ86" s="11" t="n">
        <v>-117049397</v>
      </c>
      <c r="IA86" s="11" t="n">
        <v>-53363281</v>
      </c>
      <c r="IB86" s="11" t="n">
        <v>-41610140</v>
      </c>
      <c r="IC86" s="11" t="n">
        <v>-181769800</v>
      </c>
      <c r="ID86" s="11" t="n">
        <v>-13939960</v>
      </c>
      <c r="IE86" s="11" t="n">
        <v>23974</v>
      </c>
      <c r="IF86" s="11" t="n">
        <v>-9602914</v>
      </c>
      <c r="IG86" s="11" t="n">
        <v>-41957416</v>
      </c>
      <c r="IH86" s="11" t="n">
        <v>-125035</v>
      </c>
      <c r="II86" s="11" t="n">
        <v>-3186556</v>
      </c>
      <c r="IJ86" s="11" t="n">
        <v>-1436788</v>
      </c>
      <c r="IK86" s="11" t="n">
        <v>2554456</v>
      </c>
      <c r="IL86" s="11" t="n">
        <v>-176520</v>
      </c>
      <c r="IM86" s="11" t="n">
        <v>22065</v>
      </c>
      <c r="IN86" s="11" t="n">
        <v>169165</v>
      </c>
      <c r="IO86" s="11" t="n">
        <v>2590740</v>
      </c>
      <c r="IP86" s="11" t="n">
        <v>704932</v>
      </c>
      <c r="IQ86" s="11" t="n">
        <v>2394676</v>
      </c>
      <c r="IR86" s="11" t="n">
        <v>20009150</v>
      </c>
      <c r="IS86" s="11" t="n">
        <v>9448135</v>
      </c>
      <c r="IT86" s="11" t="n">
        <v>-15736045</v>
      </c>
      <c r="IU86" s="11" t="n">
        <v>10861796</v>
      </c>
      <c r="IV86" s="11" t="n">
        <v>7747468</v>
      </c>
      <c r="IW86" s="11" t="n">
        <v>12200460</v>
      </c>
      <c r="IX86" s="11" t="n">
        <v>16869570</v>
      </c>
      <c r="IY86" s="11" t="n">
        <v>4855610</v>
      </c>
      <c r="IZ86" s="11" t="n">
        <v>15559720</v>
      </c>
      <c r="JA86" s="11" t="n">
        <v>-3896008</v>
      </c>
      <c r="JB86" s="11" t="n">
        <v>965162</v>
      </c>
      <c r="JC86" s="11" t="n">
        <v>21164</v>
      </c>
      <c r="JD86" s="11" t="n">
        <v>103916</v>
      </c>
      <c r="JE86" s="11" t="n">
        <v>485302</v>
      </c>
      <c r="JF86" s="11" t="n">
        <v>-264525</v>
      </c>
      <c r="JG86" s="11" t="n">
        <v>-17813884</v>
      </c>
      <c r="JH86" s="11" t="n">
        <v>-27445080</v>
      </c>
      <c r="JI86" s="11" t="n">
        <v>-110702822</v>
      </c>
      <c r="JJ86" s="11" t="n">
        <v>-91499971</v>
      </c>
      <c r="JK86" s="11" t="n">
        <v>1316152</v>
      </c>
      <c r="JL86" s="11" t="n">
        <v>6529680</v>
      </c>
      <c r="JM86" s="11" t="n">
        <v>-6888712</v>
      </c>
      <c r="JN86" s="11" t="n">
        <v>1880884</v>
      </c>
      <c r="JO86" s="11" t="n">
        <v>-17373478</v>
      </c>
      <c r="JP86" s="11" t="n">
        <v>-76348616</v>
      </c>
      <c r="JQ86" s="11" t="n">
        <v>-42658</v>
      </c>
      <c r="JR86" s="11" t="n">
        <v>-11896</v>
      </c>
      <c r="JS86" s="11" t="n">
        <v>-406936</v>
      </c>
      <c r="JT86" s="11" t="n">
        <v>-448268</v>
      </c>
      <c r="JU86" s="11" t="n">
        <v>4332</v>
      </c>
      <c r="JV86" s="11" t="n">
        <v>12526</v>
      </c>
      <c r="JW86" s="11" t="n">
        <v>-21521</v>
      </c>
      <c r="JX86" s="11" t="n">
        <v>-37832</v>
      </c>
      <c r="JY86" s="11" t="n">
        <v>-51524</v>
      </c>
      <c r="JZ86" s="11" t="n">
        <v>-336928</v>
      </c>
      <c r="KA86" s="11" t="n">
        <v>-993448</v>
      </c>
      <c r="KB86" s="11" t="n">
        <v>2617954</v>
      </c>
      <c r="KC86" s="11" t="n">
        <v>4229537</v>
      </c>
      <c r="KD86" s="11" t="n">
        <v>10207064</v>
      </c>
      <c r="KE86" s="11" t="n">
        <v>11619052</v>
      </c>
      <c r="KF86" s="11" t="n">
        <v>12837120</v>
      </c>
      <c r="KG86" s="11" t="n">
        <v>-557572</v>
      </c>
      <c r="KH86" s="11" t="n">
        <v>71678</v>
      </c>
      <c r="KI86" s="11" t="n">
        <v>-2562712</v>
      </c>
      <c r="KJ86" s="11" t="n">
        <v>-7257632</v>
      </c>
      <c r="KK86" s="11" t="n">
        <v>11706816</v>
      </c>
      <c r="KL86" s="11" t="n">
        <v>28094796</v>
      </c>
      <c r="KM86" s="11" t="n">
        <v>113599624</v>
      </c>
      <c r="KN86" s="11" t="n">
        <v>92543637</v>
      </c>
      <c r="KO86" s="11" t="n">
        <v>-644376</v>
      </c>
      <c r="KP86" s="11" t="n">
        <v>-3395408</v>
      </c>
      <c r="KQ86" s="11" t="n">
        <v>5237814</v>
      </c>
      <c r="KR86" s="11" t="n">
        <v>-1895684</v>
      </c>
      <c r="KS86" s="11" t="n">
        <v>17663916</v>
      </c>
      <c r="KT86" s="11" t="n">
        <v>77667327</v>
      </c>
      <c r="KU86" s="11" t="n">
        <v>-185650632</v>
      </c>
      <c r="KV86" s="11" t="n">
        <v>-753938672</v>
      </c>
      <c r="KW86" s="11" t="n">
        <v>-598229406</v>
      </c>
      <c r="KX86" s="11" t="n">
        <v>-7851084</v>
      </c>
      <c r="KY86" s="11" t="n">
        <v>31917438</v>
      </c>
      <c r="KZ86" s="11" t="n">
        <v>154917545</v>
      </c>
      <c r="LA86" s="11" t="n">
        <v>-12346624</v>
      </c>
      <c r="LB86" s="11" t="n">
        <v>115991244</v>
      </c>
      <c r="LC86" s="11" t="n">
        <v>510832616</v>
      </c>
      <c r="LD86" s="11" t="n">
        <v>2782562</v>
      </c>
      <c r="LE86" s="11" t="n">
        <v>-1097436</v>
      </c>
      <c r="LF86" s="11" t="n">
        <v>-84968</v>
      </c>
      <c r="LG86" s="11" t="n">
        <v>1346991</v>
      </c>
      <c r="LH86" s="11" t="n">
        <v>10445296</v>
      </c>
      <c r="LI86" s="11" t="n">
        <v>11907948</v>
      </c>
      <c r="LJ86" s="11" t="n">
        <v>13742500</v>
      </c>
      <c r="LK86" s="11" t="n">
        <v>-313620</v>
      </c>
      <c r="LL86" s="11" t="n">
        <v>416868</v>
      </c>
      <c r="LM86" s="11" t="n">
        <v>-352661</v>
      </c>
      <c r="LN86" s="11" t="n">
        <v>-7370708</v>
      </c>
      <c r="LO86" s="11" t="n">
        <v>-69329276</v>
      </c>
      <c r="LP86" s="11" t="n">
        <v>-77441058</v>
      </c>
      <c r="LQ86" s="11" t="n">
        <v>-91090435</v>
      </c>
      <c r="LR86" s="11" t="n">
        <v>-15194180</v>
      </c>
      <c r="LS86" s="11" t="n">
        <v>-48465898</v>
      </c>
    </row>
    <row r="87" customFormat="false" ht="15" hidden="false" customHeight="true" outlineLevel="0" collapsed="false">
      <c r="A87" s="7" t="s">
        <v>153</v>
      </c>
      <c r="B87" s="11" t="n">
        <v>-1114514</v>
      </c>
      <c r="C87" s="11" t="n">
        <v>-511416572</v>
      </c>
      <c r="D87" s="11" t="n">
        <v>-1961282</v>
      </c>
      <c r="E87" s="11" t="n">
        <v>-192795676</v>
      </c>
      <c r="F87" s="11" t="n">
        <v>-3635668</v>
      </c>
      <c r="G87" s="11" t="n">
        <v>-36222780</v>
      </c>
      <c r="H87" s="11" t="n">
        <v>48732850</v>
      </c>
      <c r="I87" s="11" t="n">
        <v>110440264</v>
      </c>
      <c r="J87" s="11" t="n">
        <v>-188255</v>
      </c>
      <c r="K87" s="11" t="n">
        <v>8223</v>
      </c>
      <c r="L87" s="11" t="n">
        <v>-3077701</v>
      </c>
      <c r="M87" s="11" t="n">
        <v>87009</v>
      </c>
      <c r="N87" s="11" t="n">
        <v>-108258</v>
      </c>
      <c r="O87" s="11" t="n">
        <v>-724168</v>
      </c>
      <c r="P87" s="11" t="n">
        <v>2553629</v>
      </c>
      <c r="Q87" s="11" t="n">
        <v>4104569</v>
      </c>
      <c r="R87" s="11" t="n">
        <v>-1379697828</v>
      </c>
      <c r="S87" s="11" t="n">
        <v>40539892</v>
      </c>
      <c r="T87" s="11" t="n">
        <v>-43557834</v>
      </c>
      <c r="U87" s="11" t="n">
        <v>-340530239</v>
      </c>
      <c r="V87" s="11" t="n">
        <v>1153127962</v>
      </c>
      <c r="W87" s="11" t="n">
        <v>-6838495</v>
      </c>
      <c r="X87" s="11" t="n">
        <v>126291</v>
      </c>
      <c r="Y87" s="11" t="n">
        <v>-457764</v>
      </c>
      <c r="Z87" s="11" t="n">
        <v>-914809</v>
      </c>
      <c r="AA87" s="11" t="n">
        <v>5308625</v>
      </c>
      <c r="AB87" s="11" t="n">
        <v>25091168</v>
      </c>
      <c r="AC87" s="11" t="n">
        <v>81301098</v>
      </c>
      <c r="AD87" s="11" t="n">
        <v>-259845637</v>
      </c>
      <c r="AE87" s="11" t="n">
        <v>136765010</v>
      </c>
      <c r="AF87" s="11" t="n">
        <v>-3181026</v>
      </c>
      <c r="AG87" s="11" t="n">
        <v>1442209</v>
      </c>
      <c r="AH87" s="11" t="n">
        <v>16952182</v>
      </c>
      <c r="AI87" s="11" t="n">
        <v>-28269810</v>
      </c>
      <c r="AJ87" s="11" t="n">
        <v>72267822</v>
      </c>
      <c r="AK87" s="11" t="n">
        <v>-183418893</v>
      </c>
      <c r="AL87" s="11" t="n">
        <v>169147461</v>
      </c>
      <c r="AM87" s="11" t="n">
        <v>264217</v>
      </c>
      <c r="AN87" s="11" t="n">
        <v>56519905</v>
      </c>
      <c r="AO87" s="11" t="n">
        <v>-1578975</v>
      </c>
      <c r="AP87" s="11" t="n">
        <v>11003282</v>
      </c>
      <c r="AQ87" s="11" t="n">
        <v>-20389516</v>
      </c>
      <c r="AR87" s="11" t="n">
        <v>-35996523</v>
      </c>
      <c r="AS87" s="11" t="n">
        <v>-176418527</v>
      </c>
      <c r="AT87" s="11" t="n">
        <v>-3324931784</v>
      </c>
      <c r="AU87" s="11" t="n">
        <v>-1276321332</v>
      </c>
      <c r="AV87" s="11" t="n">
        <v>-448384234</v>
      </c>
      <c r="AW87" s="11" t="n">
        <v>-1960045843</v>
      </c>
      <c r="AX87" s="11" t="n">
        <v>243578682</v>
      </c>
      <c r="AY87" s="11" t="n">
        <v>53755787</v>
      </c>
      <c r="AZ87" s="11" t="n">
        <v>-3640529</v>
      </c>
      <c r="BA87" s="11" t="n">
        <v>10775876</v>
      </c>
      <c r="BB87" s="11" t="n">
        <v>-24327683</v>
      </c>
      <c r="BC87" s="11" t="n">
        <v>-37163407</v>
      </c>
      <c r="BD87" s="11" t="n">
        <v>-457515260</v>
      </c>
      <c r="BE87" s="11" t="n">
        <v>66465838</v>
      </c>
      <c r="BF87" s="11" t="n">
        <v>-1055737719</v>
      </c>
      <c r="BG87" s="11" t="n">
        <v>-626192902</v>
      </c>
      <c r="BH87" s="11" t="n">
        <v>87212134</v>
      </c>
      <c r="BI87" s="11" t="n">
        <v>-135554567</v>
      </c>
      <c r="BJ87" s="11" t="n">
        <v>-273889626</v>
      </c>
      <c r="BK87" s="11" t="n">
        <v>-181553270</v>
      </c>
      <c r="BL87" s="11" t="n">
        <v>-79576178</v>
      </c>
      <c r="BM87" s="11" t="n">
        <v>-446481941</v>
      </c>
      <c r="BN87" s="11" t="n">
        <v>1292617</v>
      </c>
      <c r="BO87" s="11" t="n">
        <v>-457549349</v>
      </c>
      <c r="BP87" s="11" t="n">
        <v>12938466</v>
      </c>
      <c r="BQ87" s="11" t="n">
        <v>-14571502</v>
      </c>
      <c r="BR87" s="11" t="n">
        <v>-113349502</v>
      </c>
      <c r="BS87" s="11" t="n">
        <v>381478686</v>
      </c>
      <c r="BT87" s="11" t="n">
        <v>-1146638</v>
      </c>
      <c r="BU87" s="11" t="n">
        <v>32277</v>
      </c>
      <c r="BV87" s="11" t="n">
        <v>-106848</v>
      </c>
      <c r="BW87" s="11" t="n">
        <v>-21242</v>
      </c>
      <c r="BX87" s="11" t="n">
        <v>870973</v>
      </c>
      <c r="BY87" s="11" t="n">
        <v>52155</v>
      </c>
      <c r="BZ87" s="11" t="n">
        <v>24895228</v>
      </c>
      <c r="CA87" s="11" t="n">
        <v>-93029554</v>
      </c>
      <c r="CB87" s="11" t="n">
        <v>30097723</v>
      </c>
      <c r="CC87" s="11" t="n">
        <v>-705642</v>
      </c>
      <c r="CD87" s="11" t="n">
        <v>2617746</v>
      </c>
      <c r="CE87" s="11" t="n">
        <v>-807612</v>
      </c>
      <c r="CF87" s="11" t="n">
        <v>-9130036</v>
      </c>
      <c r="CG87" s="11" t="n">
        <v>21714746</v>
      </c>
      <c r="CH87" s="11" t="n">
        <v>-70106602</v>
      </c>
      <c r="CI87" s="11" t="n">
        <v>502626791</v>
      </c>
      <c r="CJ87" s="11" t="n">
        <v>-3741058</v>
      </c>
      <c r="CK87" s="11" t="n">
        <v>18624412</v>
      </c>
      <c r="CL87" s="11" t="n">
        <v>133200585</v>
      </c>
      <c r="CM87" s="11" t="n">
        <v>-399738556</v>
      </c>
      <c r="CN87" s="11" t="n">
        <v>-3706821892</v>
      </c>
      <c r="CO87" s="11" t="n">
        <v>-926461818</v>
      </c>
      <c r="CP87" s="11" t="n">
        <v>-3073876099</v>
      </c>
      <c r="CQ87" s="11" t="n">
        <v>-6839838646</v>
      </c>
      <c r="CR87" s="11" t="n">
        <v>144248828</v>
      </c>
      <c r="CS87" s="11" t="n">
        <v>1005219782</v>
      </c>
      <c r="CT87" s="11" t="n">
        <v>-2897122524</v>
      </c>
      <c r="CU87" s="11" t="n">
        <v>131620762</v>
      </c>
      <c r="CV87" s="11" t="n">
        <v>-990258560</v>
      </c>
      <c r="CW87" s="11" t="n">
        <v>-4257268694</v>
      </c>
      <c r="CX87" s="11" t="n">
        <v>-9232159</v>
      </c>
      <c r="CY87" s="11" t="n">
        <v>25026136</v>
      </c>
      <c r="CZ87" s="11" t="n">
        <v>-109898024</v>
      </c>
      <c r="DA87" s="11" t="n">
        <v>15922005</v>
      </c>
      <c r="DB87" s="11" t="n">
        <v>155820</v>
      </c>
      <c r="DC87" s="11" t="n">
        <v>3264577</v>
      </c>
      <c r="DD87" s="11" t="n">
        <v>-7460834</v>
      </c>
      <c r="DE87" s="11" t="n">
        <v>-10704328</v>
      </c>
      <c r="DF87" s="11" t="n">
        <v>20493236</v>
      </c>
      <c r="DG87" s="11" t="n">
        <v>-83182309</v>
      </c>
      <c r="DH87" s="11" t="n">
        <v>-201582314</v>
      </c>
      <c r="DI87" s="11" t="n">
        <v>754026437</v>
      </c>
      <c r="DJ87" s="11" t="n">
        <v>-243056114</v>
      </c>
      <c r="DK87" s="11" t="n">
        <v>355618856</v>
      </c>
      <c r="DL87" s="11" t="n">
        <v>311212226</v>
      </c>
      <c r="DM87" s="11" t="n">
        <v>-1592885689</v>
      </c>
      <c r="DN87" s="11" t="n">
        <v>-84007802</v>
      </c>
      <c r="DO87" s="11" t="n">
        <v>167008084</v>
      </c>
      <c r="DP87" s="11" t="n">
        <v>-523408520</v>
      </c>
      <c r="DQ87" s="11" t="n">
        <v>-424320354</v>
      </c>
      <c r="DR87" s="11" t="n">
        <v>-2579122</v>
      </c>
      <c r="DS87" s="11" t="n">
        <v>-4440</v>
      </c>
      <c r="DT87" s="11" t="n">
        <v>-1583748</v>
      </c>
      <c r="DU87" s="11" t="n">
        <v>1406</v>
      </c>
      <c r="DV87" s="11" t="n">
        <v>-255448</v>
      </c>
      <c r="DW87" s="11" t="n">
        <v>-72520</v>
      </c>
      <c r="DX87" s="11" t="n">
        <v>594442</v>
      </c>
      <c r="DY87" s="11" t="n">
        <v>2501266</v>
      </c>
      <c r="DZ87" s="11" t="n">
        <v>-280580956</v>
      </c>
      <c r="EA87" s="11" t="n">
        <v>9058552</v>
      </c>
      <c r="EB87" s="11" t="n">
        <v>-33393364</v>
      </c>
      <c r="EC87" s="11" t="n">
        <v>-146051010</v>
      </c>
      <c r="ED87" s="11" t="n">
        <v>17199044</v>
      </c>
      <c r="EE87" s="11" t="n">
        <v>-2018964</v>
      </c>
      <c r="EF87" s="11" t="n">
        <v>16958</v>
      </c>
      <c r="EG87" s="11" t="n">
        <v>-305224</v>
      </c>
      <c r="EH87" s="11" t="n">
        <v>-321760</v>
      </c>
      <c r="EI87" s="11" t="n">
        <v>606106</v>
      </c>
      <c r="EJ87" s="11" t="n">
        <v>5409580</v>
      </c>
      <c r="EK87" s="11" t="n">
        <v>7284328</v>
      </c>
      <c r="EL87" s="11" t="n">
        <v>-81795380</v>
      </c>
      <c r="EM87" s="11" t="n">
        <v>-54107620</v>
      </c>
      <c r="EN87" s="11" t="n">
        <v>-878996</v>
      </c>
      <c r="EO87" s="11" t="n">
        <v>-175090</v>
      </c>
      <c r="EP87" s="11" t="n">
        <v>2078460</v>
      </c>
      <c r="EQ87" s="11" t="n">
        <v>-13526600</v>
      </c>
      <c r="ER87" s="11" t="n">
        <v>-5993108</v>
      </c>
      <c r="ES87" s="11" t="n">
        <v>-33178570</v>
      </c>
      <c r="ET87" s="11" t="n">
        <v>-19779</v>
      </c>
      <c r="EU87" s="11" t="n">
        <v>6854663</v>
      </c>
      <c r="EV87" s="11" t="n">
        <v>-201112</v>
      </c>
      <c r="EW87" s="11" t="n">
        <v>207374</v>
      </c>
      <c r="EX87" s="11" t="n">
        <v>1663564</v>
      </c>
      <c r="EY87" s="11" t="n">
        <v>-5809002</v>
      </c>
      <c r="EZ87" s="11" t="n">
        <v>23946</v>
      </c>
      <c r="FA87" s="11" t="n">
        <v>-357</v>
      </c>
      <c r="FB87" s="11" t="n">
        <v>2316</v>
      </c>
      <c r="FC87" s="11" t="n">
        <v>3420</v>
      </c>
      <c r="FD87" s="11" t="n">
        <v>-14559</v>
      </c>
      <c r="FE87" s="11" t="n">
        <v>-119759</v>
      </c>
      <c r="FF87" s="11" t="n">
        <v>-551576</v>
      </c>
      <c r="FG87" s="11" t="n">
        <v>828796</v>
      </c>
      <c r="FH87" s="11" t="n">
        <v>-1987225</v>
      </c>
      <c r="FI87" s="11" t="n">
        <v>19806</v>
      </c>
      <c r="FJ87" s="11" t="n">
        <v>4748</v>
      </c>
      <c r="FK87" s="11" t="n">
        <v>-43186</v>
      </c>
      <c r="FL87" s="11" t="n">
        <v>158936</v>
      </c>
      <c r="FM87" s="11" t="n">
        <v>-527554</v>
      </c>
      <c r="FN87" s="11" t="n">
        <v>220084</v>
      </c>
      <c r="FO87" s="11" t="n">
        <v>-4495997</v>
      </c>
      <c r="FP87" s="11" t="n">
        <v>125572</v>
      </c>
      <c r="FQ87" s="11" t="n">
        <v>54976</v>
      </c>
      <c r="FR87" s="11" t="n">
        <v>-493297</v>
      </c>
      <c r="FS87" s="11" t="n">
        <v>5501748</v>
      </c>
      <c r="FT87" s="11" t="n">
        <v>2196532</v>
      </c>
      <c r="FU87" s="11" t="n">
        <v>-66191154</v>
      </c>
      <c r="FV87" s="11" t="n">
        <v>-207189143</v>
      </c>
      <c r="FW87" s="11" t="n">
        <v>-586246670</v>
      </c>
      <c r="FX87" s="11" t="n">
        <v>1875560</v>
      </c>
      <c r="FY87" s="11" t="n">
        <v>5545736</v>
      </c>
      <c r="FZ87" s="11" t="n">
        <v>19061608</v>
      </c>
      <c r="GA87" s="11" t="n">
        <v>9795898</v>
      </c>
      <c r="GB87" s="11" t="n">
        <v>-73829576</v>
      </c>
      <c r="GC87" s="11" t="n">
        <v>-317859682</v>
      </c>
      <c r="GD87" s="11" t="n">
        <v>-70877</v>
      </c>
      <c r="GE87" s="11" t="n">
        <v>-593012</v>
      </c>
      <c r="GF87" s="11" t="n">
        <v>-180182</v>
      </c>
      <c r="GG87" s="11" t="n">
        <v>-3351415</v>
      </c>
      <c r="GH87" s="11" t="n">
        <v>15696</v>
      </c>
      <c r="GI87" s="11" t="n">
        <v>12809</v>
      </c>
      <c r="GJ87" s="11" t="n">
        <v>6872</v>
      </c>
      <c r="GK87" s="11" t="n">
        <v>67268</v>
      </c>
      <c r="GL87" s="11" t="n">
        <v>-684688</v>
      </c>
      <c r="GM87" s="11" t="n">
        <v>-588203</v>
      </c>
      <c r="GN87" s="11" t="n">
        <v>1333186</v>
      </c>
      <c r="GO87" s="11" t="n">
        <v>3354255</v>
      </c>
      <c r="GP87" s="11" t="n">
        <v>10879210</v>
      </c>
      <c r="GQ87" s="11" t="n">
        <v>24675104</v>
      </c>
      <c r="GR87" s="11" t="n">
        <v>27984290</v>
      </c>
      <c r="GS87" s="11" t="n">
        <v>-130948865</v>
      </c>
      <c r="GT87" s="11" t="n">
        <v>-501878</v>
      </c>
      <c r="GU87" s="11" t="n">
        <v>-2279984</v>
      </c>
      <c r="GV87" s="11" t="n">
        <v>-1640890</v>
      </c>
      <c r="GW87" s="11" t="n">
        <v>-31664106</v>
      </c>
      <c r="GX87" s="11" t="n">
        <v>62419</v>
      </c>
      <c r="GY87" s="11" t="n">
        <v>109568137</v>
      </c>
      <c r="GZ87" s="11" t="n">
        <v>3440556</v>
      </c>
      <c r="HA87" s="11" t="n">
        <v>13305866</v>
      </c>
      <c r="HB87" s="11" t="n">
        <v>58190048</v>
      </c>
      <c r="HC87" s="11" t="n">
        <v>-6916854</v>
      </c>
      <c r="HD87" s="11" t="n">
        <v>150294</v>
      </c>
      <c r="HE87" s="11" t="n">
        <v>5957</v>
      </c>
      <c r="HF87" s="11" t="n">
        <v>16724</v>
      </c>
      <c r="HG87" s="11" t="n">
        <v>98420</v>
      </c>
      <c r="HH87" s="11" t="n">
        <v>2479</v>
      </c>
      <c r="HI87" s="11" t="n">
        <v>2172455</v>
      </c>
      <c r="HJ87" s="11" t="n">
        <v>-2681464</v>
      </c>
      <c r="HK87" s="11" t="n">
        <v>32651612</v>
      </c>
      <c r="HL87" s="11" t="n">
        <v>21006121</v>
      </c>
      <c r="HM87" s="11" t="n">
        <v>-348022</v>
      </c>
      <c r="HN87" s="11" t="n">
        <v>-128464</v>
      </c>
      <c r="HO87" s="11" t="n">
        <v>796758</v>
      </c>
      <c r="HP87" s="11" t="n">
        <v>5389272</v>
      </c>
      <c r="HQ87" s="11" t="n">
        <v>2381690</v>
      </c>
      <c r="HR87" s="11" t="n">
        <v>13217288</v>
      </c>
      <c r="HS87" s="11" t="n">
        <v>-113051123</v>
      </c>
      <c r="HT87" s="11" t="n">
        <v>-3117464</v>
      </c>
      <c r="HU87" s="11" t="n">
        <v>-13712376</v>
      </c>
      <c r="HV87" s="11" t="n">
        <v>-59968139</v>
      </c>
      <c r="HW87" s="11" t="n">
        <v>7124300</v>
      </c>
      <c r="HX87" s="11" t="n">
        <v>759127780</v>
      </c>
      <c r="HY87" s="11" t="n">
        <v>28895074</v>
      </c>
      <c r="HZ87" s="11" t="n">
        <v>125811119</v>
      </c>
      <c r="IA87" s="11" t="n">
        <v>-21817618</v>
      </c>
      <c r="IB87" s="11" t="n">
        <v>-91280528</v>
      </c>
      <c r="IC87" s="11" t="n">
        <v>-399211148</v>
      </c>
      <c r="ID87" s="11" t="n">
        <v>47237376</v>
      </c>
      <c r="IE87" s="11" t="n">
        <v>-67354</v>
      </c>
      <c r="IF87" s="11" t="n">
        <v>-825416</v>
      </c>
      <c r="IG87" s="11" t="n">
        <v>-3644774</v>
      </c>
      <c r="IH87" s="11" t="n">
        <v>3282805</v>
      </c>
      <c r="II87" s="11" t="n">
        <v>-2727068</v>
      </c>
      <c r="IJ87" s="11" t="n">
        <v>33862126</v>
      </c>
      <c r="IK87" s="11" t="n">
        <v>21643943</v>
      </c>
      <c r="IL87" s="11" t="n">
        <v>-473384</v>
      </c>
      <c r="IM87" s="11" t="n">
        <v>-807597</v>
      </c>
      <c r="IN87" s="11" t="n">
        <v>803724</v>
      </c>
      <c r="IO87" s="11" t="n">
        <v>5553836</v>
      </c>
      <c r="IP87" s="11" t="n">
        <v>2453416</v>
      </c>
      <c r="IQ87" s="11" t="n">
        <v>13614999</v>
      </c>
      <c r="IR87" s="11" t="n">
        <v>19151070</v>
      </c>
      <c r="IS87" s="11" t="n">
        <v>-223727695</v>
      </c>
      <c r="IT87" s="11" t="n">
        <v>-145970610</v>
      </c>
      <c r="IU87" s="11" t="n">
        <v>-11689792</v>
      </c>
      <c r="IV87" s="11" t="n">
        <v>-5005746</v>
      </c>
      <c r="IW87" s="11" t="n">
        <v>-30621895</v>
      </c>
      <c r="IX87" s="11" t="n">
        <v>36973094</v>
      </c>
      <c r="IY87" s="11" t="n">
        <v>16360392</v>
      </c>
      <c r="IZ87" s="11" t="n">
        <v>90684870</v>
      </c>
      <c r="JA87" s="11" t="n">
        <v>-322262</v>
      </c>
      <c r="JB87" s="11" t="n">
        <v>1006160</v>
      </c>
      <c r="JC87" s="11" t="n">
        <v>21518</v>
      </c>
      <c r="JD87" s="11" t="n">
        <v>107060</v>
      </c>
      <c r="JE87" s="11" t="n">
        <v>486514</v>
      </c>
      <c r="JF87" s="11" t="n">
        <v>-193632</v>
      </c>
      <c r="JG87" s="11" t="n">
        <v>-17687926</v>
      </c>
      <c r="JH87" s="11" t="n">
        <v>-26553860</v>
      </c>
      <c r="JI87" s="11" t="n">
        <v>-83981898</v>
      </c>
      <c r="JJ87" s="11" t="n">
        <v>-228398976</v>
      </c>
      <c r="JK87" s="11" t="n">
        <v>1314188</v>
      </c>
      <c r="JL87" s="11" t="n">
        <v>6756680</v>
      </c>
      <c r="JM87" s="11" t="n">
        <v>-8288580</v>
      </c>
      <c r="JN87" s="11" t="n">
        <v>3903676</v>
      </c>
      <c r="JO87" s="11" t="n">
        <v>-29412888</v>
      </c>
      <c r="JP87" s="11" t="n">
        <v>-126601020</v>
      </c>
      <c r="JQ87" s="11" t="n">
        <v>-44212</v>
      </c>
      <c r="JR87" s="11" t="n">
        <v>-11800</v>
      </c>
      <c r="JS87" s="11" t="n">
        <v>-415036</v>
      </c>
      <c r="JT87" s="11" t="n">
        <v>-506192</v>
      </c>
      <c r="JU87" s="11" t="n">
        <v>4452</v>
      </c>
      <c r="JV87" s="11" t="n">
        <v>12502</v>
      </c>
      <c r="JW87" s="11" t="n">
        <v>-19334</v>
      </c>
      <c r="JX87" s="11" t="n">
        <v>-38456</v>
      </c>
      <c r="JY87" s="11" t="n">
        <v>-56132</v>
      </c>
      <c r="JZ87" s="11" t="n">
        <v>-324634</v>
      </c>
      <c r="KA87" s="11" t="n">
        <v>-959372</v>
      </c>
      <c r="KB87" s="11" t="n">
        <v>3605906</v>
      </c>
      <c r="KC87" s="11" t="n">
        <v>-1137482</v>
      </c>
      <c r="KD87" s="11" t="n">
        <v>9968416</v>
      </c>
      <c r="KE87" s="11" t="n">
        <v>10680452</v>
      </c>
      <c r="KF87" s="11" t="n">
        <v>-51962742</v>
      </c>
      <c r="KG87" s="11" t="n">
        <v>-634388</v>
      </c>
      <c r="KH87" s="11" t="n">
        <v>534076</v>
      </c>
      <c r="KI87" s="11" t="n">
        <v>-1255220</v>
      </c>
      <c r="KJ87" s="11" t="n">
        <v>-12611836</v>
      </c>
      <c r="KK87" s="11" t="n">
        <v>11279154</v>
      </c>
      <c r="KL87" s="11" t="n">
        <v>27132620</v>
      </c>
      <c r="KM87" s="11" t="n">
        <v>85496222</v>
      </c>
      <c r="KN87" s="11" t="n">
        <v>235859744</v>
      </c>
      <c r="KO87" s="11" t="n">
        <v>-619888</v>
      </c>
      <c r="KP87" s="11" t="n">
        <v>-3625426</v>
      </c>
      <c r="KQ87" s="11" t="n">
        <v>7214792</v>
      </c>
      <c r="KR87" s="11" t="n">
        <v>-4022396</v>
      </c>
      <c r="KS87" s="11" t="n">
        <v>30318128</v>
      </c>
      <c r="KT87" s="11" t="n">
        <v>130499992</v>
      </c>
      <c r="KU87" s="11" t="n">
        <v>-179310148</v>
      </c>
      <c r="KV87" s="11" t="n">
        <v>-561546958</v>
      </c>
      <c r="KW87" s="11" t="n">
        <v>-1585953004</v>
      </c>
      <c r="KX87" s="11" t="n">
        <v>8342824</v>
      </c>
      <c r="KY87" s="11" t="n">
        <v>-65520392</v>
      </c>
      <c r="KZ87" s="11" t="n">
        <v>-278980884</v>
      </c>
      <c r="LA87" s="11" t="n">
        <v>-26773236</v>
      </c>
      <c r="LB87" s="11" t="n">
        <v>201858992</v>
      </c>
      <c r="LC87" s="11" t="n">
        <v>868965860</v>
      </c>
      <c r="LD87" s="11" t="n">
        <v>391048</v>
      </c>
      <c r="LE87" s="11" t="n">
        <v>-1059964</v>
      </c>
      <c r="LF87" s="11" t="n">
        <v>895778</v>
      </c>
      <c r="LG87" s="11" t="n">
        <v>-4689526</v>
      </c>
      <c r="LH87" s="11" t="n">
        <v>10189392</v>
      </c>
      <c r="LI87" s="11" t="n">
        <v>10884124</v>
      </c>
      <c r="LJ87" s="11" t="n">
        <v>-54278426</v>
      </c>
      <c r="LK87" s="11" t="n">
        <v>-389932</v>
      </c>
      <c r="LL87" s="11" t="n">
        <v>935744</v>
      </c>
      <c r="LM87" s="11" t="n">
        <v>934350</v>
      </c>
      <c r="LN87" s="11" t="n">
        <v>-12999244</v>
      </c>
      <c r="LO87" s="11" t="n">
        <v>-67012264</v>
      </c>
      <c r="LP87" s="11" t="n">
        <v>-74489052</v>
      </c>
      <c r="LQ87" s="11" t="n">
        <v>359428630</v>
      </c>
      <c r="LR87" s="11" t="n">
        <v>27952232</v>
      </c>
      <c r="LS87" s="11" t="n">
        <v>-86561420</v>
      </c>
    </row>
    <row r="88" customFormat="false" ht="15" hidden="false" customHeight="true" outlineLevel="0" collapsed="false">
      <c r="A88" s="7" t="s">
        <v>154</v>
      </c>
      <c r="B88" s="11" t="n">
        <v>-4085620</v>
      </c>
      <c r="C88" s="11" t="n">
        <v>-1515220366</v>
      </c>
      <c r="D88" s="11" t="n">
        <v>-7273204</v>
      </c>
      <c r="E88" s="11" t="n">
        <v>-230009400</v>
      </c>
      <c r="F88" s="11" t="n">
        <v>-21453762</v>
      </c>
      <c r="G88" s="11" t="n">
        <v>-90937952</v>
      </c>
      <c r="H88" s="11" t="n">
        <v>216317140</v>
      </c>
      <c r="I88" s="11" t="n">
        <v>272323204</v>
      </c>
      <c r="J88" s="11" t="n">
        <v>9415142</v>
      </c>
      <c r="K88" s="11" t="n">
        <v>27798</v>
      </c>
      <c r="L88" s="11" t="n">
        <v>2116910</v>
      </c>
      <c r="M88" s="11" t="n">
        <v>90574</v>
      </c>
      <c r="N88" s="11" t="n">
        <v>779324</v>
      </c>
      <c r="O88" s="11" t="n">
        <v>-1595920</v>
      </c>
      <c r="P88" s="11" t="n">
        <v>5636282</v>
      </c>
      <c r="Q88" s="11" t="n">
        <v>-6451445</v>
      </c>
      <c r="R88" s="11" t="n">
        <v>255044273</v>
      </c>
      <c r="S88" s="11" t="n">
        <v>-15848426</v>
      </c>
      <c r="T88" s="11" t="n">
        <v>79462570</v>
      </c>
      <c r="U88" s="11" t="n">
        <v>-93379682</v>
      </c>
      <c r="V88" s="11" t="n">
        <v>2717866789</v>
      </c>
      <c r="W88" s="11" t="n">
        <v>2203562</v>
      </c>
      <c r="X88" s="11" t="n">
        <v>15271</v>
      </c>
      <c r="Y88" s="11" t="n">
        <v>768620</v>
      </c>
      <c r="Z88" s="11" t="n">
        <v>-1369258</v>
      </c>
      <c r="AA88" s="11" t="n">
        <v>11886536</v>
      </c>
      <c r="AB88" s="11" t="n">
        <v>-6016911</v>
      </c>
      <c r="AC88" s="11" t="n">
        <v>-3244456</v>
      </c>
      <c r="AD88" s="11" t="n">
        <v>22235870</v>
      </c>
      <c r="AE88" s="11" t="n">
        <v>458408162</v>
      </c>
      <c r="AF88" s="11" t="n">
        <v>2076262</v>
      </c>
      <c r="AG88" s="11" t="n">
        <v>-3584714</v>
      </c>
      <c r="AH88" s="11" t="n">
        <v>35633479</v>
      </c>
      <c r="AI88" s="11" t="n">
        <v>5739996</v>
      </c>
      <c r="AJ88" s="11" t="n">
        <v>177397788</v>
      </c>
      <c r="AK88" s="11" t="n">
        <v>-404793018</v>
      </c>
      <c r="AL88" s="11" t="n">
        <v>517541112</v>
      </c>
      <c r="AM88" s="11" t="n">
        <v>992378</v>
      </c>
      <c r="AN88" s="11" t="n">
        <v>71247690</v>
      </c>
      <c r="AO88" s="11" t="n">
        <v>-3471116</v>
      </c>
      <c r="AP88" s="11" t="n">
        <v>28403004</v>
      </c>
      <c r="AQ88" s="11" t="n">
        <v>-85486360</v>
      </c>
      <c r="AR88" s="11" t="n">
        <v>-94165538</v>
      </c>
      <c r="AS88" s="11" t="n">
        <v>-553284625</v>
      </c>
      <c r="AT88" s="11" t="n">
        <v>-2712775473</v>
      </c>
      <c r="AU88" s="11" t="n">
        <v>-4004951390</v>
      </c>
      <c r="AV88" s="11" t="n">
        <v>-985730118</v>
      </c>
      <c r="AW88" s="11" t="n">
        <v>-4302323884</v>
      </c>
      <c r="AX88" s="11" t="n">
        <v>-426639563</v>
      </c>
      <c r="AY88" s="11" t="n">
        <v>70966638</v>
      </c>
      <c r="AZ88" s="11" t="n">
        <v>-11390285</v>
      </c>
      <c r="BA88" s="11" t="n">
        <v>28474508</v>
      </c>
      <c r="BB88" s="11" t="n">
        <v>-99640046</v>
      </c>
      <c r="BC88" s="11" t="n">
        <v>-101487072</v>
      </c>
      <c r="BD88" s="11" t="n">
        <v>-569539089</v>
      </c>
      <c r="BE88" s="11" t="n">
        <v>13177656</v>
      </c>
      <c r="BF88" s="11" t="n">
        <v>-1040373270</v>
      </c>
      <c r="BG88" s="11" t="n">
        <v>-552317562</v>
      </c>
      <c r="BH88" s="11" t="n">
        <v>226405654</v>
      </c>
      <c r="BI88" s="11" t="n">
        <v>-632674088</v>
      </c>
      <c r="BJ88" s="11" t="n">
        <v>-725831201</v>
      </c>
      <c r="BK88" s="11" t="n">
        <v>-398935268</v>
      </c>
      <c r="BL88" s="11" t="n">
        <v>-202765828</v>
      </c>
      <c r="BM88" s="11" t="n">
        <v>-712327526</v>
      </c>
      <c r="BN88" s="11" t="n">
        <v>1234385</v>
      </c>
      <c r="BO88" s="11" t="n">
        <v>103969737</v>
      </c>
      <c r="BP88" s="11" t="n">
        <v>19472398</v>
      </c>
      <c r="BQ88" s="11" t="n">
        <v>33266406</v>
      </c>
      <c r="BR88" s="11" t="n">
        <v>-5161516</v>
      </c>
      <c r="BS88" s="11" t="n">
        <v>930969979</v>
      </c>
      <c r="BT88" s="11" t="n">
        <v>29428</v>
      </c>
      <c r="BU88" s="11" t="n">
        <v>45617</v>
      </c>
      <c r="BV88" s="11" t="n">
        <v>-3956</v>
      </c>
      <c r="BW88" s="11" t="n">
        <v>193996</v>
      </c>
      <c r="BX88" s="11" t="n">
        <v>2009716</v>
      </c>
      <c r="BY88" s="11" t="n">
        <v>3378001</v>
      </c>
      <c r="BZ88" s="11" t="n">
        <v>-1126284</v>
      </c>
      <c r="CA88" s="11" t="n">
        <v>16462940</v>
      </c>
      <c r="CB88" s="11" t="n">
        <v>147079768</v>
      </c>
      <c r="CC88" s="11" t="n">
        <v>-1291774</v>
      </c>
      <c r="CD88" s="11" t="n">
        <v>3251028</v>
      </c>
      <c r="CE88" s="11" t="n">
        <v>-2700995</v>
      </c>
      <c r="CF88" s="11" t="n">
        <v>5211608</v>
      </c>
      <c r="CG88" s="11" t="n">
        <v>57145012</v>
      </c>
      <c r="CH88" s="11" t="n">
        <v>-154714804</v>
      </c>
      <c r="CI88" s="11" t="n">
        <v>-104680085</v>
      </c>
      <c r="CJ88" s="11" t="n">
        <v>-11265050</v>
      </c>
      <c r="CK88" s="11" t="n">
        <v>-33212860</v>
      </c>
      <c r="CL88" s="11" t="n">
        <v>15779445</v>
      </c>
      <c r="CM88" s="11" t="n">
        <v>-994249010</v>
      </c>
      <c r="CN88" s="11" t="n">
        <v>702493948</v>
      </c>
      <c r="CO88" s="11" t="n">
        <v>23653794</v>
      </c>
      <c r="CP88" s="11" t="n">
        <v>891356273</v>
      </c>
      <c r="CQ88" s="11" t="n">
        <v>-4794121403</v>
      </c>
      <c r="CR88" s="11" t="n">
        <v>-220341548</v>
      </c>
      <c r="CS88" s="11" t="n">
        <v>201816206</v>
      </c>
      <c r="CT88" s="11" t="n">
        <v>-7188186078</v>
      </c>
      <c r="CU88" s="11" t="n">
        <v>286374766</v>
      </c>
      <c r="CV88" s="11" t="n">
        <v>-1745740312</v>
      </c>
      <c r="CW88" s="11" t="n">
        <v>-7743416687</v>
      </c>
      <c r="CX88" s="11" t="n">
        <v>3599917</v>
      </c>
      <c r="CY88" s="11" t="n">
        <v>-1127284</v>
      </c>
      <c r="CZ88" s="11" t="n">
        <v>16827712</v>
      </c>
      <c r="DA88" s="11" t="n">
        <v>146727708</v>
      </c>
      <c r="DB88" s="11" t="n">
        <v>-1263492</v>
      </c>
      <c r="DC88" s="11" t="n">
        <v>2353549</v>
      </c>
      <c r="DD88" s="11" t="n">
        <v>-18401962</v>
      </c>
      <c r="DE88" s="11" t="n">
        <v>5169164</v>
      </c>
      <c r="DF88" s="11" t="n">
        <v>57260632</v>
      </c>
      <c r="DG88" s="11" t="n">
        <v>-181946908</v>
      </c>
      <c r="DH88" s="11" t="n">
        <v>8378498</v>
      </c>
      <c r="DI88" s="11" t="n">
        <v>-82275031</v>
      </c>
      <c r="DJ88" s="11" t="n">
        <v>-1149538291</v>
      </c>
      <c r="DK88" s="11" t="n">
        <v>-13401316</v>
      </c>
      <c r="DL88" s="11" t="n">
        <v>18472180</v>
      </c>
      <c r="DM88" s="11" t="n">
        <v>-2020066732</v>
      </c>
      <c r="DN88" s="11" t="n">
        <v>23399050</v>
      </c>
      <c r="DO88" s="11" t="n">
        <v>446291744</v>
      </c>
      <c r="DP88" s="11" t="n">
        <v>-1172114993</v>
      </c>
      <c r="DQ88" s="11" t="n">
        <v>-765426948</v>
      </c>
      <c r="DR88" s="11" t="n">
        <v>-6165170</v>
      </c>
      <c r="DS88" s="11" t="n">
        <v>-17040</v>
      </c>
      <c r="DT88" s="11" t="n">
        <v>-1444040</v>
      </c>
      <c r="DU88" s="11" t="n">
        <v>-69190</v>
      </c>
      <c r="DV88" s="11" t="n">
        <v>-553560</v>
      </c>
      <c r="DW88" s="11" t="n">
        <v>78800</v>
      </c>
      <c r="DX88" s="11" t="n">
        <v>966600</v>
      </c>
      <c r="DY88" s="11" t="n">
        <v>4655642</v>
      </c>
      <c r="DZ88" s="11" t="n">
        <v>-188463872</v>
      </c>
      <c r="EA88" s="11" t="n">
        <v>6713300</v>
      </c>
      <c r="EB88" s="11" t="n">
        <v>-68072276</v>
      </c>
      <c r="EC88" s="11" t="n">
        <v>-297196650</v>
      </c>
      <c r="ED88" s="11" t="n">
        <v>-52453934</v>
      </c>
      <c r="EE88" s="11" t="n">
        <v>-1611368</v>
      </c>
      <c r="EF88" s="11" t="n">
        <v>-33694</v>
      </c>
      <c r="EG88" s="11" t="n">
        <v>-606168</v>
      </c>
      <c r="EH88" s="11" t="n">
        <v>-761920</v>
      </c>
      <c r="EI88" s="11" t="n">
        <v>584952</v>
      </c>
      <c r="EJ88" s="11" t="n">
        <v>3687504</v>
      </c>
      <c r="EK88" s="11" t="n">
        <v>977584</v>
      </c>
      <c r="EL88" s="11" t="n">
        <v>-72019880</v>
      </c>
      <c r="EM88" s="11" t="n">
        <v>-41834168</v>
      </c>
      <c r="EN88" s="11" t="n">
        <v>-1366732</v>
      </c>
      <c r="EO88" s="11" t="n">
        <v>-3249550</v>
      </c>
      <c r="EP88" s="11" t="n">
        <v>463862</v>
      </c>
      <c r="EQ88" s="11" t="n">
        <v>-27554840</v>
      </c>
      <c r="ER88" s="11" t="n">
        <v>-15382392</v>
      </c>
      <c r="ES88" s="11" t="n">
        <v>-45925240</v>
      </c>
      <c r="ET88" s="11" t="n">
        <v>-2679</v>
      </c>
      <c r="EU88" s="11" t="n">
        <v>133329</v>
      </c>
      <c r="EV88" s="11" t="n">
        <v>22770</v>
      </c>
      <c r="EW88" s="11" t="n">
        <v>99662</v>
      </c>
      <c r="EX88" s="11" t="n">
        <v>2226640</v>
      </c>
      <c r="EY88" s="11" t="n">
        <v>-10732597</v>
      </c>
      <c r="EZ88" s="11" t="n">
        <v>996</v>
      </c>
      <c r="FA88" s="11" t="n">
        <v>93</v>
      </c>
      <c r="FB88" s="11" t="n">
        <v>516</v>
      </c>
      <c r="FC88" s="11" t="n">
        <v>6120</v>
      </c>
      <c r="FD88" s="11" t="n">
        <v>-30084</v>
      </c>
      <c r="FE88" s="11" t="n">
        <v>3837</v>
      </c>
      <c r="FF88" s="11" t="n">
        <v>11372</v>
      </c>
      <c r="FG88" s="11" t="n">
        <v>523240</v>
      </c>
      <c r="FH88" s="11" t="n">
        <v>-2492944</v>
      </c>
      <c r="FI88" s="11" t="n">
        <v>-926</v>
      </c>
      <c r="FJ88" s="11" t="n">
        <v>25280</v>
      </c>
      <c r="FK88" s="11" t="n">
        <v>-116879</v>
      </c>
      <c r="FL88" s="11" t="n">
        <v>201200</v>
      </c>
      <c r="FM88" s="11" t="n">
        <v>-948036</v>
      </c>
      <c r="FN88" s="11" t="n">
        <v>486280</v>
      </c>
      <c r="FO88" s="11" t="n">
        <v>-18789</v>
      </c>
      <c r="FP88" s="11" t="n">
        <v>-20112</v>
      </c>
      <c r="FQ88" s="11" t="n">
        <v>-45680</v>
      </c>
      <c r="FR88" s="11" t="n">
        <v>-1552309</v>
      </c>
      <c r="FS88" s="11" t="n">
        <v>8127538</v>
      </c>
      <c r="FT88" s="11" t="n">
        <v>841242</v>
      </c>
      <c r="FU88" s="11" t="n">
        <v>1574438</v>
      </c>
      <c r="FV88" s="11" t="n">
        <v>61639219</v>
      </c>
      <c r="FW88" s="11" t="n">
        <v>-329220511</v>
      </c>
      <c r="FX88" s="11" t="n">
        <v>-359936</v>
      </c>
      <c r="FY88" s="11" t="n">
        <v>-3522250</v>
      </c>
      <c r="FZ88" s="11" t="n">
        <v>11493076</v>
      </c>
      <c r="GA88" s="11" t="n">
        <v>19781002</v>
      </c>
      <c r="GB88" s="11" t="n">
        <v>-119351124</v>
      </c>
      <c r="GC88" s="11" t="n">
        <v>-536317393</v>
      </c>
      <c r="GD88" s="11" t="n">
        <v>6825</v>
      </c>
      <c r="GE88" s="11" t="n">
        <v>13364</v>
      </c>
      <c r="GF88" s="11" t="n">
        <v>534196</v>
      </c>
      <c r="GG88" s="11" t="n">
        <v>-2810668</v>
      </c>
      <c r="GH88" s="11" t="n">
        <v>-2288</v>
      </c>
      <c r="GI88" s="11" t="n">
        <v>7943</v>
      </c>
      <c r="GJ88" s="11" t="n">
        <v>-56294</v>
      </c>
      <c r="GK88" s="11" t="n">
        <v>194636</v>
      </c>
      <c r="GL88" s="11" t="n">
        <v>-1052472</v>
      </c>
      <c r="GM88" s="11" t="n">
        <v>-1135076</v>
      </c>
      <c r="GN88" s="11" t="n">
        <v>-26442</v>
      </c>
      <c r="GO88" s="11" t="n">
        <v>-1527513</v>
      </c>
      <c r="GP88" s="11" t="n">
        <v>6254829</v>
      </c>
      <c r="GQ88" s="11" t="n">
        <v>-921388</v>
      </c>
      <c r="GR88" s="11" t="n">
        <v>1358220</v>
      </c>
      <c r="GS88" s="11" t="n">
        <v>-139491176</v>
      </c>
      <c r="GT88" s="11" t="n">
        <v>542854</v>
      </c>
      <c r="GU88" s="11" t="n">
        <v>-2314956</v>
      </c>
      <c r="GV88" s="11" t="n">
        <v>-5319811</v>
      </c>
      <c r="GW88" s="11" t="n">
        <v>-52781844</v>
      </c>
      <c r="GX88" s="11" t="n">
        <v>661031</v>
      </c>
      <c r="GY88" s="11" t="n">
        <v>75409839</v>
      </c>
      <c r="GZ88" s="11" t="n">
        <v>14002450</v>
      </c>
      <c r="HA88" s="11" t="n">
        <v>27261642</v>
      </c>
      <c r="HB88" s="11" t="n">
        <v>119016380</v>
      </c>
      <c r="HC88" s="11" t="n">
        <v>19652173</v>
      </c>
      <c r="HD88" s="11" t="n">
        <v>53596</v>
      </c>
      <c r="HE88" s="11" t="n">
        <v>31283</v>
      </c>
      <c r="HF88" s="11" t="n">
        <v>15996</v>
      </c>
      <c r="HG88" s="11" t="n">
        <v>337400</v>
      </c>
      <c r="HH88" s="11" t="n">
        <v>157956</v>
      </c>
      <c r="HI88" s="11" t="n">
        <v>2433427</v>
      </c>
      <c r="HJ88" s="11" t="n">
        <v>-385548</v>
      </c>
      <c r="HK88" s="11" t="n">
        <v>28840520</v>
      </c>
      <c r="HL88" s="11" t="n">
        <v>16426096</v>
      </c>
      <c r="HM88" s="11" t="n">
        <v>-951306</v>
      </c>
      <c r="HN88" s="11" t="n">
        <v>1514660</v>
      </c>
      <c r="HO88" s="11" t="n">
        <v>2415911</v>
      </c>
      <c r="HP88" s="11" t="n">
        <v>11034720</v>
      </c>
      <c r="HQ88" s="11" t="n">
        <v>6038724</v>
      </c>
      <c r="HR88" s="11" t="n">
        <v>18408680</v>
      </c>
      <c r="HS88" s="11" t="n">
        <v>-77153051</v>
      </c>
      <c r="HT88" s="11" t="n">
        <v>-9854180</v>
      </c>
      <c r="HU88" s="11" t="n">
        <v>-27885416</v>
      </c>
      <c r="HV88" s="11" t="n">
        <v>-121740983</v>
      </c>
      <c r="HW88" s="11" t="n">
        <v>-20464506</v>
      </c>
      <c r="HX88" s="11" t="n">
        <v>510157030</v>
      </c>
      <c r="HY88" s="11" t="n">
        <v>732378</v>
      </c>
      <c r="HZ88" s="11" t="n">
        <v>3039053</v>
      </c>
      <c r="IA88" s="11" t="n">
        <v>-40845281</v>
      </c>
      <c r="IB88" s="11" t="n">
        <v>-184292440</v>
      </c>
      <c r="IC88" s="11" t="n">
        <v>-804596450</v>
      </c>
      <c r="ID88" s="11" t="n">
        <v>-140533760</v>
      </c>
      <c r="IE88" s="11" t="n">
        <v>-57226</v>
      </c>
      <c r="IF88" s="11" t="n">
        <v>-14956964</v>
      </c>
      <c r="IG88" s="11" t="n">
        <v>-65256491</v>
      </c>
      <c r="IH88" s="11" t="n">
        <v>2852263</v>
      </c>
      <c r="II88" s="11" t="n">
        <v>-393940</v>
      </c>
      <c r="IJ88" s="11" t="n">
        <v>29509372</v>
      </c>
      <c r="IK88" s="11" t="n">
        <v>16776780</v>
      </c>
      <c r="IL88" s="11" t="n">
        <v>-1081208</v>
      </c>
      <c r="IM88" s="11" t="n">
        <v>-731619</v>
      </c>
      <c r="IN88" s="11" t="n">
        <v>1386222</v>
      </c>
      <c r="IO88" s="11" t="n">
        <v>11287172</v>
      </c>
      <c r="IP88" s="11" t="n">
        <v>6168120</v>
      </c>
      <c r="IQ88" s="11" t="n">
        <v>18645108</v>
      </c>
      <c r="IR88" s="11" t="n">
        <v>2631914</v>
      </c>
      <c r="IS88" s="11" t="n">
        <v>-195011671</v>
      </c>
      <c r="IT88" s="11" t="n">
        <v>-112442653</v>
      </c>
      <c r="IU88" s="11" t="n">
        <v>-295636</v>
      </c>
      <c r="IV88" s="11" t="n">
        <v>49300</v>
      </c>
      <c r="IW88" s="11" t="n">
        <v>-16283272</v>
      </c>
      <c r="IX88" s="11" t="n">
        <v>74598218</v>
      </c>
      <c r="IY88" s="11" t="n">
        <v>41344532</v>
      </c>
      <c r="IZ88" s="11" t="n">
        <v>123619263</v>
      </c>
      <c r="JA88" s="11" t="n">
        <v>-6041468</v>
      </c>
      <c r="JB88" s="11" t="n">
        <v>47064</v>
      </c>
      <c r="JC88" s="11" t="n">
        <v>8526</v>
      </c>
      <c r="JD88" s="11" t="n">
        <v>22532</v>
      </c>
      <c r="JE88" s="11" t="n">
        <v>290458</v>
      </c>
      <c r="JF88" s="11" t="n">
        <v>-1142212</v>
      </c>
      <c r="JG88" s="11" t="n">
        <v>-24306</v>
      </c>
      <c r="JH88" s="11" t="n">
        <v>629460</v>
      </c>
      <c r="JI88" s="11" t="n">
        <v>24661482</v>
      </c>
      <c r="JJ88" s="11" t="n">
        <v>-131701740</v>
      </c>
      <c r="JK88" s="11" t="n">
        <v>125668</v>
      </c>
      <c r="JL88" s="11" t="n">
        <v>4617620</v>
      </c>
      <c r="JM88" s="11" t="n">
        <v>-24448658</v>
      </c>
      <c r="JN88" s="11" t="n">
        <v>7921996</v>
      </c>
      <c r="JO88" s="11" t="n">
        <v>-47775940</v>
      </c>
      <c r="JP88" s="11" t="n">
        <v>-214286574</v>
      </c>
      <c r="JQ88" s="11" t="n">
        <v>-1536</v>
      </c>
      <c r="JR88" s="11" t="n">
        <v>688</v>
      </c>
      <c r="JS88" s="11" t="n">
        <v>-472</v>
      </c>
      <c r="JT88" s="11" t="n">
        <v>-103856</v>
      </c>
      <c r="JU88" s="11" t="n">
        <v>860</v>
      </c>
      <c r="JV88" s="11" t="n">
        <v>9394</v>
      </c>
      <c r="JW88" s="11" t="n">
        <v>-56092</v>
      </c>
      <c r="JX88" s="11" t="n">
        <v>-4472</v>
      </c>
      <c r="JY88" s="11" t="n">
        <v>-33024</v>
      </c>
      <c r="JZ88" s="11" t="n">
        <v>-652408</v>
      </c>
      <c r="KA88" s="11" t="n">
        <v>20188</v>
      </c>
      <c r="KB88" s="11" t="n">
        <v>805106</v>
      </c>
      <c r="KC88" s="11" t="n">
        <v>-4244636</v>
      </c>
      <c r="KD88" s="11" t="n">
        <v>-366824</v>
      </c>
      <c r="KE88" s="11" t="n">
        <v>536240</v>
      </c>
      <c r="KF88" s="11" t="n">
        <v>-55741248</v>
      </c>
      <c r="KG88" s="11" t="n">
        <v>-327308</v>
      </c>
      <c r="KH88" s="11" t="n">
        <v>1639324</v>
      </c>
      <c r="KI88" s="11" t="n">
        <v>-3441338</v>
      </c>
      <c r="KJ88" s="11" t="n">
        <v>-21093112</v>
      </c>
      <c r="KK88" s="11" t="n">
        <v>-293526</v>
      </c>
      <c r="KL88" s="11" t="n">
        <v>-644468</v>
      </c>
      <c r="KM88" s="11" t="n">
        <v>-25233466</v>
      </c>
      <c r="KN88" s="11" t="n">
        <v>134771716</v>
      </c>
      <c r="KO88" s="11" t="n">
        <v>23776</v>
      </c>
      <c r="KP88" s="11" t="n">
        <v>-2759722</v>
      </c>
      <c r="KQ88" s="11" t="n">
        <v>17291236</v>
      </c>
      <c r="KR88" s="11" t="n">
        <v>-8103212</v>
      </c>
      <c r="KS88" s="11" t="n">
        <v>48881464</v>
      </c>
      <c r="KT88" s="11" t="n">
        <v>219351424</v>
      </c>
      <c r="KU88" s="11" t="n">
        <v>4258612</v>
      </c>
      <c r="KV88" s="11" t="n">
        <v>166839002</v>
      </c>
      <c r="KW88" s="11" t="n">
        <v>-890991974</v>
      </c>
      <c r="KX88" s="11" t="n">
        <v>214144</v>
      </c>
      <c r="KY88" s="11" t="n">
        <v>-938140</v>
      </c>
      <c r="KZ88" s="11" t="n">
        <v>8050098</v>
      </c>
      <c r="LA88" s="11" t="n">
        <v>-53553516</v>
      </c>
      <c r="LB88" s="11" t="n">
        <v>323040856</v>
      </c>
      <c r="LC88" s="11" t="n">
        <v>1451191394</v>
      </c>
      <c r="LD88" s="11" t="n">
        <v>4446652</v>
      </c>
      <c r="LE88" s="11" t="n">
        <v>25324</v>
      </c>
      <c r="LF88" s="11" t="n">
        <v>820586</v>
      </c>
      <c r="LG88" s="11" t="n">
        <v>-5046188</v>
      </c>
      <c r="LH88" s="11" t="n">
        <v>-375336</v>
      </c>
      <c r="LI88" s="11" t="n">
        <v>548000</v>
      </c>
      <c r="LJ88" s="11" t="n">
        <v>-57034232</v>
      </c>
      <c r="LK88" s="11" t="n">
        <v>-304564</v>
      </c>
      <c r="LL88" s="11" t="n">
        <v>1900552</v>
      </c>
      <c r="LM88" s="11" t="n">
        <v>895560</v>
      </c>
      <c r="LN88" s="11" t="n">
        <v>-21578128</v>
      </c>
      <c r="LO88" s="11" t="n">
        <v>2488616</v>
      </c>
      <c r="LP88" s="11" t="n">
        <v>-3658020</v>
      </c>
      <c r="LQ88" s="11" t="n">
        <v>377361562</v>
      </c>
      <c r="LR88" s="11" t="n">
        <v>364280</v>
      </c>
      <c r="LS88" s="11" t="n">
        <v>-142775348</v>
      </c>
    </row>
    <row r="89" customFormat="false" ht="15" hidden="false" customHeight="true" outlineLevel="0" collapsed="false">
      <c r="A89" s="7" t="s">
        <v>155</v>
      </c>
      <c r="B89" s="11" t="n">
        <v>-98020</v>
      </c>
      <c r="C89" s="11" t="n">
        <v>33656316</v>
      </c>
      <c r="D89" s="11" t="n">
        <v>-234398</v>
      </c>
      <c r="E89" s="11" t="n">
        <v>-20278002</v>
      </c>
      <c r="F89" s="11" t="n">
        <v>-4778294</v>
      </c>
      <c r="G89" s="11" t="n">
        <v>51795952</v>
      </c>
      <c r="H89" s="11" t="n">
        <v>7574286</v>
      </c>
      <c r="I89" s="11" t="n">
        <v>27257596</v>
      </c>
      <c r="J89" s="11" t="n">
        <v>2986476</v>
      </c>
      <c r="K89" s="11" t="n">
        <v>-2263</v>
      </c>
      <c r="L89" s="11" t="n">
        <v>-1930767</v>
      </c>
      <c r="M89" s="11" t="n">
        <v>-200829</v>
      </c>
      <c r="N89" s="11" t="n">
        <v>2743312</v>
      </c>
      <c r="O89" s="11" t="n">
        <v>-8659</v>
      </c>
      <c r="P89" s="11" t="n">
        <v>1557696</v>
      </c>
      <c r="Q89" s="11" t="n">
        <v>-6364617</v>
      </c>
      <c r="R89" s="11" t="n">
        <v>45120771</v>
      </c>
      <c r="S89" s="11" t="n">
        <v>-76628199</v>
      </c>
      <c r="T89" s="11" t="n">
        <v>636172128</v>
      </c>
      <c r="U89" s="11" t="n">
        <v>233746719</v>
      </c>
      <c r="V89" s="11" t="n">
        <v>295631988</v>
      </c>
      <c r="W89" s="11" t="n">
        <v>-4148937</v>
      </c>
      <c r="X89" s="11" t="n">
        <v>-369931</v>
      </c>
      <c r="Y89" s="11" t="n">
        <v>5364340</v>
      </c>
      <c r="Z89" s="11" t="n">
        <v>-195575</v>
      </c>
      <c r="AA89" s="11" t="n">
        <v>3095663</v>
      </c>
      <c r="AB89" s="11" t="n">
        <v>52574592</v>
      </c>
      <c r="AC89" s="11" t="n">
        <v>-452734428</v>
      </c>
      <c r="AD89" s="11" t="n">
        <v>-150987234</v>
      </c>
      <c r="AE89" s="11" t="n">
        <v>-214661337</v>
      </c>
      <c r="AF89" s="11" t="n">
        <v>27608876</v>
      </c>
      <c r="AG89" s="11" t="n">
        <v>-15940742</v>
      </c>
      <c r="AH89" s="11" t="n">
        <v>20087877</v>
      </c>
      <c r="AI89" s="11" t="n">
        <v>216559180</v>
      </c>
      <c r="AJ89" s="11" t="n">
        <v>-60255632</v>
      </c>
      <c r="AK89" s="11" t="n">
        <v>-122775541</v>
      </c>
      <c r="AL89" s="11" t="n">
        <v>-10124440</v>
      </c>
      <c r="AM89" s="11" t="n">
        <v>42795</v>
      </c>
      <c r="AN89" s="11" t="n">
        <v>5719915</v>
      </c>
      <c r="AO89" s="11" t="n">
        <v>1271005</v>
      </c>
      <c r="AP89" s="11" t="n">
        <v>-16382080</v>
      </c>
      <c r="AQ89" s="11" t="n">
        <v>-2852825</v>
      </c>
      <c r="AR89" s="11" t="n">
        <v>-8611060</v>
      </c>
      <c r="AS89" s="11" t="n">
        <v>9516695</v>
      </c>
      <c r="AT89" s="11" t="n">
        <v>130505487</v>
      </c>
      <c r="AU89" s="11" t="n">
        <v>57133289</v>
      </c>
      <c r="AV89" s="11" t="n">
        <v>274999520</v>
      </c>
      <c r="AW89" s="11" t="n">
        <v>197206443</v>
      </c>
      <c r="AX89" s="11" t="n">
        <v>141284036</v>
      </c>
      <c r="AY89" s="11" t="n">
        <v>4824929</v>
      </c>
      <c r="AZ89" s="11" t="n">
        <v>953213</v>
      </c>
      <c r="BA89" s="11" t="n">
        <v>-16561100</v>
      </c>
      <c r="BB89" s="11" t="n">
        <v>-3515149</v>
      </c>
      <c r="BC89" s="11" t="n">
        <v>-8691353</v>
      </c>
      <c r="BD89" s="11" t="n">
        <v>-15894650</v>
      </c>
      <c r="BE89" s="11" t="n">
        <v>-366531404</v>
      </c>
      <c r="BF89" s="11" t="n">
        <v>-148187298</v>
      </c>
      <c r="BG89" s="11" t="n">
        <v>-190817789</v>
      </c>
      <c r="BH89" s="11" t="n">
        <v>-126968788</v>
      </c>
      <c r="BI89" s="11" t="n">
        <v>-40855756</v>
      </c>
      <c r="BJ89" s="11" t="n">
        <v>-66329683</v>
      </c>
      <c r="BK89" s="11" t="n">
        <v>241606076</v>
      </c>
      <c r="BL89" s="11" t="n">
        <v>-5285328</v>
      </c>
      <c r="BM89" s="11" t="n">
        <v>-127917977</v>
      </c>
      <c r="BN89" s="11" t="n">
        <v>-1070135</v>
      </c>
      <c r="BO89" s="11" t="n">
        <v>25153497</v>
      </c>
      <c r="BP89" s="11" t="n">
        <v>-17981481</v>
      </c>
      <c r="BQ89" s="11" t="n">
        <v>215774240</v>
      </c>
      <c r="BR89" s="11" t="n">
        <v>87814333</v>
      </c>
      <c r="BS89" s="11" t="n">
        <v>101468316</v>
      </c>
      <c r="BT89" s="11" t="n">
        <v>-710906</v>
      </c>
      <c r="BU89" s="11" t="n">
        <v>-58337</v>
      </c>
      <c r="BV89" s="11" t="n">
        <v>819500</v>
      </c>
      <c r="BW89" s="11" t="n">
        <v>-69644</v>
      </c>
      <c r="BX89" s="11" t="n">
        <v>481277</v>
      </c>
      <c r="BY89" s="11" t="n">
        <v>13316565</v>
      </c>
      <c r="BZ89" s="11" t="n">
        <v>-162604244</v>
      </c>
      <c r="CA89" s="11" t="n">
        <v>-56699338</v>
      </c>
      <c r="CB89" s="11" t="n">
        <v>-78719259</v>
      </c>
      <c r="CC89" s="11" t="n">
        <v>2007412</v>
      </c>
      <c r="CD89" s="11" t="n">
        <v>-5957311</v>
      </c>
      <c r="CE89" s="11" t="n">
        <v>2555487</v>
      </c>
      <c r="CF89" s="11" t="n">
        <v>81289956</v>
      </c>
      <c r="CG89" s="11" t="n">
        <v>-19337648</v>
      </c>
      <c r="CH89" s="11" t="n">
        <v>-46096687</v>
      </c>
      <c r="CI89" s="11" t="n">
        <v>-37437789</v>
      </c>
      <c r="CJ89" s="11" t="n">
        <v>10863212</v>
      </c>
      <c r="CK89" s="11" t="n">
        <v>-231888800</v>
      </c>
      <c r="CL89" s="11" t="n">
        <v>-103387421</v>
      </c>
      <c r="CM89" s="11" t="n">
        <v>-110310892</v>
      </c>
      <c r="CN89" s="11" t="n">
        <v>373727727</v>
      </c>
      <c r="CO89" s="11" t="n">
        <v>-2098142976</v>
      </c>
      <c r="CP89" s="11" t="n">
        <v>-641993100</v>
      </c>
      <c r="CQ89" s="11" t="n">
        <v>-956930400</v>
      </c>
      <c r="CR89" s="11" t="n">
        <v>-1706048992</v>
      </c>
      <c r="CS89" s="11" t="n">
        <v>-845793503</v>
      </c>
      <c r="CT89" s="11" t="n">
        <v>-823523556</v>
      </c>
      <c r="CU89" s="11" t="n">
        <v>1817697664</v>
      </c>
      <c r="CV89" s="11" t="n">
        <v>254998528</v>
      </c>
      <c r="CW89" s="11" t="n">
        <v>-750998800</v>
      </c>
      <c r="CX89" s="11" t="n">
        <v>9257459</v>
      </c>
      <c r="CY89" s="11" t="n">
        <v>-182716580</v>
      </c>
      <c r="CZ89" s="11" t="n">
        <v>-66245306</v>
      </c>
      <c r="DA89" s="11" t="n">
        <v>-90118183</v>
      </c>
      <c r="DB89" s="11" t="n">
        <v>-4322160</v>
      </c>
      <c r="DC89" s="11" t="n">
        <v>-6343003</v>
      </c>
      <c r="DD89" s="11" t="n">
        <v>-1127888</v>
      </c>
      <c r="DE89" s="11" t="n">
        <v>94264420</v>
      </c>
      <c r="DF89" s="11" t="n">
        <v>-19813360</v>
      </c>
      <c r="DG89" s="11" t="n">
        <v>-53675919</v>
      </c>
      <c r="DH89" s="11" t="n">
        <v>1305172684</v>
      </c>
      <c r="DI89" s="11" t="n">
        <v>502553258</v>
      </c>
      <c r="DJ89" s="11" t="n">
        <v>662991069</v>
      </c>
      <c r="DK89" s="11" t="n">
        <v>-579343504</v>
      </c>
      <c r="DL89" s="11" t="n">
        <v>-380198272</v>
      </c>
      <c r="DM89" s="11" t="n">
        <v>147895900</v>
      </c>
      <c r="DN89" s="11" t="n">
        <v>659640908</v>
      </c>
      <c r="DO89" s="11" t="n">
        <v>-150523472</v>
      </c>
      <c r="DP89" s="11" t="n">
        <v>-393037717</v>
      </c>
      <c r="DQ89" s="11" t="n">
        <v>258968896</v>
      </c>
      <c r="DR89" s="11" t="n">
        <v>188132</v>
      </c>
      <c r="DS89" s="11" t="n">
        <v>-706</v>
      </c>
      <c r="DT89" s="11" t="n">
        <v>-129274</v>
      </c>
      <c r="DU89" s="11" t="n">
        <v>-22718</v>
      </c>
      <c r="DV89" s="11" t="n">
        <v>255944</v>
      </c>
      <c r="DW89" s="11" t="n">
        <v>12242</v>
      </c>
      <c r="DX89" s="11" t="n">
        <v>132952</v>
      </c>
      <c r="DY89" s="11" t="n">
        <v>-207472</v>
      </c>
      <c r="DZ89" s="11" t="n">
        <v>5467716</v>
      </c>
      <c r="EA89" s="11" t="n">
        <v>-1370596</v>
      </c>
      <c r="EB89" s="11" t="n">
        <v>11531768</v>
      </c>
      <c r="EC89" s="11" t="n">
        <v>10334064</v>
      </c>
      <c r="ED89" s="11" t="n">
        <v>6665492</v>
      </c>
      <c r="EE89" s="11" t="n">
        <v>-163082</v>
      </c>
      <c r="EF89" s="11" t="n">
        <v>-19910</v>
      </c>
      <c r="EG89" s="11" t="n">
        <v>238980</v>
      </c>
      <c r="EH89" s="11" t="n">
        <v>-25280</v>
      </c>
      <c r="EI89" s="11" t="n">
        <v>121606</v>
      </c>
      <c r="EJ89" s="11" t="n">
        <v>1602056</v>
      </c>
      <c r="EK89" s="11" t="n">
        <v>-15362548</v>
      </c>
      <c r="EL89" s="11" t="n">
        <v>-7456794</v>
      </c>
      <c r="EM89" s="11" t="n">
        <v>-8444170</v>
      </c>
      <c r="EN89" s="11" t="n">
        <v>472100</v>
      </c>
      <c r="EO89" s="11" t="n">
        <v>-1158710</v>
      </c>
      <c r="EP89" s="11" t="n">
        <v>163698</v>
      </c>
      <c r="EQ89" s="11" t="n">
        <v>13308580</v>
      </c>
      <c r="ER89" s="11" t="n">
        <v>918616</v>
      </c>
      <c r="ES89" s="11" t="n">
        <v>-6869302</v>
      </c>
      <c r="ET89" s="11" t="n">
        <v>17167</v>
      </c>
      <c r="EU89" s="11" t="n">
        <v>232959</v>
      </c>
      <c r="EV89" s="11" t="n">
        <v>306717</v>
      </c>
      <c r="EW89" s="11" t="n">
        <v>-2532808</v>
      </c>
      <c r="EX89" s="11" t="n">
        <v>-389609</v>
      </c>
      <c r="EY89" s="11" t="n">
        <v>-1061064</v>
      </c>
      <c r="EZ89" s="11" t="n">
        <v>10922</v>
      </c>
      <c r="FA89" s="11" t="n">
        <v>922</v>
      </c>
      <c r="FB89" s="11" t="n">
        <v>-13850</v>
      </c>
      <c r="FC89" s="11" t="n">
        <v>345</v>
      </c>
      <c r="FD89" s="11" t="n">
        <v>-8150</v>
      </c>
      <c r="FE89" s="11" t="n">
        <v>-182628</v>
      </c>
      <c r="FF89" s="11" t="n">
        <v>1423478</v>
      </c>
      <c r="FG89" s="11" t="n">
        <v>252559</v>
      </c>
      <c r="FH89" s="11" t="n">
        <v>564474</v>
      </c>
      <c r="FI89" s="11" t="n">
        <v>-111422</v>
      </c>
      <c r="FJ89" s="11" t="n">
        <v>27089</v>
      </c>
      <c r="FK89" s="11" t="n">
        <v>-88626</v>
      </c>
      <c r="FL89" s="11" t="n">
        <v>-365230</v>
      </c>
      <c r="FM89" s="11" t="n">
        <v>346400</v>
      </c>
      <c r="FN89" s="11" t="n">
        <v>206290</v>
      </c>
      <c r="FO89" s="11" t="n">
        <v>-755835</v>
      </c>
      <c r="FP89" s="11" t="n">
        <v>-213181</v>
      </c>
      <c r="FQ89" s="11" t="n">
        <v>1740910</v>
      </c>
      <c r="FR89" s="11" t="n">
        <v>-513320</v>
      </c>
      <c r="FS89" s="11" t="n">
        <v>561917</v>
      </c>
      <c r="FT89" s="11" t="n">
        <v>10611348</v>
      </c>
      <c r="FU89" s="11" t="n">
        <v>-87890970</v>
      </c>
      <c r="FV89" s="11" t="n">
        <v>-24119685</v>
      </c>
      <c r="FW89" s="11" t="n">
        <v>-39091611</v>
      </c>
      <c r="FX89" s="11" t="n">
        <v>-348334</v>
      </c>
      <c r="FY89" s="11" t="n">
        <v>-14009507</v>
      </c>
      <c r="FZ89" s="11" t="n">
        <v>-3136785</v>
      </c>
      <c r="GA89" s="11" t="n">
        <v>115245250</v>
      </c>
      <c r="GB89" s="11" t="n">
        <v>24697912</v>
      </c>
      <c r="GC89" s="11" t="n">
        <v>-44480299</v>
      </c>
      <c r="GD89" s="11" t="n">
        <v>-95036</v>
      </c>
      <c r="GE89" s="11" t="n">
        <v>497810</v>
      </c>
      <c r="GF89" s="11" t="n">
        <v>-311395</v>
      </c>
      <c r="GG89" s="11" t="n">
        <v>-1328</v>
      </c>
      <c r="GH89" s="11" t="n">
        <v>-78490</v>
      </c>
      <c r="GI89" s="11" t="n">
        <v>-23285</v>
      </c>
      <c r="GJ89" s="11" t="n">
        <v>-71028</v>
      </c>
      <c r="GK89" s="11" t="n">
        <v>379150</v>
      </c>
      <c r="GL89" s="11" t="n">
        <v>373150</v>
      </c>
      <c r="GM89" s="11" t="n">
        <v>-232405</v>
      </c>
      <c r="GN89" s="11" t="n">
        <v>4062224</v>
      </c>
      <c r="GO89" s="11" t="n">
        <v>7404472</v>
      </c>
      <c r="GP89" s="11" t="n">
        <v>4933884</v>
      </c>
      <c r="GQ89" s="11" t="n">
        <v>-52095800</v>
      </c>
      <c r="GR89" s="11" t="n">
        <v>-25901042</v>
      </c>
      <c r="GS89" s="11" t="n">
        <v>16062899</v>
      </c>
      <c r="GT89" s="11" t="n">
        <v>5120040</v>
      </c>
      <c r="GU89" s="11" t="n">
        <v>1038858</v>
      </c>
      <c r="GV89" s="11" t="n">
        <v>-4325091</v>
      </c>
      <c r="GW89" s="11" t="n">
        <v>19322970</v>
      </c>
      <c r="GX89" s="11" t="n">
        <v>9215</v>
      </c>
      <c r="GY89" s="11" t="n">
        <v>-2374289</v>
      </c>
      <c r="GZ89" s="11" t="n">
        <v>92937</v>
      </c>
      <c r="HA89" s="11" t="n">
        <v>-5006160</v>
      </c>
      <c r="HB89" s="11" t="n">
        <v>-4211021</v>
      </c>
      <c r="HC89" s="11" t="n">
        <v>-2794852</v>
      </c>
      <c r="HD89" s="11" t="n">
        <v>15242</v>
      </c>
      <c r="HE89" s="11" t="n">
        <v>764</v>
      </c>
      <c r="HF89" s="11" t="n">
        <v>6250</v>
      </c>
      <c r="HG89" s="11" t="n">
        <v>15203</v>
      </c>
      <c r="HH89" s="11" t="n">
        <v>3976</v>
      </c>
      <c r="HI89" s="11" t="n">
        <v>-350570</v>
      </c>
      <c r="HJ89" s="11" t="n">
        <v>6670058</v>
      </c>
      <c r="HK89" s="11" t="n">
        <v>3048081</v>
      </c>
      <c r="HL89" s="11" t="n">
        <v>3598368</v>
      </c>
      <c r="HM89" s="11" t="n">
        <v>478086</v>
      </c>
      <c r="HN89" s="11" t="n">
        <v>502457</v>
      </c>
      <c r="HO89" s="11" t="n">
        <v>271816</v>
      </c>
      <c r="HP89" s="11" t="n">
        <v>-5403122</v>
      </c>
      <c r="HQ89" s="11" t="n">
        <v>-264424</v>
      </c>
      <c r="HR89" s="11" t="n">
        <v>2794044</v>
      </c>
      <c r="HS89" s="11" t="n">
        <v>2350549</v>
      </c>
      <c r="HT89" s="11" t="n">
        <v>-35357</v>
      </c>
      <c r="HU89" s="11" t="n">
        <v>4955950</v>
      </c>
      <c r="HV89" s="11" t="n">
        <v>4137736</v>
      </c>
      <c r="HW89" s="11" t="n">
        <v>2755677</v>
      </c>
      <c r="HX89" s="11" t="n">
        <v>-14596336</v>
      </c>
      <c r="HY89" s="11" t="n">
        <v>39806</v>
      </c>
      <c r="HZ89" s="11" t="n">
        <v>8033655</v>
      </c>
      <c r="IA89" s="11" t="n">
        <v>2893433</v>
      </c>
      <c r="IB89" s="11" t="n">
        <v>30774642</v>
      </c>
      <c r="IC89" s="11" t="n">
        <v>25573489</v>
      </c>
      <c r="ID89" s="11" t="n">
        <v>17068559</v>
      </c>
      <c r="IE89" s="11" t="n">
        <v>16868266</v>
      </c>
      <c r="IF89" s="11" t="n">
        <v>6053912</v>
      </c>
      <c r="IG89" s="11" t="n">
        <v>-4324903</v>
      </c>
      <c r="IH89" s="11" t="n">
        <v>-253362</v>
      </c>
      <c r="II89" s="11" t="n">
        <v>6603110</v>
      </c>
      <c r="IJ89" s="11" t="n">
        <v>2966031</v>
      </c>
      <c r="IK89" s="11" t="n">
        <v>3543814</v>
      </c>
      <c r="IL89" s="11" t="n">
        <v>434870</v>
      </c>
      <c r="IM89" s="11" t="n">
        <v>401385</v>
      </c>
      <c r="IN89" s="11" t="n">
        <v>243724</v>
      </c>
      <c r="IO89" s="11" t="n">
        <v>-5369990</v>
      </c>
      <c r="IP89" s="11" t="n">
        <v>-269330</v>
      </c>
      <c r="IQ89" s="11" t="n">
        <v>2761033</v>
      </c>
      <c r="IR89" s="11" t="n">
        <v>-40999412</v>
      </c>
      <c r="IS89" s="11" t="n">
        <v>-17552394</v>
      </c>
      <c r="IT89" s="11" t="n">
        <v>-21694342</v>
      </c>
      <c r="IU89" s="11" t="n">
        <v>-22517736</v>
      </c>
      <c r="IV89" s="11" t="n">
        <v>-8068154</v>
      </c>
      <c r="IW89" s="11" t="n">
        <v>8460903</v>
      </c>
      <c r="IX89" s="11" t="n">
        <v>-34825820</v>
      </c>
      <c r="IY89" s="11" t="n">
        <v>-2203654</v>
      </c>
      <c r="IZ89" s="11" t="n">
        <v>17484247</v>
      </c>
      <c r="JA89" s="11" t="n">
        <v>5642978</v>
      </c>
      <c r="JB89" s="11" t="n">
        <v>-228064</v>
      </c>
      <c r="JC89" s="11" t="n">
        <v>-6543</v>
      </c>
      <c r="JD89" s="11" t="n">
        <v>-332750</v>
      </c>
      <c r="JE89" s="11" t="n">
        <v>-365171</v>
      </c>
      <c r="JF89" s="11" t="n">
        <v>-203057</v>
      </c>
      <c r="JG89" s="11" t="n">
        <v>3985953</v>
      </c>
      <c r="JH89" s="11" t="n">
        <v>-38163886</v>
      </c>
      <c r="JI89" s="11" t="n">
        <v>-10131395</v>
      </c>
      <c r="JJ89" s="11" t="n">
        <v>-16851777</v>
      </c>
      <c r="JK89" s="11" t="n">
        <v>-6910482</v>
      </c>
      <c r="JL89" s="11" t="n">
        <v>-6672882</v>
      </c>
      <c r="JM89" s="11" t="n">
        <v>-4032363</v>
      </c>
      <c r="JN89" s="11" t="n">
        <v>46325254</v>
      </c>
      <c r="JO89" s="11" t="n">
        <v>9392168</v>
      </c>
      <c r="JP89" s="11" t="n">
        <v>-17962193</v>
      </c>
      <c r="JQ89" s="11" t="n">
        <v>8086</v>
      </c>
      <c r="JR89" s="11" t="n">
        <v>-395700</v>
      </c>
      <c r="JS89" s="11" t="n">
        <v>-227746</v>
      </c>
      <c r="JT89" s="11" t="n">
        <v>-237462</v>
      </c>
      <c r="JU89" s="11" t="n">
        <v>-23150</v>
      </c>
      <c r="JV89" s="11" t="n">
        <v>-19481</v>
      </c>
      <c r="JW89" s="11" t="n">
        <v>-14012</v>
      </c>
      <c r="JX89" s="11" t="n">
        <v>301300</v>
      </c>
      <c r="JY89" s="11" t="n">
        <v>5850</v>
      </c>
      <c r="JZ89" s="11" t="n">
        <v>-177445</v>
      </c>
      <c r="KA89" s="11" t="n">
        <v>5562686</v>
      </c>
      <c r="KB89" s="11" t="n">
        <v>3621187</v>
      </c>
      <c r="KC89" s="11" t="n">
        <v>3552726</v>
      </c>
      <c r="KD89" s="11" t="n">
        <v>-20532304</v>
      </c>
      <c r="KE89" s="11" t="n">
        <v>-10498038</v>
      </c>
      <c r="KF89" s="11" t="n">
        <v>6279393</v>
      </c>
      <c r="KG89" s="11" t="n">
        <v>3034406</v>
      </c>
      <c r="KH89" s="11" t="n">
        <v>-531938</v>
      </c>
      <c r="KI89" s="11" t="n">
        <v>-2284267</v>
      </c>
      <c r="KJ89" s="11" t="n">
        <v>7690030</v>
      </c>
      <c r="KK89" s="11" t="n">
        <v>-2544037</v>
      </c>
      <c r="KL89" s="11" t="n">
        <v>37778470</v>
      </c>
      <c r="KM89" s="11" t="n">
        <v>9258415</v>
      </c>
      <c r="KN89" s="11" t="n">
        <v>16405349</v>
      </c>
      <c r="KO89" s="11" t="n">
        <v>4795640</v>
      </c>
      <c r="KP89" s="11" t="n">
        <v>4339073</v>
      </c>
      <c r="KQ89" s="11" t="n">
        <v>2735744</v>
      </c>
      <c r="KR89" s="11" t="n">
        <v>-46981830</v>
      </c>
      <c r="KS89" s="11" t="n">
        <v>-9700360</v>
      </c>
      <c r="KT89" s="11" t="n">
        <v>18024641</v>
      </c>
      <c r="KU89" s="11" t="n">
        <v>-234552002</v>
      </c>
      <c r="KV89" s="11" t="n">
        <v>-48797545</v>
      </c>
      <c r="KW89" s="11" t="n">
        <v>-98741607</v>
      </c>
      <c r="KX89" s="11" t="n">
        <v>-128961640</v>
      </c>
      <c r="KY89" s="11" t="n">
        <v>-46225984</v>
      </c>
      <c r="KZ89" s="11" t="n">
        <v>44673100</v>
      </c>
      <c r="LA89" s="11" t="n">
        <v>-308062658</v>
      </c>
      <c r="LB89" s="11" t="n">
        <v>-66093784</v>
      </c>
      <c r="LC89" s="11" t="n">
        <v>115937563</v>
      </c>
      <c r="LD89" s="11" t="n">
        <v>24373856</v>
      </c>
      <c r="LE89" s="11" t="n">
        <v>3074570</v>
      </c>
      <c r="LF89" s="11" t="n">
        <v>2212233</v>
      </c>
      <c r="LG89" s="11" t="n">
        <v>2067220</v>
      </c>
      <c r="LH89" s="11" t="n">
        <v>-21662080</v>
      </c>
      <c r="LI89" s="11" t="n">
        <v>-10871310</v>
      </c>
      <c r="LJ89" s="11" t="n">
        <v>6742541</v>
      </c>
      <c r="LK89" s="11" t="n">
        <v>1073770</v>
      </c>
      <c r="LL89" s="11" t="n">
        <v>-590560</v>
      </c>
      <c r="LM89" s="11" t="n">
        <v>-1146884</v>
      </c>
      <c r="LN89" s="11" t="n">
        <v>7957550</v>
      </c>
      <c r="LO89" s="11" t="n">
        <v>144986968</v>
      </c>
      <c r="LP89" s="11" t="n">
        <v>71257850</v>
      </c>
      <c r="LQ89" s="11" t="n">
        <v>-46211663</v>
      </c>
      <c r="LR89" s="11" t="n">
        <v>10604744</v>
      </c>
      <c r="LS89" s="11" t="n">
        <v>52735194</v>
      </c>
    </row>
    <row r="90" customFormat="false" ht="15" hidden="false" customHeight="true" outlineLevel="0" collapsed="false">
      <c r="A90" s="7" t="s">
        <v>156</v>
      </c>
      <c r="B90" s="11" t="n">
        <v>57366</v>
      </c>
      <c r="C90" s="11" t="n">
        <v>273538408</v>
      </c>
      <c r="D90" s="11" t="n">
        <v>-161590</v>
      </c>
      <c r="E90" s="11" t="n">
        <v>-167928584</v>
      </c>
      <c r="F90" s="11" t="n">
        <v>-18001972</v>
      </c>
      <c r="G90" s="11" t="n">
        <v>246028340</v>
      </c>
      <c r="H90" s="11" t="n">
        <v>126534</v>
      </c>
      <c r="I90" s="11" t="n">
        <v>121873384</v>
      </c>
      <c r="J90" s="11" t="n">
        <v>1007575</v>
      </c>
      <c r="K90" s="11" t="n">
        <v>-1483</v>
      </c>
      <c r="L90" s="11" t="n">
        <v>-559487</v>
      </c>
      <c r="M90" s="11" t="n">
        <v>-77899</v>
      </c>
      <c r="N90" s="11" t="n">
        <v>991142</v>
      </c>
      <c r="O90" s="11" t="n">
        <v>47910</v>
      </c>
      <c r="P90" s="11" t="n">
        <v>383449</v>
      </c>
      <c r="Q90" s="11" t="n">
        <v>-4233229</v>
      </c>
      <c r="R90" s="11" t="n">
        <v>281690544</v>
      </c>
      <c r="S90" s="11" t="n">
        <v>-55259762</v>
      </c>
      <c r="T90" s="11" t="n">
        <v>404828646</v>
      </c>
      <c r="U90" s="11" t="n">
        <v>226226905</v>
      </c>
      <c r="V90" s="11" t="n">
        <v>-312180488</v>
      </c>
      <c r="W90" s="11" t="n">
        <v>-2765237</v>
      </c>
      <c r="X90" s="11" t="n">
        <v>-245951</v>
      </c>
      <c r="Y90" s="11" t="n">
        <v>3568340</v>
      </c>
      <c r="Z90" s="11" t="n">
        <v>-131683</v>
      </c>
      <c r="AA90" s="11" t="n">
        <v>2070507</v>
      </c>
      <c r="AB90" s="11" t="n">
        <v>52463122</v>
      </c>
      <c r="AC90" s="11" t="n">
        <v>-501889878</v>
      </c>
      <c r="AD90" s="11" t="n">
        <v>-139013777</v>
      </c>
      <c r="AE90" s="11" t="n">
        <v>66145912</v>
      </c>
      <c r="AF90" s="11" t="n">
        <v>23059846</v>
      </c>
      <c r="AG90" s="11" t="n">
        <v>-14862769</v>
      </c>
      <c r="AH90" s="11" t="n">
        <v>45165718</v>
      </c>
      <c r="AI90" s="11" t="n">
        <v>203287742</v>
      </c>
      <c r="AJ90" s="11" t="n">
        <v>-461153098</v>
      </c>
      <c r="AK90" s="11" t="n">
        <v>-100938439</v>
      </c>
      <c r="AL90" s="11" t="n">
        <v>-88995609</v>
      </c>
      <c r="AM90" s="11" t="n">
        <v>71667</v>
      </c>
      <c r="AN90" s="11" t="n">
        <v>54852795</v>
      </c>
      <c r="AO90" s="11" t="n">
        <v>5988645</v>
      </c>
      <c r="AP90" s="11" t="n">
        <v>-79864758</v>
      </c>
      <c r="AQ90" s="11" t="n">
        <v>193734</v>
      </c>
      <c r="AR90" s="11" t="n">
        <v>-39574863</v>
      </c>
      <c r="AS90" s="11" t="n">
        <v>91044811</v>
      </c>
      <c r="AT90" s="11" t="n">
        <v>1036147144</v>
      </c>
      <c r="AU90" s="11" t="n">
        <v>628036782</v>
      </c>
      <c r="AV90" s="11" t="n">
        <v>860495606</v>
      </c>
      <c r="AW90" s="11" t="n">
        <v>1120082633</v>
      </c>
      <c r="AX90" s="11" t="n">
        <v>365216472</v>
      </c>
      <c r="AY90" s="11" t="n">
        <v>55281433</v>
      </c>
      <c r="AZ90" s="11" t="n">
        <v>5620789</v>
      </c>
      <c r="BA90" s="11" t="n">
        <v>-82396660</v>
      </c>
      <c r="BB90" s="11" t="n">
        <v>-703793</v>
      </c>
      <c r="BC90" s="11" t="n">
        <v>-40780213</v>
      </c>
      <c r="BD90" s="11" t="n">
        <v>-317369090</v>
      </c>
      <c r="BE90" s="11" t="n">
        <v>-1460209458</v>
      </c>
      <c r="BF90" s="11" t="n">
        <v>-688111771</v>
      </c>
      <c r="BG90" s="11" t="n">
        <v>-685859968</v>
      </c>
      <c r="BH90" s="11" t="n">
        <v>-621504914</v>
      </c>
      <c r="BI90" s="11" t="n">
        <v>-74004833</v>
      </c>
      <c r="BJ90" s="11" t="n">
        <v>-303853434</v>
      </c>
      <c r="BK90" s="11" t="n">
        <v>1007036602</v>
      </c>
      <c r="BL90" s="11" t="n">
        <v>-54902378</v>
      </c>
      <c r="BM90" s="11" t="n">
        <v>-498877103</v>
      </c>
      <c r="BN90" s="11" t="n">
        <v>-1041917</v>
      </c>
      <c r="BO90" s="11" t="n">
        <v>95464537</v>
      </c>
      <c r="BP90" s="11" t="n">
        <v>-15665376</v>
      </c>
      <c r="BQ90" s="11" t="n">
        <v>134880458</v>
      </c>
      <c r="BR90" s="11" t="n">
        <v>77728640</v>
      </c>
      <c r="BS90" s="11" t="n">
        <v>-100222524</v>
      </c>
      <c r="BT90" s="11" t="n">
        <v>-719066</v>
      </c>
      <c r="BU90" s="11" t="n">
        <v>-57497</v>
      </c>
      <c r="BV90" s="11" t="n">
        <v>826400</v>
      </c>
      <c r="BW90" s="11" t="n">
        <v>-64862</v>
      </c>
      <c r="BX90" s="11" t="n">
        <v>544031</v>
      </c>
      <c r="BY90" s="11" t="n">
        <v>16079365</v>
      </c>
      <c r="BZ90" s="11" t="n">
        <v>-168804084</v>
      </c>
      <c r="CA90" s="11" t="n">
        <v>-47700538</v>
      </c>
      <c r="CB90" s="11" t="n">
        <v>19321061</v>
      </c>
      <c r="CC90" s="11" t="n">
        <v>4981822</v>
      </c>
      <c r="CD90" s="11" t="n">
        <v>-5264576</v>
      </c>
      <c r="CE90" s="11" t="n">
        <v>13710252</v>
      </c>
      <c r="CF90" s="11" t="n">
        <v>70047388</v>
      </c>
      <c r="CG90" s="11" t="n">
        <v>-149918894</v>
      </c>
      <c r="CH90" s="11" t="n">
        <v>-34346456</v>
      </c>
      <c r="CI90" s="11" t="n">
        <v>-109793395</v>
      </c>
      <c r="CJ90" s="11" t="n">
        <v>8673338</v>
      </c>
      <c r="CK90" s="11" t="n">
        <v>-148060460</v>
      </c>
      <c r="CL90" s="11" t="n">
        <v>-92631789</v>
      </c>
      <c r="CM90" s="11" t="n">
        <v>98254460</v>
      </c>
      <c r="CN90" s="11" t="n">
        <v>856074542</v>
      </c>
      <c r="CO90" s="11" t="n">
        <v>-647326170</v>
      </c>
      <c r="CP90" s="11" t="n">
        <v>296529929</v>
      </c>
      <c r="CQ90" s="11" t="n">
        <v>1558621880</v>
      </c>
      <c r="CR90" s="11" t="n">
        <v>-1103311468</v>
      </c>
      <c r="CS90" s="11" t="n">
        <v>-745688032</v>
      </c>
      <c r="CT90" s="11" t="n">
        <v>642977544</v>
      </c>
      <c r="CU90" s="11" t="n">
        <v>946025386</v>
      </c>
      <c r="CV90" s="11" t="n">
        <v>1522565080</v>
      </c>
      <c r="CW90" s="11" t="n">
        <v>1580362108</v>
      </c>
      <c r="CX90" s="11" t="n">
        <v>12044619</v>
      </c>
      <c r="CY90" s="11" t="n">
        <v>-189265080</v>
      </c>
      <c r="CZ90" s="11" t="n">
        <v>-57093752</v>
      </c>
      <c r="DA90" s="11" t="n">
        <v>10481095</v>
      </c>
      <c r="DB90" s="11" t="n">
        <v>-1291260</v>
      </c>
      <c r="DC90" s="11" t="n">
        <v>-5651717</v>
      </c>
      <c r="DD90" s="11" t="n">
        <v>9950794</v>
      </c>
      <c r="DE90" s="11" t="n">
        <v>82688360</v>
      </c>
      <c r="DF90" s="11" t="n">
        <v>-155239780</v>
      </c>
      <c r="DG90" s="11" t="n">
        <v>-42250567</v>
      </c>
      <c r="DH90" s="11" t="n">
        <v>1404713094</v>
      </c>
      <c r="DI90" s="11" t="n">
        <v>477698113</v>
      </c>
      <c r="DJ90" s="11" t="n">
        <v>89262274</v>
      </c>
      <c r="DK90" s="11" t="n">
        <v>-847783608</v>
      </c>
      <c r="DL90" s="11" t="n">
        <v>-2625003150</v>
      </c>
      <c r="DM90" s="11" t="n">
        <v>-838807557</v>
      </c>
      <c r="DN90" s="11" t="n">
        <v>607923622</v>
      </c>
      <c r="DO90" s="11" t="n">
        <v>-1170088604</v>
      </c>
      <c r="DP90" s="11" t="n">
        <v>-436540220</v>
      </c>
      <c r="DQ90" s="11" t="n">
        <v>1842214878</v>
      </c>
      <c r="DR90" s="11" t="n">
        <v>1589008</v>
      </c>
      <c r="DS90" s="11" t="n">
        <v>-1318</v>
      </c>
      <c r="DT90" s="11" t="n">
        <v>-966146</v>
      </c>
      <c r="DU90" s="11" t="n">
        <v>-107218</v>
      </c>
      <c r="DV90" s="11" t="n">
        <v>1451432</v>
      </c>
      <c r="DW90" s="11" t="n">
        <v>19254</v>
      </c>
      <c r="DX90" s="11" t="n">
        <v>720802</v>
      </c>
      <c r="DY90" s="11" t="n">
        <v>-1808664</v>
      </c>
      <c r="DZ90" s="11" t="n">
        <v>44657544</v>
      </c>
      <c r="EA90" s="11" t="n">
        <v>-12602648</v>
      </c>
      <c r="EB90" s="11" t="n">
        <v>106010496</v>
      </c>
      <c r="EC90" s="11" t="n">
        <v>88303960</v>
      </c>
      <c r="ED90" s="11" t="n">
        <v>61172984</v>
      </c>
      <c r="EE90" s="11" t="n">
        <v>-1136742</v>
      </c>
      <c r="EF90" s="11" t="n">
        <v>-111586</v>
      </c>
      <c r="EG90" s="11" t="n">
        <v>1564140</v>
      </c>
      <c r="EH90" s="11" t="n">
        <v>-51328</v>
      </c>
      <c r="EI90" s="11" t="n">
        <v>769702</v>
      </c>
      <c r="EJ90" s="11" t="n">
        <v>10675900</v>
      </c>
      <c r="EK90" s="11" t="n">
        <v>-105247428</v>
      </c>
      <c r="EL90" s="11" t="n">
        <v>-54231542</v>
      </c>
      <c r="EM90" s="11" t="n">
        <v>-57451744</v>
      </c>
      <c r="EN90" s="11" t="n">
        <v>4358476</v>
      </c>
      <c r="EO90" s="11" t="n">
        <v>-5805586</v>
      </c>
      <c r="EP90" s="11" t="n">
        <v>1589148</v>
      </c>
      <c r="EQ90" s="11" t="n">
        <v>79374092</v>
      </c>
      <c r="ER90" s="11" t="n">
        <v>7788412</v>
      </c>
      <c r="ES90" s="11" t="n">
        <v>-39314998</v>
      </c>
      <c r="ET90" s="11" t="n">
        <v>17929</v>
      </c>
      <c r="EU90" s="11" t="n">
        <v>-1471869</v>
      </c>
      <c r="EV90" s="11" t="n">
        <v>274587</v>
      </c>
      <c r="EW90" s="11" t="n">
        <v>-1961196</v>
      </c>
      <c r="EX90" s="11" t="n">
        <v>-988905</v>
      </c>
      <c r="EY90" s="11" t="n">
        <v>2038813</v>
      </c>
      <c r="EZ90" s="11" t="n">
        <v>12122</v>
      </c>
      <c r="FA90" s="11" t="n">
        <v>982</v>
      </c>
      <c r="FB90" s="11" t="n">
        <v>-14750</v>
      </c>
      <c r="FC90" s="11" t="n">
        <v>603</v>
      </c>
      <c r="FD90" s="11" t="n">
        <v>-9824</v>
      </c>
      <c r="FE90" s="11" t="n">
        <v>-266268</v>
      </c>
      <c r="FF90" s="11" t="n">
        <v>2536878</v>
      </c>
      <c r="FG90" s="11" t="n">
        <v>619107</v>
      </c>
      <c r="FH90" s="11" t="n">
        <v>-571970</v>
      </c>
      <c r="FI90" s="11" t="n">
        <v>-118482</v>
      </c>
      <c r="FJ90" s="11" t="n">
        <v>63399</v>
      </c>
      <c r="FK90" s="11" t="n">
        <v>-262126</v>
      </c>
      <c r="FL90" s="11" t="n">
        <v>-879522</v>
      </c>
      <c r="FM90" s="11" t="n">
        <v>2751926</v>
      </c>
      <c r="FN90" s="11" t="n">
        <v>473289</v>
      </c>
      <c r="FO90" s="11" t="n">
        <v>1171455</v>
      </c>
      <c r="FP90" s="11" t="n">
        <v>-170347</v>
      </c>
      <c r="FQ90" s="11" t="n">
        <v>1036170</v>
      </c>
      <c r="FR90" s="11" t="n">
        <v>129260</v>
      </c>
      <c r="FS90" s="11" t="n">
        <v>-3010871</v>
      </c>
      <c r="FT90" s="11" t="n">
        <v>-3956598</v>
      </c>
      <c r="FU90" s="11" t="n">
        <v>43078050</v>
      </c>
      <c r="FV90" s="11" t="n">
        <v>54002115</v>
      </c>
      <c r="FW90" s="11" t="n">
        <v>113962296</v>
      </c>
      <c r="FX90" s="11" t="n">
        <v>-2764518</v>
      </c>
      <c r="FY90" s="11" t="n">
        <v>-7416135</v>
      </c>
      <c r="FZ90" s="11" t="n">
        <v>-26741054</v>
      </c>
      <c r="GA90" s="11" t="n">
        <v>43012410</v>
      </c>
      <c r="GB90" s="11" t="n">
        <v>211520514</v>
      </c>
      <c r="GC90" s="11" t="n">
        <v>151370875</v>
      </c>
      <c r="GD90" s="11" t="n">
        <v>-179336</v>
      </c>
      <c r="GE90" s="11" t="n">
        <v>1664310</v>
      </c>
      <c r="GF90" s="11" t="n">
        <v>47995</v>
      </c>
      <c r="GG90" s="11" t="n">
        <v>-1393798</v>
      </c>
      <c r="GH90" s="11" t="n">
        <v>-83390</v>
      </c>
      <c r="GI90" s="11" t="n">
        <v>12809</v>
      </c>
      <c r="GJ90" s="11" t="n">
        <v>-258250</v>
      </c>
      <c r="GK90" s="11" t="n">
        <v>-141190</v>
      </c>
      <c r="GL90" s="11" t="n">
        <v>3044770</v>
      </c>
      <c r="GM90" s="11" t="n">
        <v>-30437</v>
      </c>
      <c r="GN90" s="11" t="n">
        <v>973524</v>
      </c>
      <c r="GO90" s="11" t="n">
        <v>8104986</v>
      </c>
      <c r="GP90" s="11" t="n">
        <v>22153852</v>
      </c>
      <c r="GQ90" s="11" t="n">
        <v>-74956980</v>
      </c>
      <c r="GR90" s="11" t="n">
        <v>-213162852</v>
      </c>
      <c r="GS90" s="11" t="n">
        <v>-68920838</v>
      </c>
      <c r="GT90" s="11" t="n">
        <v>3838296</v>
      </c>
      <c r="GU90" s="11" t="n">
        <v>8899480</v>
      </c>
      <c r="GV90" s="11" t="n">
        <v>-13253788</v>
      </c>
      <c r="GW90" s="11" t="n">
        <v>155213408</v>
      </c>
      <c r="GX90" s="11" t="n">
        <v>59561</v>
      </c>
      <c r="GY90" s="11" t="n">
        <v>-20548381</v>
      </c>
      <c r="GZ90" s="11" t="n">
        <v>451947</v>
      </c>
      <c r="HA90" s="11" t="n">
        <v>-39489164</v>
      </c>
      <c r="HB90" s="11" t="n">
        <v>-35236313</v>
      </c>
      <c r="HC90" s="11" t="n">
        <v>-22024179</v>
      </c>
      <c r="HD90" s="11" t="n">
        <v>53258</v>
      </c>
      <c r="HE90" s="11" t="n">
        <v>3644</v>
      </c>
      <c r="HF90" s="11" t="n">
        <v>-21650</v>
      </c>
      <c r="HG90" s="11" t="n">
        <v>28505</v>
      </c>
      <c r="HH90" s="11" t="n">
        <v>-8750</v>
      </c>
      <c r="HI90" s="11" t="n">
        <v>-1661290</v>
      </c>
      <c r="HJ90" s="11" t="n">
        <v>42779442</v>
      </c>
      <c r="HK90" s="11" t="n">
        <v>21673309</v>
      </c>
      <c r="HL90" s="11" t="n">
        <v>22712212</v>
      </c>
      <c r="HM90" s="11" t="n">
        <v>2251706</v>
      </c>
      <c r="HN90" s="11" t="n">
        <v>2372087</v>
      </c>
      <c r="HO90" s="11" t="n">
        <v>1281066</v>
      </c>
      <c r="HP90" s="11" t="n">
        <v>-31707070</v>
      </c>
      <c r="HQ90" s="11" t="n">
        <v>-2204350</v>
      </c>
      <c r="HR90" s="11" t="n">
        <v>15716945</v>
      </c>
      <c r="HS90" s="11" t="n">
        <v>21714975</v>
      </c>
      <c r="HT90" s="11" t="n">
        <v>-42035</v>
      </c>
      <c r="HU90" s="11" t="n">
        <v>40974330</v>
      </c>
      <c r="HV90" s="11" t="n">
        <v>36797284</v>
      </c>
      <c r="HW90" s="11" t="n">
        <v>22775729</v>
      </c>
      <c r="HX90" s="11" t="n">
        <v>-150270590</v>
      </c>
      <c r="HY90" s="11" t="n">
        <v>261077970</v>
      </c>
      <c r="HZ90" s="11" t="n">
        <v>151626811</v>
      </c>
      <c r="IA90" s="11" t="n">
        <v>172094816</v>
      </c>
      <c r="IB90" s="11" t="n">
        <v>283042570</v>
      </c>
      <c r="IC90" s="11" t="n">
        <v>254348713</v>
      </c>
      <c r="ID90" s="11" t="n">
        <v>157278018</v>
      </c>
      <c r="IE90" s="11" t="n">
        <v>-156304726</v>
      </c>
      <c r="IF90" s="11" t="n">
        <v>50897074</v>
      </c>
      <c r="IG90" s="11" t="n">
        <v>132591019</v>
      </c>
      <c r="IH90" s="11" t="n">
        <v>-1366130</v>
      </c>
      <c r="II90" s="11" t="n">
        <v>44531490</v>
      </c>
      <c r="IJ90" s="11" t="n">
        <v>22510777</v>
      </c>
      <c r="IK90" s="11" t="n">
        <v>23555612</v>
      </c>
      <c r="IL90" s="11" t="n">
        <v>2491570</v>
      </c>
      <c r="IM90" s="11" t="n">
        <v>2271411</v>
      </c>
      <c r="IN90" s="11" t="n">
        <v>1387266</v>
      </c>
      <c r="IO90" s="11" t="n">
        <v>-32985250</v>
      </c>
      <c r="IP90" s="11" t="n">
        <v>-2259350</v>
      </c>
      <c r="IQ90" s="11" t="n">
        <v>16305945</v>
      </c>
      <c r="IR90" s="11" t="n">
        <v>-291739080</v>
      </c>
      <c r="IS90" s="11" t="n">
        <v>-146238520</v>
      </c>
      <c r="IT90" s="11" t="n">
        <v>-152181240</v>
      </c>
      <c r="IU90" s="11" t="n">
        <v>-40299372</v>
      </c>
      <c r="IV90" s="11" t="n">
        <v>-69711672</v>
      </c>
      <c r="IW90" s="11" t="n">
        <v>-13922452</v>
      </c>
      <c r="IX90" s="11" t="n">
        <v>-218350996</v>
      </c>
      <c r="IY90" s="11" t="n">
        <v>-18702096</v>
      </c>
      <c r="IZ90" s="11" t="n">
        <v>104524764</v>
      </c>
      <c r="JA90" s="11" t="n">
        <v>49592020</v>
      </c>
      <c r="JB90" s="11" t="n">
        <v>-176680</v>
      </c>
      <c r="JC90" s="11" t="n">
        <v>-5193</v>
      </c>
      <c r="JD90" s="11" t="n">
        <v>-372050</v>
      </c>
      <c r="JE90" s="11" t="n">
        <v>-360509</v>
      </c>
      <c r="JF90" s="11" t="n">
        <v>-324923</v>
      </c>
      <c r="JG90" s="11" t="n">
        <v>3132213</v>
      </c>
      <c r="JH90" s="11" t="n">
        <v>11216730</v>
      </c>
      <c r="JI90" s="11" t="n">
        <v>19850649</v>
      </c>
      <c r="JJ90" s="11" t="n">
        <v>46765663</v>
      </c>
      <c r="JK90" s="11" t="n">
        <v>-6266082</v>
      </c>
      <c r="JL90" s="11" t="n">
        <v>-5807712</v>
      </c>
      <c r="JM90" s="11" t="n">
        <v>-4385748</v>
      </c>
      <c r="JN90" s="11" t="n">
        <v>18913866</v>
      </c>
      <c r="JO90" s="11" t="n">
        <v>77850302</v>
      </c>
      <c r="JP90" s="11" t="n">
        <v>58917308</v>
      </c>
      <c r="JQ90" s="11" t="n">
        <v>6166</v>
      </c>
      <c r="JR90" s="11" t="n">
        <v>-396900</v>
      </c>
      <c r="JS90" s="11" t="n">
        <v>-237802</v>
      </c>
      <c r="JT90" s="11" t="n">
        <v>-316494</v>
      </c>
      <c r="JU90" s="11" t="n">
        <v>-24650</v>
      </c>
      <c r="JV90" s="11" t="n">
        <v>-19571</v>
      </c>
      <c r="JW90" s="11" t="n">
        <v>-20642</v>
      </c>
      <c r="JX90" s="11" t="n">
        <v>309100</v>
      </c>
      <c r="JY90" s="11" t="n">
        <v>63450</v>
      </c>
      <c r="JZ90" s="11" t="n">
        <v>-208465</v>
      </c>
      <c r="KA90" s="11" t="n">
        <v>7427766</v>
      </c>
      <c r="KB90" s="11" t="n">
        <v>4908567</v>
      </c>
      <c r="KC90" s="11" t="n">
        <v>7242946</v>
      </c>
      <c r="KD90" s="11" t="n">
        <v>-29496048</v>
      </c>
      <c r="KE90" s="11" t="n">
        <v>-84963006</v>
      </c>
      <c r="KF90" s="11" t="n">
        <v>-27384859</v>
      </c>
      <c r="KG90" s="11" t="n">
        <v>3952746</v>
      </c>
      <c r="KH90" s="11" t="n">
        <v>-4089308</v>
      </c>
      <c r="KI90" s="11" t="n">
        <v>-6556772</v>
      </c>
      <c r="KJ90" s="11" t="n">
        <v>61452610</v>
      </c>
      <c r="KK90" s="11" t="n">
        <v>-2017975</v>
      </c>
      <c r="KL90" s="11" t="n">
        <v>-14098350</v>
      </c>
      <c r="KM90" s="11" t="n">
        <v>-22281355</v>
      </c>
      <c r="KN90" s="11" t="n">
        <v>-50900405</v>
      </c>
      <c r="KO90" s="11" t="n">
        <v>3835040</v>
      </c>
      <c r="KP90" s="11" t="n">
        <v>3462707</v>
      </c>
      <c r="KQ90" s="11" t="n">
        <v>2215082</v>
      </c>
      <c r="KR90" s="11" t="n">
        <v>-18152570</v>
      </c>
      <c r="KS90" s="11" t="n">
        <v>-81257740</v>
      </c>
      <c r="KT90" s="11" t="n">
        <v>-62883911</v>
      </c>
      <c r="KU90" s="11" t="n">
        <v>121824510</v>
      </c>
      <c r="KV90" s="11" t="n">
        <v>168280713</v>
      </c>
      <c r="KW90" s="11" t="n">
        <v>368230538</v>
      </c>
      <c r="KX90" s="11" t="n">
        <v>-169444500</v>
      </c>
      <c r="KY90" s="11" t="n">
        <v>-500241030</v>
      </c>
      <c r="KZ90" s="11" t="n">
        <v>-178833289</v>
      </c>
      <c r="LA90" s="11" t="n">
        <v>-110764842</v>
      </c>
      <c r="LB90" s="11" t="n">
        <v>-566076172</v>
      </c>
      <c r="LC90" s="11" t="n">
        <v>-447140764</v>
      </c>
      <c r="LD90" s="11" t="n">
        <v>332522374</v>
      </c>
      <c r="LE90" s="11" t="n">
        <v>5025270</v>
      </c>
      <c r="LF90" s="11" t="n">
        <v>3493691</v>
      </c>
      <c r="LG90" s="11" t="n">
        <v>5391266</v>
      </c>
      <c r="LH90" s="11" t="n">
        <v>-31077960</v>
      </c>
      <c r="LI90" s="11" t="n">
        <v>-89089470</v>
      </c>
      <c r="LJ90" s="11" t="n">
        <v>-28595783</v>
      </c>
      <c r="LK90" s="11" t="n">
        <v>1983470</v>
      </c>
      <c r="LL90" s="11" t="n">
        <v>-4729660</v>
      </c>
      <c r="LM90" s="11" t="n">
        <v>-5416104</v>
      </c>
      <c r="LN90" s="11" t="n">
        <v>64413350</v>
      </c>
      <c r="LO90" s="11" t="n">
        <v>208148676</v>
      </c>
      <c r="LP90" s="11" t="n">
        <v>591518496</v>
      </c>
      <c r="LQ90" s="11" t="n">
        <v>187929796</v>
      </c>
      <c r="LR90" s="11" t="n">
        <v>31971828</v>
      </c>
      <c r="LS90" s="11" t="n">
        <v>429376264</v>
      </c>
    </row>
    <row r="91" customFormat="false" ht="15" hidden="false" customHeight="true" outlineLevel="0" collapsed="false">
      <c r="A91" s="7" t="s">
        <v>157</v>
      </c>
      <c r="B91" s="11" t="n">
        <v>-3778390</v>
      </c>
      <c r="C91" s="11" t="n">
        <v>-241633836</v>
      </c>
      <c r="D91" s="11" t="n">
        <v>-7467332</v>
      </c>
      <c r="E91" s="11" t="n">
        <v>161965422</v>
      </c>
      <c r="F91" s="11" t="n">
        <v>-75033026</v>
      </c>
      <c r="G91" s="11" t="n">
        <v>546261268</v>
      </c>
      <c r="H91" s="11" t="n">
        <v>268038084</v>
      </c>
      <c r="I91" s="11" t="n">
        <v>327351124</v>
      </c>
      <c r="J91" s="11" t="n">
        <v>-3187843</v>
      </c>
      <c r="K91" s="11" t="n">
        <v>33309</v>
      </c>
      <c r="L91" s="11" t="n">
        <v>-1885519</v>
      </c>
      <c r="M91" s="11" t="n">
        <v>649897</v>
      </c>
      <c r="N91" s="11" t="n">
        <v>-5745166</v>
      </c>
      <c r="O91" s="11" t="n">
        <v>-2173288</v>
      </c>
      <c r="P91" s="11" t="n">
        <v>4437947</v>
      </c>
      <c r="Q91" s="11" t="n">
        <v>8430380</v>
      </c>
      <c r="R91" s="11" t="n">
        <v>-257232717</v>
      </c>
      <c r="S91" s="11" t="n">
        <v>104867579</v>
      </c>
      <c r="T91" s="11" t="n">
        <v>-828295030</v>
      </c>
      <c r="U91" s="11" t="n">
        <v>-365129922</v>
      </c>
      <c r="V91" s="11" t="n">
        <v>7626044</v>
      </c>
      <c r="W91" s="11" t="n">
        <v>-2298569</v>
      </c>
      <c r="X91" s="11" t="n">
        <v>622943</v>
      </c>
      <c r="Y91" s="11" t="n">
        <v>-6538670</v>
      </c>
      <c r="Z91" s="11" t="n">
        <v>-1932194</v>
      </c>
      <c r="AA91" s="11" t="n">
        <v>11656648</v>
      </c>
      <c r="AB91" s="11" t="n">
        <v>9584864</v>
      </c>
      <c r="AC91" s="11" t="n">
        <v>-26325436</v>
      </c>
      <c r="AD91" s="11" t="n">
        <v>-40597554</v>
      </c>
      <c r="AE91" s="11" t="n">
        <v>-353595241</v>
      </c>
      <c r="AF91" s="11" t="n">
        <v>-20131228</v>
      </c>
      <c r="AG91" s="11" t="n">
        <v>2945374</v>
      </c>
      <c r="AH91" s="11" t="n">
        <v>144436415</v>
      </c>
      <c r="AI91" s="11" t="n">
        <v>-93357284</v>
      </c>
      <c r="AJ91" s="11" t="n">
        <v>-1139364942</v>
      </c>
      <c r="AK91" s="11" t="n">
        <v>-503115634</v>
      </c>
      <c r="AL91" s="11" t="n">
        <v>74710297</v>
      </c>
      <c r="AM91" s="11" t="n">
        <v>1175869</v>
      </c>
      <c r="AN91" s="11" t="n">
        <v>-64613259</v>
      </c>
      <c r="AO91" s="11" t="n">
        <v>16013867</v>
      </c>
      <c r="AP91" s="11" t="n">
        <v>-193292106</v>
      </c>
      <c r="AQ91" s="11" t="n">
        <v>-102738518</v>
      </c>
      <c r="AR91" s="11" t="n">
        <v>-113383793</v>
      </c>
      <c r="AS91" s="11" t="n">
        <v>-72453308</v>
      </c>
      <c r="AT91" s="11" t="n">
        <v>-929566521</v>
      </c>
      <c r="AU91" s="11" t="n">
        <v>-459520469</v>
      </c>
      <c r="AV91" s="11" t="n">
        <v>-1560074918</v>
      </c>
      <c r="AW91" s="11" t="n">
        <v>-1270355190</v>
      </c>
      <c r="AX91" s="11" t="n">
        <v>-778337108</v>
      </c>
      <c r="AY91" s="11" t="n">
        <v>-77291793</v>
      </c>
      <c r="AZ91" s="11" t="n">
        <v>8297675</v>
      </c>
      <c r="BA91" s="11" t="n">
        <v>-212006870</v>
      </c>
      <c r="BB91" s="11" t="n">
        <v>-119628982</v>
      </c>
      <c r="BC91" s="11" t="n">
        <v>-122208768</v>
      </c>
      <c r="BD91" s="11" t="n">
        <v>596665674</v>
      </c>
      <c r="BE91" s="11" t="n">
        <v>-1055762712</v>
      </c>
      <c r="BF91" s="11" t="n">
        <v>-179633844</v>
      </c>
      <c r="BG91" s="11" t="n">
        <v>-737607573</v>
      </c>
      <c r="BH91" s="11" t="n">
        <v>-1523277460</v>
      </c>
      <c r="BI91" s="11" t="n">
        <v>-904209376</v>
      </c>
      <c r="BJ91" s="11" t="n">
        <v>-864223049</v>
      </c>
      <c r="BK91" s="11" t="n">
        <v>1141339928</v>
      </c>
      <c r="BL91" s="11" t="n">
        <v>-353910958</v>
      </c>
      <c r="BM91" s="11" t="n">
        <v>-857612558</v>
      </c>
      <c r="BN91" s="11" t="n">
        <v>1650706</v>
      </c>
      <c r="BO91" s="11" t="n">
        <v>-91796932</v>
      </c>
      <c r="BP91" s="11" t="n">
        <v>26361411</v>
      </c>
      <c r="BQ91" s="11" t="n">
        <v>-276680794</v>
      </c>
      <c r="BR91" s="11" t="n">
        <v>-129653439</v>
      </c>
      <c r="BS91" s="11" t="n">
        <v>-7910616</v>
      </c>
      <c r="BT91" s="11" t="n">
        <v>-17182</v>
      </c>
      <c r="BU91" s="11" t="n">
        <v>61081</v>
      </c>
      <c r="BV91" s="11" t="n">
        <v>-83950</v>
      </c>
      <c r="BW91" s="11" t="n">
        <v>229361</v>
      </c>
      <c r="BX91" s="11" t="n">
        <v>2380682</v>
      </c>
      <c r="BY91" s="11" t="n">
        <v>-3122365</v>
      </c>
      <c r="BZ91" s="11" t="n">
        <v>1788582</v>
      </c>
      <c r="CA91" s="11" t="n">
        <v>-14104475</v>
      </c>
      <c r="CB91" s="11" t="n">
        <v>-132473756</v>
      </c>
      <c r="CC91" s="11" t="n">
        <v>8897344</v>
      </c>
      <c r="CD91" s="11" t="n">
        <v>8460405</v>
      </c>
      <c r="CE91" s="11" t="n">
        <v>38311683</v>
      </c>
      <c r="CF91" s="11" t="n">
        <v>-45037814</v>
      </c>
      <c r="CG91" s="11" t="n">
        <v>-399437018</v>
      </c>
      <c r="CH91" s="11" t="n">
        <v>-185889687</v>
      </c>
      <c r="CI91" s="11" t="n">
        <v>109562306</v>
      </c>
      <c r="CJ91" s="11" t="n">
        <v>-15412042</v>
      </c>
      <c r="CK91" s="11" t="n">
        <v>302791780</v>
      </c>
      <c r="CL91" s="11" t="n">
        <v>153804816</v>
      </c>
      <c r="CM91" s="11" t="n">
        <v>24868808</v>
      </c>
      <c r="CN91" s="11" t="n">
        <v>-892611287</v>
      </c>
      <c r="CO91" s="11" t="n">
        <v>1525668034</v>
      </c>
      <c r="CP91" s="11" t="n">
        <v>52292487</v>
      </c>
      <c r="CQ91" s="11" t="n">
        <v>-857920760</v>
      </c>
      <c r="CR91" s="11" t="n">
        <v>2252249972</v>
      </c>
      <c r="CS91" s="11" t="n">
        <v>1245701973</v>
      </c>
      <c r="CT91" s="11" t="n">
        <v>323290836</v>
      </c>
      <c r="CU91" s="11" t="n">
        <v>-1997232114</v>
      </c>
      <c r="CV91" s="11" t="n">
        <v>-2717293112</v>
      </c>
      <c r="CW91" s="11" t="n">
        <v>-1216228476</v>
      </c>
      <c r="CX91" s="11" t="n">
        <v>-3893707</v>
      </c>
      <c r="CY91" s="11" t="n">
        <v>2420290</v>
      </c>
      <c r="CZ91" s="11" t="n">
        <v>-16824313</v>
      </c>
      <c r="DA91" s="11" t="n">
        <v>-158271858</v>
      </c>
      <c r="DB91" s="11" t="n">
        <v>10420380</v>
      </c>
      <c r="DC91" s="11" t="n">
        <v>7832693</v>
      </c>
      <c r="DD91" s="11" t="n">
        <v>23147782</v>
      </c>
      <c r="DE91" s="11" t="n">
        <v>-49894130</v>
      </c>
      <c r="DF91" s="11" t="n">
        <v>-437957260</v>
      </c>
      <c r="DG91" s="11" t="n">
        <v>-218365004</v>
      </c>
      <c r="DH91" s="11" t="n">
        <v>34502068</v>
      </c>
      <c r="DI91" s="11" t="n">
        <v>138927190</v>
      </c>
      <c r="DJ91" s="11" t="n">
        <v>1258961771</v>
      </c>
      <c r="DK91" s="11" t="n">
        <v>-235435712</v>
      </c>
      <c r="DL91" s="11" t="n">
        <v>-2185002362</v>
      </c>
      <c r="DM91" s="11" t="n">
        <v>-207282571</v>
      </c>
      <c r="DN91" s="11" t="n">
        <v>-302393068</v>
      </c>
      <c r="DO91" s="11" t="n">
        <v>-3164134772</v>
      </c>
      <c r="DP91" s="11" t="n">
        <v>-1706652489</v>
      </c>
      <c r="DQ91" s="11" t="n">
        <v>2441034986</v>
      </c>
      <c r="DR91" s="11" t="n">
        <v>-1114400</v>
      </c>
      <c r="DS91" s="11" t="n">
        <v>-18690</v>
      </c>
      <c r="DT91" s="11" t="n">
        <v>146650</v>
      </c>
      <c r="DU91" s="11" t="n">
        <v>-282310</v>
      </c>
      <c r="DV91" s="11" t="n">
        <v>1981560</v>
      </c>
      <c r="DW91" s="11" t="n">
        <v>341810</v>
      </c>
      <c r="DX91" s="11" t="n">
        <v>1192590</v>
      </c>
      <c r="DY91" s="11" t="n">
        <v>1007164</v>
      </c>
      <c r="DZ91" s="11" t="n">
        <v>-38391660</v>
      </c>
      <c r="EA91" s="11" t="n">
        <v>4076116</v>
      </c>
      <c r="EB91" s="11" t="n">
        <v>-34390736</v>
      </c>
      <c r="EC91" s="11" t="n">
        <v>-57195996</v>
      </c>
      <c r="ED91" s="11" t="n">
        <v>-20281124</v>
      </c>
      <c r="EE91" s="11" t="n">
        <v>-511342</v>
      </c>
      <c r="EF91" s="11" t="n">
        <v>-186782</v>
      </c>
      <c r="EG91" s="11" t="n">
        <v>1214100</v>
      </c>
      <c r="EH91" s="11" t="n">
        <v>-650336</v>
      </c>
      <c r="EI91" s="11" t="n">
        <v>737688</v>
      </c>
      <c r="EJ91" s="11" t="n">
        <v>9189328</v>
      </c>
      <c r="EK91" s="11" t="n">
        <v>-63740108</v>
      </c>
      <c r="EL91" s="11" t="n">
        <v>-4248798</v>
      </c>
      <c r="EM91" s="11" t="n">
        <v>-38416442</v>
      </c>
      <c r="EN91" s="11" t="n">
        <v>-1464268</v>
      </c>
      <c r="EO91" s="11" t="n">
        <v>-13239182</v>
      </c>
      <c r="EP91" s="11" t="n">
        <v>-775690</v>
      </c>
      <c r="EQ91" s="11" t="n">
        <v>91154164</v>
      </c>
      <c r="ER91" s="11" t="n">
        <v>-741012</v>
      </c>
      <c r="ES91" s="11" t="n">
        <v>-54988408</v>
      </c>
      <c r="ET91" s="11" t="n">
        <v>-25593</v>
      </c>
      <c r="EU91" s="11" t="n">
        <v>679845</v>
      </c>
      <c r="EV91" s="11" t="n">
        <v>-429867</v>
      </c>
      <c r="EW91" s="11" t="n">
        <v>3366332</v>
      </c>
      <c r="EX91" s="11" t="n">
        <v>929377</v>
      </c>
      <c r="EY91" s="11" t="n">
        <v>-302737</v>
      </c>
      <c r="EZ91" s="11" t="n">
        <v>8034</v>
      </c>
      <c r="FA91" s="11" t="n">
        <v>-726</v>
      </c>
      <c r="FB91" s="11" t="n">
        <v>10950</v>
      </c>
      <c r="FC91" s="11" t="n">
        <v>7737</v>
      </c>
      <c r="FD91" s="11" t="n">
        <v>-32466</v>
      </c>
      <c r="FE91" s="11" t="n">
        <v>-115656</v>
      </c>
      <c r="FF91" s="11" t="n">
        <v>765866</v>
      </c>
      <c r="FG91" s="11" t="n">
        <v>86221</v>
      </c>
      <c r="FH91" s="11" t="n">
        <v>767384</v>
      </c>
      <c r="FI91" s="11" t="n">
        <v>88426</v>
      </c>
      <c r="FJ91" s="11" t="n">
        <v>103589</v>
      </c>
      <c r="FK91" s="11" t="n">
        <v>-536720</v>
      </c>
      <c r="FL91" s="11" t="n">
        <v>-620038</v>
      </c>
      <c r="FM91" s="11" t="n">
        <v>4140834</v>
      </c>
      <c r="FN91" s="11" t="n">
        <v>1087441</v>
      </c>
      <c r="FO91" s="11" t="n">
        <v>267267</v>
      </c>
      <c r="FP91" s="11" t="n">
        <v>294891</v>
      </c>
      <c r="FQ91" s="11" t="n">
        <v>-2252590</v>
      </c>
      <c r="FR91" s="11" t="n">
        <v>473602</v>
      </c>
      <c r="FS91" s="11" t="n">
        <v>739376</v>
      </c>
      <c r="FT91" s="11" t="n">
        <v>-12322488</v>
      </c>
      <c r="FU91" s="11" t="n">
        <v>94991658</v>
      </c>
      <c r="FV91" s="11" t="n">
        <v>-2875167</v>
      </c>
      <c r="FW91" s="11" t="n">
        <v>-22802043</v>
      </c>
      <c r="FX91" s="11" t="n">
        <v>952874</v>
      </c>
      <c r="FY91" s="11" t="n">
        <v>18663337</v>
      </c>
      <c r="FZ91" s="11" t="n">
        <v>8930525</v>
      </c>
      <c r="GA91" s="11" t="n">
        <v>-144094358</v>
      </c>
      <c r="GB91" s="11" t="n">
        <v>-70606914</v>
      </c>
      <c r="GC91" s="11" t="n">
        <v>-32451682</v>
      </c>
      <c r="GD91" s="11" t="n">
        <v>-100152</v>
      </c>
      <c r="GE91" s="11" t="n">
        <v>821470</v>
      </c>
      <c r="GF91" s="11" t="n">
        <v>-67873</v>
      </c>
      <c r="GG91" s="11" t="n">
        <v>-571142</v>
      </c>
      <c r="GH91" s="11" t="n">
        <v>62270</v>
      </c>
      <c r="GI91" s="11" t="n">
        <v>102583</v>
      </c>
      <c r="GJ91" s="11" t="n">
        <v>-353110</v>
      </c>
      <c r="GK91" s="11" t="n">
        <v>-883610</v>
      </c>
      <c r="GL91" s="11" t="n">
        <v>2541180</v>
      </c>
      <c r="GM91" s="11" t="n">
        <v>-824308</v>
      </c>
      <c r="GN91" s="11" t="n">
        <v>-2278432</v>
      </c>
      <c r="GO91" s="11" t="n">
        <v>2051920</v>
      </c>
      <c r="GP91" s="11" t="n">
        <v>17788280</v>
      </c>
      <c r="GQ91" s="11" t="n">
        <v>-15286232</v>
      </c>
      <c r="GR91" s="11" t="n">
        <v>-132910278</v>
      </c>
      <c r="GS91" s="11" t="n">
        <v>353525</v>
      </c>
      <c r="GT91" s="11" t="n">
        <v>-3609528</v>
      </c>
      <c r="GU91" s="11" t="n">
        <v>-3026790</v>
      </c>
      <c r="GV91" s="11" t="n">
        <v>-25454595</v>
      </c>
      <c r="GW91" s="11" t="n">
        <v>190251522</v>
      </c>
      <c r="GX91" s="11" t="n">
        <v>22747</v>
      </c>
      <c r="GY91" s="11" t="n">
        <v>16157345</v>
      </c>
      <c r="GZ91" s="11" t="n">
        <v>858993</v>
      </c>
      <c r="HA91" s="11" t="n">
        <v>17828172</v>
      </c>
      <c r="HB91" s="11" t="n">
        <v>23543117</v>
      </c>
      <c r="HC91" s="11" t="n">
        <v>9860323</v>
      </c>
      <c r="HD91" s="11" t="n">
        <v>273974</v>
      </c>
      <c r="HE91" s="11" t="n">
        <v>8644</v>
      </c>
      <c r="HF91" s="11" t="n">
        <v>339450</v>
      </c>
      <c r="HG91" s="11" t="n">
        <v>401827</v>
      </c>
      <c r="HH91" s="11" t="n">
        <v>189714</v>
      </c>
      <c r="HI91" s="11" t="n">
        <v>-4206166</v>
      </c>
      <c r="HJ91" s="11" t="n">
        <v>26383926</v>
      </c>
      <c r="HK91" s="11" t="n">
        <v>1857631</v>
      </c>
      <c r="HL91" s="11" t="n">
        <v>15993424</v>
      </c>
      <c r="HM91" s="11" t="n">
        <v>6043806</v>
      </c>
      <c r="HN91" s="11" t="n">
        <v>6227629</v>
      </c>
      <c r="HO91" s="11" t="n">
        <v>3417170</v>
      </c>
      <c r="HP91" s="11" t="n">
        <v>-36394698</v>
      </c>
      <c r="HQ91" s="11" t="n">
        <v>1546014</v>
      </c>
      <c r="HR91" s="11" t="n">
        <v>22170611</v>
      </c>
      <c r="HS91" s="11" t="n">
        <v>-15386209</v>
      </c>
      <c r="HT91" s="11" t="n">
        <v>-693133</v>
      </c>
      <c r="HU91" s="11" t="n">
        <v>-16814590</v>
      </c>
      <c r="HV91" s="11" t="n">
        <v>-22445098</v>
      </c>
      <c r="HW91" s="11" t="n">
        <v>-9325464</v>
      </c>
      <c r="HX91" s="11" t="n">
        <v>88691116</v>
      </c>
      <c r="HY91" s="11" t="n">
        <v>115569034</v>
      </c>
      <c r="HZ91" s="11" t="n">
        <v>-18194631</v>
      </c>
      <c r="IA91" s="11" t="n">
        <v>45643441</v>
      </c>
      <c r="IB91" s="11" t="n">
        <v>-91718502</v>
      </c>
      <c r="IC91" s="11" t="n">
        <v>-130200499</v>
      </c>
      <c r="ID91" s="11" t="n">
        <v>-51698819</v>
      </c>
      <c r="IE91" s="11" t="n">
        <v>-188473558</v>
      </c>
      <c r="IF91" s="11" t="n">
        <v>-20164754</v>
      </c>
      <c r="IG91" s="11" t="n">
        <v>77611378</v>
      </c>
      <c r="IH91" s="11" t="n">
        <v>-2501518</v>
      </c>
      <c r="II91" s="11" t="n">
        <v>27084370</v>
      </c>
      <c r="IJ91" s="11" t="n">
        <v>1460453</v>
      </c>
      <c r="IK91" s="11" t="n">
        <v>16004070</v>
      </c>
      <c r="IL91" s="11" t="n">
        <v>3953870</v>
      </c>
      <c r="IM91" s="11" t="n">
        <v>3714957</v>
      </c>
      <c r="IN91" s="11" t="n">
        <v>2237118</v>
      </c>
      <c r="IO91" s="11" t="n">
        <v>-37914110</v>
      </c>
      <c r="IP91" s="11" t="n">
        <v>1074180</v>
      </c>
      <c r="IQ91" s="11" t="n">
        <v>22461252</v>
      </c>
      <c r="IR91" s="11" t="n">
        <v>-174912548</v>
      </c>
      <c r="IS91" s="11" t="n">
        <v>-5460410</v>
      </c>
      <c r="IT91" s="11" t="n">
        <v>-99673462</v>
      </c>
      <c r="IU91" s="11" t="n">
        <v>-42997808</v>
      </c>
      <c r="IV91" s="11" t="n">
        <v>-39863690</v>
      </c>
      <c r="IW91" s="11" t="n">
        <v>23257727</v>
      </c>
      <c r="IX91" s="11" t="n">
        <v>-251128652</v>
      </c>
      <c r="IY91" s="11" t="n">
        <v>1117682</v>
      </c>
      <c r="IZ91" s="11" t="n">
        <v>143139903</v>
      </c>
      <c r="JA91" s="11" t="n">
        <v>57508582</v>
      </c>
      <c r="JB91" s="11" t="n">
        <v>384942</v>
      </c>
      <c r="JC91" s="11" t="n">
        <v>10953</v>
      </c>
      <c r="JD91" s="11" t="n">
        <v>478150</v>
      </c>
      <c r="JE91" s="11" t="n">
        <v>559655</v>
      </c>
      <c r="JF91" s="11" t="n">
        <v>220270</v>
      </c>
      <c r="JG91" s="11" t="n">
        <v>-6756543</v>
      </c>
      <c r="JH91" s="11" t="n">
        <v>37931258</v>
      </c>
      <c r="JI91" s="11" t="n">
        <v>-887837</v>
      </c>
      <c r="JJ91" s="11" t="n">
        <v>-10404628</v>
      </c>
      <c r="JK91" s="11" t="n">
        <v>9471822</v>
      </c>
      <c r="JL91" s="11" t="n">
        <v>9797862</v>
      </c>
      <c r="JM91" s="11" t="n">
        <v>3570153</v>
      </c>
      <c r="JN91" s="11" t="n">
        <v>-56249870</v>
      </c>
      <c r="JO91" s="11" t="n">
        <v>-34628830</v>
      </c>
      <c r="JP91" s="11" t="n">
        <v>-14618925</v>
      </c>
      <c r="JQ91" s="11" t="n">
        <v>-14358</v>
      </c>
      <c r="JR91" s="11" t="n">
        <v>14600</v>
      </c>
      <c r="JS91" s="11" t="n">
        <v>-59312</v>
      </c>
      <c r="JT91" s="11" t="n">
        <v>-557464</v>
      </c>
      <c r="JU91" s="11" t="n">
        <v>18250</v>
      </c>
      <c r="JV91" s="11" t="n">
        <v>19187</v>
      </c>
      <c r="JW91" s="11" t="n">
        <v>-7646</v>
      </c>
      <c r="JX91" s="11" t="n">
        <v>-94900</v>
      </c>
      <c r="JY91" s="11" t="n">
        <v>-700800</v>
      </c>
      <c r="JZ91" s="11" t="n">
        <v>-776540</v>
      </c>
      <c r="KA91" s="11" t="n">
        <v>1158542</v>
      </c>
      <c r="KB91" s="11" t="n">
        <v>1007935</v>
      </c>
      <c r="KC91" s="11" t="n">
        <v>9396584</v>
      </c>
      <c r="KD91" s="11" t="n">
        <v>-5810788</v>
      </c>
      <c r="KE91" s="11" t="n">
        <v>-54536536</v>
      </c>
      <c r="KF91" s="11" t="n">
        <v>-317404</v>
      </c>
      <c r="KG91" s="11" t="n">
        <v>267038</v>
      </c>
      <c r="KH91" s="11" t="n">
        <v>-12560654</v>
      </c>
      <c r="KI91" s="11" t="n">
        <v>-13093671</v>
      </c>
      <c r="KJ91" s="11" t="n">
        <v>75569660</v>
      </c>
      <c r="KK91" s="11" t="n">
        <v>4321047</v>
      </c>
      <c r="KL91" s="11" t="n">
        <v>-38874310</v>
      </c>
      <c r="KM91" s="11" t="n">
        <v>1278943</v>
      </c>
      <c r="KN91" s="11" t="n">
        <v>8820614</v>
      </c>
      <c r="KO91" s="11" t="n">
        <v>-6473440</v>
      </c>
      <c r="KP91" s="11" t="n">
        <v>-6245843</v>
      </c>
      <c r="KQ91" s="11" t="n">
        <v>-2221594</v>
      </c>
      <c r="KR91" s="11" t="n">
        <v>58106750</v>
      </c>
      <c r="KS91" s="11" t="n">
        <v>33200900</v>
      </c>
      <c r="KT91" s="11" t="n">
        <v>12092180</v>
      </c>
      <c r="KU91" s="11" t="n">
        <v>256540462</v>
      </c>
      <c r="KV91" s="11" t="n">
        <v>-12482005</v>
      </c>
      <c r="KW91" s="11" t="n">
        <v>-38026433</v>
      </c>
      <c r="KX91" s="11" t="n">
        <v>36363572</v>
      </c>
      <c r="KY91" s="11" t="n">
        <v>-181574754</v>
      </c>
      <c r="KZ91" s="11" t="n">
        <v>14224633</v>
      </c>
      <c r="LA91" s="11" t="n">
        <v>389515078</v>
      </c>
      <c r="LB91" s="11" t="n">
        <v>188864084</v>
      </c>
      <c r="LC91" s="11" t="n">
        <v>48547767</v>
      </c>
      <c r="LD91" s="11" t="n">
        <v>302462530</v>
      </c>
      <c r="LE91" s="11" t="n">
        <v>1286090</v>
      </c>
      <c r="LF91" s="11" t="n">
        <v>618085</v>
      </c>
      <c r="LG91" s="11" t="n">
        <v>5928638</v>
      </c>
      <c r="LH91" s="11" t="n">
        <v>-5941260</v>
      </c>
      <c r="LI91" s="11" t="n">
        <v>-55962320</v>
      </c>
      <c r="LJ91" s="11" t="n">
        <v>493052</v>
      </c>
      <c r="LK91" s="11" t="n">
        <v>933010</v>
      </c>
      <c r="LL91" s="11" t="n">
        <v>-8220580</v>
      </c>
      <c r="LM91" s="11" t="n">
        <v>-8251752</v>
      </c>
      <c r="LN91" s="11" t="n">
        <v>78574600</v>
      </c>
      <c r="LO91" s="11" t="n">
        <v>40410760</v>
      </c>
      <c r="LP91" s="11" t="n">
        <v>363301058</v>
      </c>
      <c r="LQ91" s="11" t="n">
        <v>-11686455</v>
      </c>
      <c r="LR91" s="11" t="n">
        <v>80098468</v>
      </c>
      <c r="LS91" s="11" t="n">
        <v>521863482</v>
      </c>
    </row>
    <row r="92" customFormat="false" ht="15" hidden="false" customHeight="true" outlineLevel="0" collapsed="false">
      <c r="A92" s="7" t="s">
        <v>158</v>
      </c>
      <c r="B92" s="11" t="n">
        <v>-5689586</v>
      </c>
      <c r="C92" s="11" t="n">
        <v>-1266967424</v>
      </c>
      <c r="D92" s="11" t="n">
        <v>-10324322</v>
      </c>
      <c r="E92" s="11" t="n">
        <v>797629156</v>
      </c>
      <c r="F92" s="11" t="n">
        <v>-48931184</v>
      </c>
      <c r="G92" s="11" t="n">
        <v>-28507052</v>
      </c>
      <c r="H92" s="11" t="n">
        <v>389575890</v>
      </c>
      <c r="I92" s="11" t="n">
        <v>68455680</v>
      </c>
      <c r="J92" s="11" t="n">
        <v>4463263</v>
      </c>
      <c r="K92" s="11" t="n">
        <v>40719</v>
      </c>
      <c r="L92" s="11" t="n">
        <v>-8519189</v>
      </c>
      <c r="M92" s="11" t="n">
        <v>321587</v>
      </c>
      <c r="N92" s="11" t="n">
        <v>78694</v>
      </c>
      <c r="O92" s="11" t="n">
        <v>-3128552</v>
      </c>
      <c r="P92" s="11" t="n">
        <v>11036809</v>
      </c>
      <c r="Q92" s="11" t="n">
        <v>968345</v>
      </c>
      <c r="R92" s="11" t="n">
        <v>-1271358978</v>
      </c>
      <c r="S92" s="11" t="n">
        <v>33226936</v>
      </c>
      <c r="T92" s="11" t="n">
        <v>-4838970</v>
      </c>
      <c r="U92" s="11" t="n">
        <v>-391064273</v>
      </c>
      <c r="V92" s="11" t="n">
        <v>2511397696</v>
      </c>
      <c r="W92" s="11" t="n">
        <v>-9750479</v>
      </c>
      <c r="X92" s="11" t="n">
        <v>233363</v>
      </c>
      <c r="Y92" s="11" t="n">
        <v>-61220</v>
      </c>
      <c r="Z92" s="11" t="n">
        <v>-2888969</v>
      </c>
      <c r="AA92" s="11" t="n">
        <v>20517313</v>
      </c>
      <c r="AB92" s="11" t="n">
        <v>28182514</v>
      </c>
      <c r="AC92" s="11" t="n">
        <v>31652274</v>
      </c>
      <c r="AD92" s="11" t="n">
        <v>-144728693</v>
      </c>
      <c r="AE92" s="11" t="n">
        <v>-1649762834</v>
      </c>
      <c r="AF92" s="11" t="n">
        <v>-934498</v>
      </c>
      <c r="AG92" s="11" t="n">
        <v>-4886333</v>
      </c>
      <c r="AH92" s="11" t="n">
        <v>98787256</v>
      </c>
      <c r="AI92" s="11" t="n">
        <v>-10286954</v>
      </c>
      <c r="AJ92" s="11" t="n">
        <v>56245558</v>
      </c>
      <c r="AK92" s="11" t="n">
        <v>-793351545</v>
      </c>
      <c r="AL92" s="11" t="n">
        <v>427060119</v>
      </c>
      <c r="AM92" s="11" t="n">
        <v>1450153</v>
      </c>
      <c r="AN92" s="11" t="n">
        <v>-290167055</v>
      </c>
      <c r="AO92" s="11" t="n">
        <v>1803135</v>
      </c>
      <c r="AP92" s="11" t="n">
        <v>5373578</v>
      </c>
      <c r="AQ92" s="11" t="n">
        <v>-149815084</v>
      </c>
      <c r="AR92" s="11" t="n">
        <v>-22887447</v>
      </c>
      <c r="AS92" s="11" t="n">
        <v>-452020511</v>
      </c>
      <c r="AT92" s="11" t="n">
        <v>-4744915346</v>
      </c>
      <c r="AU92" s="11" t="n">
        <v>-3271247496</v>
      </c>
      <c r="AV92" s="11" t="n">
        <v>-943140106</v>
      </c>
      <c r="AW92" s="11" t="n">
        <v>-4119544921</v>
      </c>
      <c r="AX92" s="11" t="n">
        <v>41662272</v>
      </c>
      <c r="AY92" s="11" t="n">
        <v>-323238597</v>
      </c>
      <c r="AZ92" s="11" t="n">
        <v>-9199537</v>
      </c>
      <c r="BA92" s="11" t="n">
        <v>2485060</v>
      </c>
      <c r="BB92" s="11" t="n">
        <v>-172559923</v>
      </c>
      <c r="BC92" s="11" t="n">
        <v>-24083679</v>
      </c>
      <c r="BD92" s="11" t="n">
        <v>2242691210</v>
      </c>
      <c r="BE92" s="11" t="n">
        <v>700522822</v>
      </c>
      <c r="BF92" s="11" t="n">
        <v>1134492089</v>
      </c>
      <c r="BG92" s="11" t="n">
        <v>-282601938</v>
      </c>
      <c r="BH92" s="11" t="n">
        <v>37179062</v>
      </c>
      <c r="BI92" s="11" t="n">
        <v>-1164965521</v>
      </c>
      <c r="BJ92" s="11" t="n">
        <v>-175140168</v>
      </c>
      <c r="BK92" s="11" t="n">
        <v>-382693918</v>
      </c>
      <c r="BL92" s="11" t="n">
        <v>-50021514</v>
      </c>
      <c r="BM92" s="11" t="n">
        <v>-235394265</v>
      </c>
      <c r="BN92" s="11" t="n">
        <v>1918777</v>
      </c>
      <c r="BO92" s="11" t="n">
        <v>-411825041</v>
      </c>
      <c r="BP92" s="11" t="n">
        <v>22723818</v>
      </c>
      <c r="BQ92" s="11" t="n">
        <v>1691402</v>
      </c>
      <c r="BR92" s="11" t="n">
        <v>-117304786</v>
      </c>
      <c r="BS92" s="11" t="n">
        <v>846376812</v>
      </c>
      <c r="BT92" s="11" t="n">
        <v>-94702</v>
      </c>
      <c r="BU92" s="11" t="n">
        <v>69061</v>
      </c>
      <c r="BV92" s="11" t="n">
        <v>-18400</v>
      </c>
      <c r="BW92" s="11" t="n">
        <v>274790</v>
      </c>
      <c r="BX92" s="11" t="n">
        <v>2976845</v>
      </c>
      <c r="BY92" s="11" t="n">
        <v>-13700945</v>
      </c>
      <c r="BZ92" s="11" t="n">
        <v>4032652</v>
      </c>
      <c r="CA92" s="11" t="n">
        <v>-64767506</v>
      </c>
      <c r="CB92" s="11" t="n">
        <v>-597143773</v>
      </c>
      <c r="CC92" s="11" t="n">
        <v>-278786</v>
      </c>
      <c r="CD92" s="11" t="n">
        <v>7476358</v>
      </c>
      <c r="CE92" s="11" t="n">
        <v>4791414</v>
      </c>
      <c r="CF92" s="11" t="n">
        <v>-882660</v>
      </c>
      <c r="CG92" s="11" t="n">
        <v>10740370</v>
      </c>
      <c r="CH92" s="11" t="n">
        <v>-303200450</v>
      </c>
      <c r="CI92" s="11" t="n">
        <v>457213847</v>
      </c>
      <c r="CJ92" s="11" t="n">
        <v>-9354274</v>
      </c>
      <c r="CK92" s="11" t="n">
        <v>2447260</v>
      </c>
      <c r="CL92" s="11" t="n">
        <v>142669977</v>
      </c>
      <c r="CM92" s="11" t="n">
        <v>-896032204</v>
      </c>
      <c r="CN92" s="11" t="n">
        <v>-3407024356</v>
      </c>
      <c r="CO92" s="11" t="n">
        <v>-928286802</v>
      </c>
      <c r="CP92" s="11" t="n">
        <v>-2669250595</v>
      </c>
      <c r="CQ92" s="11" t="n">
        <v>-9363620200</v>
      </c>
      <c r="CR92" s="11" t="n">
        <v>37228364</v>
      </c>
      <c r="CS92" s="11" t="n">
        <v>1117746086</v>
      </c>
      <c r="CT92" s="11" t="n">
        <v>-6485397792</v>
      </c>
      <c r="CU92" s="11" t="n">
        <v>275377282</v>
      </c>
      <c r="CV92" s="11" t="n">
        <v>-1869344264</v>
      </c>
      <c r="CW92" s="11" t="n">
        <v>-8152950740</v>
      </c>
      <c r="CX92" s="11" t="n">
        <v>-15994447</v>
      </c>
      <c r="CY92" s="11" t="n">
        <v>4263640</v>
      </c>
      <c r="CZ92" s="11" t="n">
        <v>-72519592</v>
      </c>
      <c r="DA92" s="11" t="n">
        <v>-665110491</v>
      </c>
      <c r="DB92" s="11" t="n">
        <v>-1620</v>
      </c>
      <c r="DC92" s="11" t="n">
        <v>6474641</v>
      </c>
      <c r="DD92" s="11" t="n">
        <v>-17737682</v>
      </c>
      <c r="DE92" s="11" t="n">
        <v>-1718600</v>
      </c>
      <c r="DF92" s="11" t="n">
        <v>4795700</v>
      </c>
      <c r="DG92" s="11" t="n">
        <v>-349663925</v>
      </c>
      <c r="DH92" s="11" t="n">
        <v>-64245122</v>
      </c>
      <c r="DI92" s="11" t="n">
        <v>447018021</v>
      </c>
      <c r="DJ92" s="11" t="n">
        <v>4628647468</v>
      </c>
      <c r="DK92" s="11" t="n">
        <v>172128872</v>
      </c>
      <c r="DL92" s="11" t="n">
        <v>1437700106</v>
      </c>
      <c r="DM92" s="11" t="n">
        <v>2397785335</v>
      </c>
      <c r="DN92" s="11" t="n">
        <v>-25961506</v>
      </c>
      <c r="DO92" s="11" t="n">
        <v>71716012</v>
      </c>
      <c r="DP92" s="11" t="n">
        <v>-2369440730</v>
      </c>
      <c r="DQ92" s="11" t="n">
        <v>-773121050</v>
      </c>
      <c r="DR92" s="11" t="n">
        <v>-5250484</v>
      </c>
      <c r="DS92" s="11" t="n">
        <v>-24504</v>
      </c>
      <c r="DT92" s="11" t="n">
        <v>2411228</v>
      </c>
      <c r="DU92" s="11" t="n">
        <v>-171728</v>
      </c>
      <c r="DV92" s="11" t="n">
        <v>-382704</v>
      </c>
      <c r="DW92" s="11" t="n">
        <v>459160</v>
      </c>
      <c r="DX92" s="11" t="n">
        <v>116742</v>
      </c>
      <c r="DY92" s="11" t="n">
        <v>4070932</v>
      </c>
      <c r="DZ92" s="11" t="n">
        <v>-199134312</v>
      </c>
      <c r="EA92" s="11" t="n">
        <v>6914144</v>
      </c>
      <c r="EB92" s="11" t="n">
        <v>-58914248</v>
      </c>
      <c r="EC92" s="11" t="n">
        <v>-257263220</v>
      </c>
      <c r="ED92" s="11" t="n">
        <v>-37176192</v>
      </c>
      <c r="EE92" s="11" t="n">
        <v>940172</v>
      </c>
      <c r="EF92" s="11" t="n">
        <v>-100880</v>
      </c>
      <c r="EG92" s="11" t="n">
        <v>-571680</v>
      </c>
      <c r="EH92" s="11" t="n">
        <v>-844640</v>
      </c>
      <c r="EI92" s="11" t="n">
        <v>-82986</v>
      </c>
      <c r="EJ92" s="11" t="n">
        <v>3337856</v>
      </c>
      <c r="EK92" s="11" t="n">
        <v>41570488</v>
      </c>
      <c r="EL92" s="11" t="n">
        <v>100730860</v>
      </c>
      <c r="EM92" s="11" t="n">
        <v>12645108</v>
      </c>
      <c r="EN92" s="11" t="n">
        <v>-2430880</v>
      </c>
      <c r="EO92" s="11" t="n">
        <v>-7809680</v>
      </c>
      <c r="EP92" s="11" t="n">
        <v>-1062192</v>
      </c>
      <c r="EQ92" s="11" t="n">
        <v>-23903840</v>
      </c>
      <c r="ER92" s="11" t="n">
        <v>-4019676</v>
      </c>
      <c r="ES92" s="11" t="n">
        <v>-2469030</v>
      </c>
      <c r="ET92" s="11" t="n">
        <v>-18354</v>
      </c>
      <c r="EU92" s="11" t="n">
        <v>5970192</v>
      </c>
      <c r="EV92" s="11" t="n">
        <v>-162054</v>
      </c>
      <c r="EW92" s="11" t="n">
        <v>227596</v>
      </c>
      <c r="EX92" s="11" t="n">
        <v>2526908</v>
      </c>
      <c r="EY92" s="11" t="n">
        <v>-10276607</v>
      </c>
      <c r="EZ92" s="11" t="n">
        <v>19434</v>
      </c>
      <c r="FA92" s="11" t="n">
        <v>-156</v>
      </c>
      <c r="FB92" s="11" t="n">
        <v>2400</v>
      </c>
      <c r="FC92" s="11" t="n">
        <v>10188</v>
      </c>
      <c r="FD92" s="11" t="n">
        <v>-48369</v>
      </c>
      <c r="FE92" s="11" t="n">
        <v>-120846</v>
      </c>
      <c r="FF92" s="11" t="n">
        <v>-539684</v>
      </c>
      <c r="FG92" s="11" t="n">
        <v>-638356</v>
      </c>
      <c r="FH92" s="11" t="n">
        <v>4852165</v>
      </c>
      <c r="FI92" s="11" t="n">
        <v>19256</v>
      </c>
      <c r="FJ92" s="11" t="n">
        <v>68476</v>
      </c>
      <c r="FK92" s="11" t="n">
        <v>-339721</v>
      </c>
      <c r="FL92" s="11" t="n">
        <v>204088</v>
      </c>
      <c r="FM92" s="11" t="n">
        <v>-743994</v>
      </c>
      <c r="FN92" s="11" t="n">
        <v>954884</v>
      </c>
      <c r="FO92" s="11" t="n">
        <v>-3932844</v>
      </c>
      <c r="FP92" s="11" t="n">
        <v>101478</v>
      </c>
      <c r="FQ92" s="11" t="n">
        <v>29480</v>
      </c>
      <c r="FR92" s="11" t="n">
        <v>-1059914</v>
      </c>
      <c r="FS92" s="11" t="n">
        <v>8097863</v>
      </c>
      <c r="FT92" s="11" t="n">
        <v>1715700</v>
      </c>
      <c r="FU92" s="11" t="n">
        <v>-58357896</v>
      </c>
      <c r="FV92" s="11" t="n">
        <v>-196689816</v>
      </c>
      <c r="FW92" s="11" t="n">
        <v>-432031422</v>
      </c>
      <c r="FX92" s="11" t="n">
        <v>1518652</v>
      </c>
      <c r="FY92" s="11" t="n">
        <v>4612742</v>
      </c>
      <c r="FZ92" s="11" t="n">
        <v>14680264</v>
      </c>
      <c r="GA92" s="11" t="n">
        <v>17201996</v>
      </c>
      <c r="GB92" s="11" t="n">
        <v>-116922502</v>
      </c>
      <c r="GC92" s="11" t="n">
        <v>-521425039</v>
      </c>
      <c r="GD92" s="11" t="n">
        <v>-74022</v>
      </c>
      <c r="GE92" s="11" t="n">
        <v>-545480</v>
      </c>
      <c r="GF92" s="11" t="n">
        <v>-1060774</v>
      </c>
      <c r="GG92" s="11" t="n">
        <v>1790011</v>
      </c>
      <c r="GH92" s="11" t="n">
        <v>13520</v>
      </c>
      <c r="GI92" s="11" t="n">
        <v>47320</v>
      </c>
      <c r="GJ92" s="11" t="n">
        <v>-198601</v>
      </c>
      <c r="GK92" s="11" t="n">
        <v>154960</v>
      </c>
      <c r="GL92" s="11" t="n">
        <v>-1136580</v>
      </c>
      <c r="GM92" s="11" t="n">
        <v>-1701757</v>
      </c>
      <c r="GN92" s="11" t="n">
        <v>1336348</v>
      </c>
      <c r="GO92" s="11" t="n">
        <v>4164758</v>
      </c>
      <c r="GP92" s="11" t="n">
        <v>7350586</v>
      </c>
      <c r="GQ92" s="11" t="n">
        <v>11540204</v>
      </c>
      <c r="GR92" s="11" t="n">
        <v>86483414</v>
      </c>
      <c r="GS92" s="11" t="n">
        <v>206050541</v>
      </c>
      <c r="GT92" s="11" t="n">
        <v>93600</v>
      </c>
      <c r="GU92" s="11" t="n">
        <v>-4927994</v>
      </c>
      <c r="GV92" s="11" t="n">
        <v>-15873049</v>
      </c>
      <c r="GW92" s="11" t="n">
        <v>-48613762</v>
      </c>
      <c r="GX92" s="11" t="n">
        <v>501034</v>
      </c>
      <c r="GY92" s="11" t="n">
        <v>86786308</v>
      </c>
      <c r="GZ92" s="11" t="n">
        <v>11225922</v>
      </c>
      <c r="HA92" s="11" t="n">
        <v>23766884</v>
      </c>
      <c r="HB92" s="11" t="n">
        <v>103788356</v>
      </c>
      <c r="HC92" s="11" t="n">
        <v>12358425</v>
      </c>
      <c r="HD92" s="11" t="n">
        <v>635126</v>
      </c>
      <c r="HE92" s="11" t="n">
        <v>36004</v>
      </c>
      <c r="HF92" s="11" t="n">
        <v>74400</v>
      </c>
      <c r="HG92" s="11" t="n">
        <v>528196</v>
      </c>
      <c r="HH92" s="11" t="n">
        <v>68817</v>
      </c>
      <c r="HI92" s="11" t="n">
        <v>-7993910</v>
      </c>
      <c r="HJ92" s="11" t="n">
        <v>-17240476</v>
      </c>
      <c r="HK92" s="11" t="n">
        <v>-40074132</v>
      </c>
      <c r="HL92" s="11" t="n">
        <v>-3745821</v>
      </c>
      <c r="HM92" s="11" t="n">
        <v>-40904</v>
      </c>
      <c r="HN92" s="11" t="n">
        <v>4376332</v>
      </c>
      <c r="HO92" s="11" t="n">
        <v>653811</v>
      </c>
      <c r="HP92" s="11" t="n">
        <v>9643496</v>
      </c>
      <c r="HQ92" s="11" t="n">
        <v>1429242</v>
      </c>
      <c r="HR92" s="11" t="n">
        <v>1226928</v>
      </c>
      <c r="HS92" s="11" t="n">
        <v>-86291896</v>
      </c>
      <c r="HT92" s="11" t="n">
        <v>-8044162</v>
      </c>
      <c r="HU92" s="11" t="n">
        <v>-24049480</v>
      </c>
      <c r="HV92" s="11" t="n">
        <v>-105021358</v>
      </c>
      <c r="HW92" s="11" t="n">
        <v>-13129617</v>
      </c>
      <c r="HX92" s="11" t="n">
        <v>540049124</v>
      </c>
      <c r="HY92" s="11" t="n">
        <v>-72402464</v>
      </c>
      <c r="HZ92" s="11" t="n">
        <v>-315990332</v>
      </c>
      <c r="IA92" s="11" t="n">
        <v>-145776654</v>
      </c>
      <c r="IB92" s="11" t="n">
        <v>-157260628</v>
      </c>
      <c r="IC92" s="11" t="n">
        <v>-686722306</v>
      </c>
      <c r="ID92" s="11" t="n">
        <v>-95759736</v>
      </c>
      <c r="IE92" s="11" t="n">
        <v>51012</v>
      </c>
      <c r="IF92" s="11" t="n">
        <v>-29611542</v>
      </c>
      <c r="IG92" s="11" t="n">
        <v>-129338103</v>
      </c>
      <c r="IH92" s="11" t="n">
        <v>-3996142</v>
      </c>
      <c r="II92" s="11" t="n">
        <v>-17672120</v>
      </c>
      <c r="IJ92" s="11" t="n">
        <v>-42158338</v>
      </c>
      <c r="IK92" s="11" t="n">
        <v>-4791315</v>
      </c>
      <c r="IL92" s="11" t="n">
        <v>-533680</v>
      </c>
      <c r="IM92" s="11" t="n">
        <v>933480</v>
      </c>
      <c r="IN92" s="11" t="n">
        <v>161379</v>
      </c>
      <c r="IO92" s="11" t="n">
        <v>9758320</v>
      </c>
      <c r="IP92" s="11" t="n">
        <v>1353540</v>
      </c>
      <c r="IQ92" s="11" t="n">
        <v>583281</v>
      </c>
      <c r="IR92" s="11" t="n">
        <v>113952108</v>
      </c>
      <c r="IS92" s="11" t="n">
        <v>278477086</v>
      </c>
      <c r="IT92" s="11" t="n">
        <v>36736818</v>
      </c>
      <c r="IU92" s="11" t="n">
        <v>29340548</v>
      </c>
      <c r="IV92" s="11" t="n">
        <v>25834170</v>
      </c>
      <c r="IW92" s="11" t="n">
        <v>53674707</v>
      </c>
      <c r="IX92" s="11" t="n">
        <v>63808960</v>
      </c>
      <c r="IY92" s="11" t="n">
        <v>9507966</v>
      </c>
      <c r="IZ92" s="11" t="n">
        <v>2664387</v>
      </c>
      <c r="JA92" s="11" t="n">
        <v>-12018054</v>
      </c>
      <c r="JB92" s="11" t="n">
        <v>873090</v>
      </c>
      <c r="JC92" s="11" t="n">
        <v>23778</v>
      </c>
      <c r="JD92" s="11" t="n">
        <v>104800</v>
      </c>
      <c r="JE92" s="11" t="n">
        <v>603944</v>
      </c>
      <c r="JF92" s="11" t="n">
        <v>-937457</v>
      </c>
      <c r="JG92" s="11" t="n">
        <v>-15443334</v>
      </c>
      <c r="JH92" s="11" t="n">
        <v>-23262740</v>
      </c>
      <c r="JI92" s="11" t="n">
        <v>-76247332</v>
      </c>
      <c r="JJ92" s="11" t="n">
        <v>-183916559</v>
      </c>
      <c r="JK92" s="11" t="n">
        <v>1220172</v>
      </c>
      <c r="JL92" s="11" t="n">
        <v>8606100</v>
      </c>
      <c r="JM92" s="11" t="n">
        <v>-21590706</v>
      </c>
      <c r="JN92" s="11" t="n">
        <v>6939344</v>
      </c>
      <c r="JO92" s="11" t="n">
        <v>-47053882</v>
      </c>
      <c r="JP92" s="11" t="n">
        <v>-209089438</v>
      </c>
      <c r="JQ92" s="11" t="n">
        <v>-32598</v>
      </c>
      <c r="JR92" s="11" t="n">
        <v>3200</v>
      </c>
      <c r="JS92" s="11" t="n">
        <v>-154844</v>
      </c>
      <c r="JT92" s="11" t="n">
        <v>-1308268</v>
      </c>
      <c r="JU92" s="11" t="n">
        <v>4000</v>
      </c>
      <c r="JV92" s="11" t="n">
        <v>18332</v>
      </c>
      <c r="JW92" s="11" t="n">
        <v>-70631</v>
      </c>
      <c r="JX92" s="11" t="n">
        <v>-20800</v>
      </c>
      <c r="JY92" s="11" t="n">
        <v>-153600</v>
      </c>
      <c r="JZ92" s="11" t="n">
        <v>-1071230</v>
      </c>
      <c r="KA92" s="11" t="n">
        <v>-925148</v>
      </c>
      <c r="KB92" s="11" t="n">
        <v>-107896</v>
      </c>
      <c r="KC92" s="11" t="n">
        <v>16274047</v>
      </c>
      <c r="KD92" s="11" t="n">
        <v>4405144</v>
      </c>
      <c r="KE92" s="11" t="n">
        <v>35531768</v>
      </c>
      <c r="KF92" s="11" t="n">
        <v>81633702</v>
      </c>
      <c r="KG92" s="11" t="n">
        <v>-507032</v>
      </c>
      <c r="KH92" s="11" t="n">
        <v>7606</v>
      </c>
      <c r="KI92" s="11" t="n">
        <v>-8918186</v>
      </c>
      <c r="KJ92" s="11" t="n">
        <v>-19509580</v>
      </c>
      <c r="KK92" s="11" t="n">
        <v>9922338</v>
      </c>
      <c r="KL92" s="11" t="n">
        <v>23858600</v>
      </c>
      <c r="KM92" s="11" t="n">
        <v>78991894</v>
      </c>
      <c r="KN92" s="11" t="n">
        <v>184335353</v>
      </c>
      <c r="KO92" s="11" t="n">
        <v>-541240</v>
      </c>
      <c r="KP92" s="11" t="n">
        <v>-4712306</v>
      </c>
      <c r="KQ92" s="11" t="n">
        <v>15674090</v>
      </c>
      <c r="KR92" s="11" t="n">
        <v>-7022080</v>
      </c>
      <c r="KS92" s="11" t="n">
        <v>47743940</v>
      </c>
      <c r="KT92" s="11" t="n">
        <v>212326031</v>
      </c>
      <c r="KU92" s="11" t="n">
        <v>-157641892</v>
      </c>
      <c r="KV92" s="11" t="n">
        <v>-530697182</v>
      </c>
      <c r="KW92" s="11" t="n">
        <v>-1170406444</v>
      </c>
      <c r="KX92" s="11" t="n">
        <v>-21089804</v>
      </c>
      <c r="KY92" s="11" t="n">
        <v>114359602</v>
      </c>
      <c r="KZ92" s="11" t="n">
        <v>541568995</v>
      </c>
      <c r="LA92" s="11" t="n">
        <v>-45918844</v>
      </c>
      <c r="LB92" s="11" t="n">
        <v>312866180</v>
      </c>
      <c r="LC92" s="11" t="n">
        <v>1394178338</v>
      </c>
      <c r="LD92" s="11" t="n">
        <v>8544846</v>
      </c>
      <c r="LE92" s="11" t="n">
        <v>-927160</v>
      </c>
      <c r="LF92" s="11" t="n">
        <v>-1189526</v>
      </c>
      <c r="LG92" s="11" t="n">
        <v>7985561</v>
      </c>
      <c r="LH92" s="11" t="n">
        <v>4520880</v>
      </c>
      <c r="LI92" s="11" t="n">
        <v>36426160</v>
      </c>
      <c r="LJ92" s="11" t="n">
        <v>85671974</v>
      </c>
      <c r="LK92" s="11" t="n">
        <v>-375440</v>
      </c>
      <c r="LL92" s="11" t="n">
        <v>1029020</v>
      </c>
      <c r="LM92" s="11" t="n">
        <v>-1913427</v>
      </c>
      <c r="LN92" s="11" t="n">
        <v>-19767800</v>
      </c>
      <c r="LO92" s="11" t="n">
        <v>-30690556</v>
      </c>
      <c r="LP92" s="11" t="n">
        <v>-236235954</v>
      </c>
      <c r="LQ92" s="11" t="n">
        <v>-567421067</v>
      </c>
      <c r="LR92" s="11" t="n">
        <v>-53868484</v>
      </c>
      <c r="LS92" s="11" t="n">
        <v>-129722618</v>
      </c>
    </row>
    <row r="93" customFormat="false" ht="15" hidden="false" customHeight="true" outlineLevel="0" collapsed="false">
      <c r="A93" s="7" t="s">
        <v>159</v>
      </c>
      <c r="B93" s="11" t="n">
        <v>-281690</v>
      </c>
      <c r="C93" s="11" t="n">
        <v>-119555014</v>
      </c>
      <c r="D93" s="11" t="n">
        <v>-1234464</v>
      </c>
      <c r="E93" s="11" t="n">
        <v>33710400</v>
      </c>
      <c r="F93" s="11" t="n">
        <v>868026</v>
      </c>
      <c r="G93" s="11" t="n">
        <v>51994620</v>
      </c>
      <c r="H93" s="11" t="n">
        <v>4996654</v>
      </c>
      <c r="I93" s="11" t="n">
        <v>27172136</v>
      </c>
      <c r="J93" s="11" t="n">
        <v>-432176</v>
      </c>
      <c r="K93" s="11" t="n">
        <v>16584</v>
      </c>
      <c r="L93" s="11" t="n">
        <v>-1260460</v>
      </c>
      <c r="M93" s="11" t="n">
        <v>56264</v>
      </c>
      <c r="N93" s="11" t="n">
        <v>-1884400</v>
      </c>
      <c r="O93" s="11" t="n">
        <v>-55094</v>
      </c>
      <c r="P93" s="11" t="n">
        <v>78694</v>
      </c>
      <c r="Q93" s="11" t="n">
        <v>8932536</v>
      </c>
      <c r="R93" s="11" t="n">
        <v>-586684436</v>
      </c>
      <c r="S93" s="11" t="n">
        <v>22547848</v>
      </c>
      <c r="T93" s="11" t="n">
        <v>-879549488</v>
      </c>
      <c r="U93" s="11" t="n">
        <v>-31049018</v>
      </c>
      <c r="V93" s="11" t="n">
        <v>-8288838</v>
      </c>
      <c r="W93" s="11" t="n">
        <v>-3539136</v>
      </c>
      <c r="X93" s="11" t="n">
        <v>297672</v>
      </c>
      <c r="Y93" s="11" t="n">
        <v>-5197008</v>
      </c>
      <c r="Z93" s="11" t="n">
        <v>52728</v>
      </c>
      <c r="AA93" s="11" t="n">
        <v>1944576</v>
      </c>
      <c r="AB93" s="11" t="n">
        <v>-10617324</v>
      </c>
      <c r="AC93" s="11" t="n">
        <v>-7147080</v>
      </c>
      <c r="AD93" s="11" t="n">
        <v>-15764996</v>
      </c>
      <c r="AE93" s="11" t="n">
        <v>-131002864</v>
      </c>
      <c r="AF93" s="11" t="n">
        <v>16192032</v>
      </c>
      <c r="AG93" s="11" t="n">
        <v>1167790</v>
      </c>
      <c r="AH93" s="11" t="n">
        <v>5184794</v>
      </c>
      <c r="AI93" s="11" t="n">
        <v>-23256428</v>
      </c>
      <c r="AJ93" s="11" t="n">
        <v>-196296772</v>
      </c>
      <c r="AK93" s="11" t="n">
        <v>-6710314</v>
      </c>
      <c r="AL93" s="11" t="n">
        <v>46850503</v>
      </c>
      <c r="AM93" s="11" t="n">
        <v>382173</v>
      </c>
      <c r="AN93" s="11" t="n">
        <v>-15420910</v>
      </c>
      <c r="AO93" s="11" t="n">
        <v>-1099002</v>
      </c>
      <c r="AP93" s="11" t="n">
        <v>-21969670</v>
      </c>
      <c r="AQ93" s="11" t="n">
        <v>-2000703</v>
      </c>
      <c r="AR93" s="11" t="n">
        <v>-10628017</v>
      </c>
      <c r="AS93" s="11" t="n">
        <v>-43113213</v>
      </c>
      <c r="AT93" s="11" t="n">
        <v>-938258066</v>
      </c>
      <c r="AU93" s="11" t="n">
        <v>-322069455</v>
      </c>
      <c r="AV93" s="11" t="n">
        <v>-676666208</v>
      </c>
      <c r="AW93" s="11" t="n">
        <v>-18099052</v>
      </c>
      <c r="AX93" s="11" t="n">
        <v>8504093</v>
      </c>
      <c r="AY93" s="11" t="n">
        <v>-21844416</v>
      </c>
      <c r="AZ93" s="11" t="n">
        <v>-3638547</v>
      </c>
      <c r="BA93" s="11" t="n">
        <v>-25736898</v>
      </c>
      <c r="BB93" s="11" t="n">
        <v>-1988745</v>
      </c>
      <c r="BC93" s="11" t="n">
        <v>-9710844</v>
      </c>
      <c r="BD93" s="11" t="n">
        <v>84000306</v>
      </c>
      <c r="BE93" s="11" t="n">
        <v>-217252980</v>
      </c>
      <c r="BF93" s="11" t="n">
        <v>-34110026</v>
      </c>
      <c r="BG93" s="11" t="n">
        <v>-215642584</v>
      </c>
      <c r="BH93" s="11" t="n">
        <v>-135155478</v>
      </c>
      <c r="BI93" s="11" t="n">
        <v>-13329087</v>
      </c>
      <c r="BJ93" s="11" t="n">
        <v>-73260807</v>
      </c>
      <c r="BK93" s="11" t="n">
        <v>-20409128</v>
      </c>
      <c r="BL93" s="11" t="n">
        <v>-157489282</v>
      </c>
      <c r="BM93" s="11" t="n">
        <v>-4468921</v>
      </c>
      <c r="BN93" s="11" t="n">
        <v>3344580</v>
      </c>
      <c r="BO93" s="11" t="n">
        <v>-233298066</v>
      </c>
      <c r="BP93" s="11" t="n">
        <v>7671676</v>
      </c>
      <c r="BQ93" s="11" t="n">
        <v>-347118648</v>
      </c>
      <c r="BR93" s="11" t="n">
        <v>-12232729</v>
      </c>
      <c r="BS93" s="11" t="n">
        <v>-3217439</v>
      </c>
      <c r="BT93" s="11" t="n">
        <v>-802206</v>
      </c>
      <c r="BU93" s="11" t="n">
        <v>141036</v>
      </c>
      <c r="BV93" s="11" t="n">
        <v>-1263168</v>
      </c>
      <c r="BW93" s="11" t="n">
        <v>43041</v>
      </c>
      <c r="BX93" s="11" t="n">
        <v>732471</v>
      </c>
      <c r="BY93" s="11" t="n">
        <v>-7997764</v>
      </c>
      <c r="BZ93" s="11" t="n">
        <v>4853820</v>
      </c>
      <c r="CA93" s="11" t="n">
        <v>-5936336</v>
      </c>
      <c r="CB93" s="11" t="n">
        <v>-51864544</v>
      </c>
      <c r="CC93" s="11" t="n">
        <v>11740072</v>
      </c>
      <c r="CD93" s="11" t="n">
        <v>614562</v>
      </c>
      <c r="CE93" s="11" t="n">
        <v>1815790</v>
      </c>
      <c r="CF93" s="11" t="n">
        <v>-9087038</v>
      </c>
      <c r="CG93" s="11" t="n">
        <v>-77234962</v>
      </c>
      <c r="CH93" s="11" t="n">
        <v>-2637592</v>
      </c>
      <c r="CI93" s="11" t="n">
        <v>281668446</v>
      </c>
      <c r="CJ93" s="11" t="n">
        <v>15932304</v>
      </c>
      <c r="CK93" s="11" t="n">
        <v>367734888</v>
      </c>
      <c r="CL93" s="11" t="n">
        <v>12548979</v>
      </c>
      <c r="CM93" s="11" t="n">
        <v>2353689</v>
      </c>
      <c r="CN93" s="11" t="n">
        <v>-1757423882</v>
      </c>
      <c r="CO93" s="11" t="n">
        <v>3582073680</v>
      </c>
      <c r="CP93" s="11" t="n">
        <v>154853894</v>
      </c>
      <c r="CQ93" s="11" t="n">
        <v>106781704</v>
      </c>
      <c r="CR93" s="11" t="n">
        <v>2497037816</v>
      </c>
      <c r="CS93" s="11" t="n">
        <v>87056449</v>
      </c>
      <c r="CT93" s="11" t="n">
        <v>20725459</v>
      </c>
      <c r="CU93" s="11" t="n">
        <v>42581312</v>
      </c>
      <c r="CV93" s="11" t="n">
        <v>109477192</v>
      </c>
      <c r="CW93" s="11" t="n">
        <v>3463375</v>
      </c>
      <c r="CX93" s="11" t="n">
        <v>-15698946</v>
      </c>
      <c r="CY93" s="11" t="n">
        <v>18177300</v>
      </c>
      <c r="CZ93" s="11" t="n">
        <v>-6634662</v>
      </c>
      <c r="DA93" s="11" t="n">
        <v>-62250600</v>
      </c>
      <c r="DB93" s="11" t="n">
        <v>21524088</v>
      </c>
      <c r="DC93" s="11" t="n">
        <v>324141</v>
      </c>
      <c r="DD93" s="11" t="n">
        <v>-3389961</v>
      </c>
      <c r="DE93" s="11" t="n">
        <v>-9471786</v>
      </c>
      <c r="DF93" s="11" t="n">
        <v>-81423750</v>
      </c>
      <c r="DG93" s="11" t="n">
        <v>-2717967</v>
      </c>
      <c r="DH93" s="11" t="n">
        <v>86234580</v>
      </c>
      <c r="DI93" s="11" t="n">
        <v>50026748</v>
      </c>
      <c r="DJ93" s="11" t="n">
        <v>394353904</v>
      </c>
      <c r="DK93" s="11" t="n">
        <v>-94368660</v>
      </c>
      <c r="DL93" s="11" t="n">
        <v>-798553200</v>
      </c>
      <c r="DM93" s="11" t="n">
        <v>-31708512</v>
      </c>
      <c r="DN93" s="11" t="n">
        <v>-66808814</v>
      </c>
      <c r="DO93" s="11" t="n">
        <v>-559301242</v>
      </c>
      <c r="DP93" s="11" t="n">
        <v>-18944902</v>
      </c>
      <c r="DQ93" s="11" t="n">
        <v>-6608526</v>
      </c>
      <c r="DR93" s="11" t="n">
        <v>298497</v>
      </c>
      <c r="DS93" s="11" t="n">
        <v>2747</v>
      </c>
      <c r="DT93" s="11" t="n">
        <v>-235520</v>
      </c>
      <c r="DU93" s="11" t="n">
        <v>-5288</v>
      </c>
      <c r="DV93" s="11" t="n">
        <v>-185490</v>
      </c>
      <c r="DW93" s="11" t="n">
        <v>24183</v>
      </c>
      <c r="DX93" s="11" t="n">
        <v>-35493</v>
      </c>
      <c r="DY93" s="11" t="n">
        <v>-142235</v>
      </c>
      <c r="DZ93" s="11" t="n">
        <v>-64237792</v>
      </c>
      <c r="EA93" s="11" t="n">
        <v>-1324519</v>
      </c>
      <c r="EB93" s="11" t="n">
        <v>-23628888</v>
      </c>
      <c r="EC93" s="11" t="n">
        <v>15558540</v>
      </c>
      <c r="ED93" s="11" t="n">
        <v>13729401</v>
      </c>
      <c r="EE93" s="11" t="n">
        <v>-703392</v>
      </c>
      <c r="EF93" s="11" t="n">
        <v>-14709</v>
      </c>
      <c r="EG93" s="11" t="n">
        <v>-305838</v>
      </c>
      <c r="EH93" s="11" t="n">
        <v>154705</v>
      </c>
      <c r="EI93" s="11" t="n">
        <v>109436</v>
      </c>
      <c r="EJ93" s="11" t="n">
        <v>-92928</v>
      </c>
      <c r="EK93" s="11" t="n">
        <v>-21274560</v>
      </c>
      <c r="EL93" s="11" t="n">
        <v>-7071712</v>
      </c>
      <c r="EM93" s="11" t="n">
        <v>-18471008</v>
      </c>
      <c r="EN93" s="11" t="n">
        <v>-404478</v>
      </c>
      <c r="EO93" s="11" t="n">
        <v>-168319</v>
      </c>
      <c r="EP93" s="11" t="n">
        <v>-400715</v>
      </c>
      <c r="EQ93" s="11" t="n">
        <v>-7753968</v>
      </c>
      <c r="ER93" s="11" t="n">
        <v>-11341242</v>
      </c>
      <c r="ES93" s="11" t="n">
        <v>2962299</v>
      </c>
      <c r="ET93" s="11" t="n">
        <v>21788</v>
      </c>
      <c r="EU93" s="11" t="n">
        <v>-1697006</v>
      </c>
      <c r="EV93" s="11" t="n">
        <v>51508</v>
      </c>
      <c r="EW93" s="11" t="n">
        <v>-2281416</v>
      </c>
      <c r="EX93" s="11" t="n">
        <v>-21279</v>
      </c>
      <c r="EY93" s="11" t="n">
        <v>28935</v>
      </c>
      <c r="EZ93" s="11" t="n">
        <v>1574</v>
      </c>
      <c r="FA93" s="11" t="n">
        <v>860</v>
      </c>
      <c r="FB93" s="11" t="n">
        <v>-7456</v>
      </c>
      <c r="FC93" s="11" t="n">
        <v>-1961</v>
      </c>
      <c r="FD93" s="11" t="n">
        <v>2857</v>
      </c>
      <c r="FE93" s="11" t="n">
        <v>-70704</v>
      </c>
      <c r="FF93" s="11" t="n">
        <v>745540</v>
      </c>
      <c r="FG93" s="11" t="n">
        <v>154274</v>
      </c>
      <c r="FH93" s="11" t="n">
        <v>-224614</v>
      </c>
      <c r="FI93" s="11" t="n">
        <v>72424</v>
      </c>
      <c r="FJ93" s="11" t="n">
        <v>-3796</v>
      </c>
      <c r="FK93" s="11" t="n">
        <v>5612</v>
      </c>
      <c r="FL93" s="11" t="n">
        <v>198054</v>
      </c>
      <c r="FM93" s="11" t="n">
        <v>-289254</v>
      </c>
      <c r="FN93" s="11" t="n">
        <v>-186</v>
      </c>
      <c r="FO93" s="11" t="n">
        <v>5497498</v>
      </c>
      <c r="FP93" s="11" t="n">
        <v>72136</v>
      </c>
      <c r="FQ93" s="11" t="n">
        <v>2811832</v>
      </c>
      <c r="FR93" s="11" t="n">
        <v>-1125515</v>
      </c>
      <c r="FS93" s="11" t="n">
        <v>-1015929</v>
      </c>
      <c r="FT93" s="11" t="n">
        <v>-18614850</v>
      </c>
      <c r="FU93" s="11" t="n">
        <v>356635952</v>
      </c>
      <c r="FV93" s="11" t="n">
        <v>93032264</v>
      </c>
      <c r="FW93" s="11" t="n">
        <v>71827038</v>
      </c>
      <c r="FX93" s="11" t="n">
        <v>14200664</v>
      </c>
      <c r="FY93" s="11" t="n">
        <v>-2590327</v>
      </c>
      <c r="FZ93" s="11" t="n">
        <v>-2497509</v>
      </c>
      <c r="GA93" s="11" t="n">
        <v>120598536</v>
      </c>
      <c r="GB93" s="11" t="n">
        <v>102643488</v>
      </c>
      <c r="GC93" s="11" t="n">
        <v>2486907</v>
      </c>
      <c r="GD93" s="11" t="n">
        <v>-211782</v>
      </c>
      <c r="GE93" s="11" t="n">
        <v>2084412</v>
      </c>
      <c r="GF93" s="11" t="n">
        <v>413486</v>
      </c>
      <c r="GG93" s="11" t="n">
        <v>-794264</v>
      </c>
      <c r="GH93" s="11" t="n">
        <v>135672</v>
      </c>
      <c r="GI93" s="11" t="n">
        <v>-37933</v>
      </c>
      <c r="GJ93" s="11" t="n">
        <v>-49559</v>
      </c>
      <c r="GK93" s="11" t="n">
        <v>638234</v>
      </c>
      <c r="GL93" s="11" t="n">
        <v>-21050</v>
      </c>
      <c r="GM93" s="11" t="n">
        <v>239023</v>
      </c>
      <c r="GN93" s="11" t="n">
        <v>6680868</v>
      </c>
      <c r="GO93" s="11" t="n">
        <v>2183826</v>
      </c>
      <c r="GP93" s="11" t="n">
        <v>5456442</v>
      </c>
      <c r="GQ93" s="11" t="n">
        <v>-8449952</v>
      </c>
      <c r="GR93" s="11" t="n">
        <v>-78759508</v>
      </c>
      <c r="GS93" s="11" t="n">
        <v>-18843418</v>
      </c>
      <c r="GT93" s="11" t="n">
        <v>-2595638</v>
      </c>
      <c r="GU93" s="11" t="n">
        <v>-5058898</v>
      </c>
      <c r="GV93" s="11" t="n">
        <v>466286</v>
      </c>
      <c r="GW93" s="11" t="n">
        <v>-24201006</v>
      </c>
      <c r="GX93" s="11" t="n">
        <v>-51904</v>
      </c>
      <c r="GY93" s="11" t="n">
        <v>22830541</v>
      </c>
      <c r="GZ93" s="11" t="n">
        <v>-285077</v>
      </c>
      <c r="HA93" s="11" t="n">
        <v>7570092</v>
      </c>
      <c r="HB93" s="11" t="n">
        <v>-6142176</v>
      </c>
      <c r="HC93" s="11" t="n">
        <v>-5358963</v>
      </c>
      <c r="HD93" s="11" t="n">
        <v>169151</v>
      </c>
      <c r="HE93" s="11" t="n">
        <v>-3543</v>
      </c>
      <c r="HF93" s="11" t="n">
        <v>37412</v>
      </c>
      <c r="HG93" s="11" t="n">
        <v>-52320</v>
      </c>
      <c r="HH93" s="11" t="n">
        <v>-55489</v>
      </c>
      <c r="HI93" s="11" t="n">
        <v>629384</v>
      </c>
      <c r="HJ93" s="11" t="n">
        <v>8214250</v>
      </c>
      <c r="HK93" s="11" t="n">
        <v>2996661</v>
      </c>
      <c r="HL93" s="11" t="n">
        <v>6943009</v>
      </c>
      <c r="HM93" s="11" t="n">
        <v>-311258</v>
      </c>
      <c r="HN93" s="11" t="n">
        <v>131907</v>
      </c>
      <c r="HO93" s="11" t="n">
        <v>61039</v>
      </c>
      <c r="HP93" s="11" t="n">
        <v>3203532</v>
      </c>
      <c r="HQ93" s="11" t="n">
        <v>4230258</v>
      </c>
      <c r="HR93" s="11" t="n">
        <v>-1164501</v>
      </c>
      <c r="HS93" s="11" t="n">
        <v>-22048799</v>
      </c>
      <c r="HT93" s="11" t="n">
        <v>-94473</v>
      </c>
      <c r="HU93" s="11" t="n">
        <v>-7715876</v>
      </c>
      <c r="HV93" s="11" t="n">
        <v>5632160</v>
      </c>
      <c r="HW93" s="11" t="n">
        <v>4940897</v>
      </c>
      <c r="HX93" s="11" t="n">
        <v>162655579</v>
      </c>
      <c r="HY93" s="11" t="n">
        <v>178140152</v>
      </c>
      <c r="HZ93" s="11" t="n">
        <v>131826916</v>
      </c>
      <c r="IA93" s="11" t="n">
        <v>103177915</v>
      </c>
      <c r="IB93" s="11" t="n">
        <v>-56157292</v>
      </c>
      <c r="IC93" s="11" t="n">
        <v>42113692</v>
      </c>
      <c r="ID93" s="11" t="n">
        <v>36891442</v>
      </c>
      <c r="IE93" s="11" t="n">
        <v>91636464</v>
      </c>
      <c r="IF93" s="11" t="n">
        <v>76025916</v>
      </c>
      <c r="IG93" s="11" t="n">
        <v>3185148</v>
      </c>
      <c r="IH93" s="11" t="n">
        <v>1812945</v>
      </c>
      <c r="II93" s="11" t="n">
        <v>9252822</v>
      </c>
      <c r="IJ93" s="11" t="n">
        <v>3870755</v>
      </c>
      <c r="IK93" s="11" t="n">
        <v>7469716</v>
      </c>
      <c r="IL93" s="11" t="n">
        <v>-594786</v>
      </c>
      <c r="IM93" s="11" t="n">
        <v>479685</v>
      </c>
      <c r="IN93" s="11" t="n">
        <v>438267</v>
      </c>
      <c r="IO93" s="11" t="n">
        <v>3718100</v>
      </c>
      <c r="IP93" s="11" t="n">
        <v>4687450</v>
      </c>
      <c r="IQ93" s="11" t="n">
        <v>-1040675</v>
      </c>
      <c r="IR93" s="11" t="n">
        <v>-53611302</v>
      </c>
      <c r="IS93" s="11" t="n">
        <v>-17715475</v>
      </c>
      <c r="IT93" s="11" t="n">
        <v>-46620911</v>
      </c>
      <c r="IU93" s="11" t="n">
        <v>24048208</v>
      </c>
      <c r="IV93" s="11" t="n">
        <v>-17051698</v>
      </c>
      <c r="IW93" s="11" t="n">
        <v>-26547169</v>
      </c>
      <c r="IX93" s="11" t="n">
        <v>19996996</v>
      </c>
      <c r="IY93" s="11" t="n">
        <v>28255424</v>
      </c>
      <c r="IZ93" s="11" t="n">
        <v>-8052778</v>
      </c>
      <c r="JA93" s="11" t="n">
        <v>-19034700</v>
      </c>
      <c r="JB93" s="11" t="n">
        <v>1371372</v>
      </c>
      <c r="JC93" s="11" t="n">
        <v>-11852</v>
      </c>
      <c r="JD93" s="11" t="n">
        <v>155856</v>
      </c>
      <c r="JE93" s="11" t="n">
        <v>-452032</v>
      </c>
      <c r="JF93" s="11" t="n">
        <v>-386132</v>
      </c>
      <c r="JG93" s="11" t="n">
        <v>-2318878</v>
      </c>
      <c r="JH93" s="11" t="n">
        <v>131456832</v>
      </c>
      <c r="JI93" s="11" t="n">
        <v>36546835</v>
      </c>
      <c r="JJ93" s="11" t="n">
        <v>28253519</v>
      </c>
      <c r="JK93" s="11" t="n">
        <v>-872568</v>
      </c>
      <c r="JL93" s="11" t="n">
        <v>-1080203</v>
      </c>
      <c r="JM93" s="11" t="n">
        <v>-897097</v>
      </c>
      <c r="JN93" s="11" t="n">
        <v>47484372</v>
      </c>
      <c r="JO93" s="11" t="n">
        <v>40224804</v>
      </c>
      <c r="JP93" s="11" t="n">
        <v>977421</v>
      </c>
      <c r="JQ93" s="11" t="n">
        <v>-54986</v>
      </c>
      <c r="JR93" s="11" t="n">
        <v>480552</v>
      </c>
      <c r="JS93" s="11" t="n">
        <v>90773</v>
      </c>
      <c r="JT93" s="11" t="n">
        <v>-207719</v>
      </c>
      <c r="JU93" s="11" t="n">
        <v>2096</v>
      </c>
      <c r="JV93" s="11" t="n">
        <v>-18909</v>
      </c>
      <c r="JW93" s="11" t="n">
        <v>-13687</v>
      </c>
      <c r="JX93" s="11" t="n">
        <v>168716</v>
      </c>
      <c r="JY93" s="11" t="n">
        <v>111700</v>
      </c>
      <c r="JZ93" s="11" t="n">
        <v>94027</v>
      </c>
      <c r="KA93" s="11" t="n">
        <v>4458268</v>
      </c>
      <c r="KB93" s="11" t="n">
        <v>1311878</v>
      </c>
      <c r="KC93" s="11" t="n">
        <v>1484078</v>
      </c>
      <c r="KD93" s="11" t="n">
        <v>-4105322</v>
      </c>
      <c r="KE93" s="11" t="n">
        <v>-29812018</v>
      </c>
      <c r="KF93" s="11" t="n">
        <v>-7405816</v>
      </c>
      <c r="KG93" s="11" t="n">
        <v>-1583150</v>
      </c>
      <c r="KH93" s="11" t="n">
        <v>-1166314</v>
      </c>
      <c r="KI93" s="11" t="n">
        <v>183806</v>
      </c>
      <c r="KJ93" s="11" t="n">
        <v>-9512394</v>
      </c>
      <c r="KK93" s="11" t="n">
        <v>-7530826</v>
      </c>
      <c r="KL93" s="11" t="n">
        <v>-137656032</v>
      </c>
      <c r="KM93" s="11" t="n">
        <v>-43213937</v>
      </c>
      <c r="KN93" s="11" t="n">
        <v>-33483721</v>
      </c>
      <c r="KO93" s="11" t="n">
        <v>2045560</v>
      </c>
      <c r="KP93" s="11" t="n">
        <v>-2108839</v>
      </c>
      <c r="KQ93" s="11" t="n">
        <v>-1831045</v>
      </c>
      <c r="KR93" s="11" t="n">
        <v>-50285468</v>
      </c>
      <c r="KS93" s="11" t="n">
        <v>-42564700</v>
      </c>
      <c r="KT93" s="11" t="n">
        <v>-1130671</v>
      </c>
      <c r="KU93" s="11" t="n">
        <v>954654224</v>
      </c>
      <c r="KV93" s="11" t="n">
        <v>273766493</v>
      </c>
      <c r="KW93" s="11" t="n">
        <v>211771131</v>
      </c>
      <c r="KX93" s="11" t="n">
        <v>-473886712</v>
      </c>
      <c r="KY93" s="11" t="n">
        <v>-373637912</v>
      </c>
      <c r="KZ93" s="11" t="n">
        <v>-2025881</v>
      </c>
      <c r="LA93" s="11" t="n">
        <v>-341691316</v>
      </c>
      <c r="LB93" s="11" t="n">
        <v>-289636940</v>
      </c>
      <c r="LC93" s="11" t="n">
        <v>-7261826</v>
      </c>
      <c r="LD93" s="11" t="n">
        <v>10041612</v>
      </c>
      <c r="LE93" s="11" t="n">
        <v>8158332</v>
      </c>
      <c r="LF93" s="11" t="n">
        <v>2231165</v>
      </c>
      <c r="LG93" s="11" t="n">
        <v>201871</v>
      </c>
      <c r="LH93" s="11" t="n">
        <v>-6031254</v>
      </c>
      <c r="LI93" s="11" t="n">
        <v>-32583750</v>
      </c>
      <c r="LJ93" s="11" t="n">
        <v>-8761863</v>
      </c>
      <c r="LK93" s="11" t="n">
        <v>-2890598</v>
      </c>
      <c r="LL93" s="11" t="n">
        <v>-2038450</v>
      </c>
      <c r="LM93" s="11" t="n">
        <v>-485956</v>
      </c>
      <c r="LN93" s="11" t="n">
        <v>-10037850</v>
      </c>
      <c r="LO93" s="11" t="n">
        <v>13741766</v>
      </c>
      <c r="LP93" s="11" t="n">
        <v>203826538</v>
      </c>
      <c r="LQ93" s="11" t="n">
        <v>55403062</v>
      </c>
      <c r="LR93" s="11" t="n">
        <v>-95800386</v>
      </c>
      <c r="LS93" s="11" t="n">
        <v>-68784732</v>
      </c>
    </row>
    <row r="94" customFormat="false" ht="15" hidden="false" customHeight="true" outlineLevel="0" collapsed="false">
      <c r="A94" s="7" t="s">
        <v>160</v>
      </c>
      <c r="B94" s="11" t="n">
        <v>368390</v>
      </c>
      <c r="C94" s="11" t="n">
        <v>-267566</v>
      </c>
      <c r="D94" s="11" t="n">
        <v>-836616</v>
      </c>
      <c r="E94" s="11" t="n">
        <v>7584600</v>
      </c>
      <c r="F94" s="11" t="n">
        <v>-2028806</v>
      </c>
      <c r="G94" s="11" t="n">
        <v>151246780</v>
      </c>
      <c r="H94" s="11" t="n">
        <v>-30299274</v>
      </c>
      <c r="I94" s="11" t="n">
        <v>51751784</v>
      </c>
      <c r="J94" s="11" t="n">
        <v>1006376</v>
      </c>
      <c r="K94" s="11" t="n">
        <v>-14784</v>
      </c>
      <c r="L94" s="11" t="n">
        <v>1502860</v>
      </c>
      <c r="M94" s="11" t="n">
        <v>-71064</v>
      </c>
      <c r="N94" s="11" t="n">
        <v>1846800</v>
      </c>
      <c r="O94" s="11" t="n">
        <v>138994</v>
      </c>
      <c r="P94" s="11" t="n">
        <v>-348794</v>
      </c>
      <c r="Q94" s="11" t="n">
        <v>2296224</v>
      </c>
      <c r="R94" s="11" t="n">
        <v>-21811324</v>
      </c>
      <c r="S94" s="11" t="n">
        <v>5593952</v>
      </c>
      <c r="T94" s="11" t="n">
        <v>-414520672</v>
      </c>
      <c r="U94" s="11" t="n">
        <v>82671278</v>
      </c>
      <c r="V94" s="11" t="n">
        <v>-141123342</v>
      </c>
      <c r="W94" s="11" t="n">
        <v>-3108624</v>
      </c>
      <c r="X94" s="11" t="n">
        <v>79968</v>
      </c>
      <c r="Y94" s="11" t="n">
        <v>1875648</v>
      </c>
      <c r="Z94" s="11" t="n">
        <v>-1531608</v>
      </c>
      <c r="AA94" s="11" t="n">
        <v>2868984</v>
      </c>
      <c r="AB94" s="11" t="n">
        <v>6813484</v>
      </c>
      <c r="AC94" s="11" t="n">
        <v>-578993720</v>
      </c>
      <c r="AD94" s="11" t="n">
        <v>126468636</v>
      </c>
      <c r="AE94" s="11" t="n">
        <v>-218304376</v>
      </c>
      <c r="AF94" s="11" t="n">
        <v>19005408</v>
      </c>
      <c r="AG94" s="11" t="n">
        <v>-6610330</v>
      </c>
      <c r="AH94" s="11" t="n">
        <v>11904026</v>
      </c>
      <c r="AI94" s="11" t="n">
        <v>208960868</v>
      </c>
      <c r="AJ94" s="11" t="n">
        <v>-402641668</v>
      </c>
      <c r="AK94" s="11" t="n">
        <v>9161534</v>
      </c>
      <c r="AL94" s="11" t="n">
        <v>947390</v>
      </c>
      <c r="AM94" s="11" t="n">
        <v>473880</v>
      </c>
      <c r="AN94" s="11" t="n">
        <v>-359075</v>
      </c>
      <c r="AO94" s="11" t="n">
        <v>1792250</v>
      </c>
      <c r="AP94" s="11" t="n">
        <v>-58364070</v>
      </c>
      <c r="AQ94" s="11" t="n">
        <v>12057110</v>
      </c>
      <c r="AR94" s="11" t="n">
        <v>-20775945</v>
      </c>
      <c r="AS94" s="11" t="n">
        <v>1807344</v>
      </c>
      <c r="AT94" s="11" t="n">
        <v>-19244545</v>
      </c>
      <c r="AU94" s="11" t="n">
        <v>3915756</v>
      </c>
      <c r="AV94" s="11" t="n">
        <v>-346571422</v>
      </c>
      <c r="AW94" s="11" t="n">
        <v>69163540</v>
      </c>
      <c r="AX94" s="11" t="n">
        <v>-118000451</v>
      </c>
      <c r="AY94" s="11" t="n">
        <v>-8941020</v>
      </c>
      <c r="AZ94" s="11" t="n">
        <v>-1460448</v>
      </c>
      <c r="BA94" s="11" t="n">
        <v>-62011752</v>
      </c>
      <c r="BB94" s="11" t="n">
        <v>11593824</v>
      </c>
      <c r="BC94" s="11" t="n">
        <v>-19388820</v>
      </c>
      <c r="BD94" s="11" t="n">
        <v>34922245</v>
      </c>
      <c r="BE94" s="11" t="n">
        <v>-1054206650</v>
      </c>
      <c r="BF94" s="11" t="n">
        <v>218704755</v>
      </c>
      <c r="BG94" s="11" t="n">
        <v>-377302480</v>
      </c>
      <c r="BH94" s="11" t="n">
        <v>-414405022</v>
      </c>
      <c r="BI94" s="11" t="n">
        <v>81007456</v>
      </c>
      <c r="BJ94" s="11" t="n">
        <v>-137359247</v>
      </c>
      <c r="BK94" s="11" t="n">
        <v>149868658</v>
      </c>
      <c r="BL94" s="11" t="n">
        <v>-330763698</v>
      </c>
      <c r="BM94" s="11" t="n">
        <v>14981671</v>
      </c>
      <c r="BN94" s="11" t="n">
        <v>1332576</v>
      </c>
      <c r="BO94" s="11" t="n">
        <v>-4845840</v>
      </c>
      <c r="BP94" s="11" t="n">
        <v>5078864</v>
      </c>
      <c r="BQ94" s="11" t="n">
        <v>-164189688</v>
      </c>
      <c r="BR94" s="11" t="n">
        <v>32580430</v>
      </c>
      <c r="BS94" s="11" t="n">
        <v>-55859194</v>
      </c>
      <c r="BT94" s="11" t="n">
        <v>-1918800</v>
      </c>
      <c r="BU94" s="11" t="n">
        <v>19488</v>
      </c>
      <c r="BV94" s="11" t="n">
        <v>-33408</v>
      </c>
      <c r="BW94" s="11" t="n">
        <v>-662664</v>
      </c>
      <c r="BX94" s="11" t="n">
        <v>1282440</v>
      </c>
      <c r="BY94" s="11" t="n">
        <v>7242280</v>
      </c>
      <c r="BZ94" s="11" t="n">
        <v>-236298180</v>
      </c>
      <c r="CA94" s="11" t="n">
        <v>49322885</v>
      </c>
      <c r="CB94" s="11" t="n">
        <v>-85096175</v>
      </c>
      <c r="CC94" s="11" t="n">
        <v>2273832</v>
      </c>
      <c r="CD94" s="11" t="n">
        <v>-3002086</v>
      </c>
      <c r="CE94" s="11" t="n">
        <v>5704682</v>
      </c>
      <c r="CF94" s="11" t="n">
        <v>82465122</v>
      </c>
      <c r="CG94" s="11" t="n">
        <v>-159412722</v>
      </c>
      <c r="CH94" s="11" t="n">
        <v>3576959</v>
      </c>
      <c r="CI94" s="11" t="n">
        <v>17824464</v>
      </c>
      <c r="CJ94" s="11" t="n">
        <v>4181184</v>
      </c>
      <c r="CK94" s="11" t="n">
        <v>174252960</v>
      </c>
      <c r="CL94" s="11" t="n">
        <v>-35129808</v>
      </c>
      <c r="CM94" s="11" t="n">
        <v>59413536</v>
      </c>
      <c r="CN94" s="11" t="n">
        <v>-83139256</v>
      </c>
      <c r="CO94" s="11" t="n">
        <v>1562530932</v>
      </c>
      <c r="CP94" s="11" t="n">
        <v>-308046425</v>
      </c>
      <c r="CQ94" s="11" t="n">
        <v>531115451</v>
      </c>
      <c r="CR94" s="11" t="n">
        <v>1179305632</v>
      </c>
      <c r="CS94" s="11" t="n">
        <v>-236117332</v>
      </c>
      <c r="CT94" s="11" t="n">
        <v>401711300</v>
      </c>
      <c r="CU94" s="11" t="n">
        <v>68075554</v>
      </c>
      <c r="CV94" s="11" t="n">
        <v>-16104178</v>
      </c>
      <c r="CW94" s="11" t="n">
        <v>-19964497</v>
      </c>
      <c r="CX94" s="11" t="n">
        <v>-6281232</v>
      </c>
      <c r="CY94" s="11" t="n">
        <v>-250463088</v>
      </c>
      <c r="CZ94" s="11" t="n">
        <v>59447796</v>
      </c>
      <c r="DA94" s="11" t="n">
        <v>-102704460</v>
      </c>
      <c r="DB94" s="11" t="n">
        <v>2653152</v>
      </c>
      <c r="DC94" s="11" t="n">
        <v>1565472</v>
      </c>
      <c r="DD94" s="11" t="n">
        <v>-3154992</v>
      </c>
      <c r="DE94" s="11" t="n">
        <v>87533304</v>
      </c>
      <c r="DF94" s="11" t="n">
        <v>-169186488</v>
      </c>
      <c r="DG94" s="11" t="n">
        <v>4262916</v>
      </c>
      <c r="DH94" s="11" t="n">
        <v>1718869868</v>
      </c>
      <c r="DI94" s="11" t="n">
        <v>-385838059</v>
      </c>
      <c r="DJ94" s="11" t="n">
        <v>666209753</v>
      </c>
      <c r="DK94" s="11" t="n">
        <v>882762098</v>
      </c>
      <c r="DL94" s="11" t="n">
        <v>-1540247138</v>
      </c>
      <c r="DM94" s="11" t="n">
        <v>3596111</v>
      </c>
      <c r="DN94" s="11" t="n">
        <v>591369602</v>
      </c>
      <c r="DO94" s="11" t="n">
        <v>-1144771666</v>
      </c>
      <c r="DP94" s="11" t="n">
        <v>27762591</v>
      </c>
      <c r="DQ94" s="11" t="n">
        <v>-58006544</v>
      </c>
      <c r="DR94" s="11" t="n">
        <v>17724</v>
      </c>
      <c r="DS94" s="11" t="n">
        <v>2794</v>
      </c>
      <c r="DT94" s="11" t="n">
        <v>173375</v>
      </c>
      <c r="DU94" s="11" t="n">
        <v>9244</v>
      </c>
      <c r="DV94" s="11" t="n">
        <v>-328690</v>
      </c>
      <c r="DW94" s="11" t="n">
        <v>30296</v>
      </c>
      <c r="DX94" s="11" t="n">
        <v>-181021</v>
      </c>
      <c r="DY94" s="11" t="n">
        <v>38222</v>
      </c>
      <c r="DZ94" s="11" t="n">
        <v>-490835</v>
      </c>
      <c r="EA94" s="11" t="n">
        <v>90896</v>
      </c>
      <c r="EB94" s="11" t="n">
        <v>-7038062</v>
      </c>
      <c r="EC94" s="11" t="n">
        <v>1435756</v>
      </c>
      <c r="ED94" s="11" t="n">
        <v>-2358407</v>
      </c>
      <c r="EE94" s="11" t="n">
        <v>-451260</v>
      </c>
      <c r="EF94" s="11" t="n">
        <v>-5606</v>
      </c>
      <c r="EG94" s="11" t="n">
        <v>-400652</v>
      </c>
      <c r="EH94" s="11" t="n">
        <v>160998</v>
      </c>
      <c r="EI94" s="11" t="n">
        <v>18596</v>
      </c>
      <c r="EJ94" s="11" t="n">
        <v>1145135</v>
      </c>
      <c r="EK94" s="11" t="n">
        <v>-77948350</v>
      </c>
      <c r="EL94" s="11" t="n">
        <v>14883465</v>
      </c>
      <c r="EM94" s="11" t="n">
        <v>-28082840</v>
      </c>
      <c r="EN94" s="11" t="n">
        <v>-1985062</v>
      </c>
      <c r="EO94" s="11" t="n">
        <v>593452</v>
      </c>
      <c r="EP94" s="11" t="n">
        <v>-301683</v>
      </c>
      <c r="EQ94" s="11" t="n">
        <v>-14595662</v>
      </c>
      <c r="ER94" s="11" t="n">
        <v>-28145578</v>
      </c>
      <c r="ES94" s="11" t="n">
        <v>10632571</v>
      </c>
      <c r="ET94" s="11" t="n">
        <v>8344</v>
      </c>
      <c r="EU94" s="11" t="n">
        <v>401324</v>
      </c>
      <c r="EV94" s="11" t="n">
        <v>28672</v>
      </c>
      <c r="EW94" s="11" t="n">
        <v>-986776</v>
      </c>
      <c r="EX94" s="11" t="n">
        <v>76076</v>
      </c>
      <c r="EY94" s="11" t="n">
        <v>-477736</v>
      </c>
      <c r="EZ94" s="11" t="n">
        <v>-18356</v>
      </c>
      <c r="FA94" s="11" t="n">
        <v>168</v>
      </c>
      <c r="FB94" s="11" t="n">
        <v>-816</v>
      </c>
      <c r="FC94" s="11" t="n">
        <v>-2270</v>
      </c>
      <c r="FD94" s="11" t="n">
        <v>9910</v>
      </c>
      <c r="FE94" s="11" t="n">
        <v>71156</v>
      </c>
      <c r="FF94" s="11" t="n">
        <v>-2210060</v>
      </c>
      <c r="FG94" s="11" t="n">
        <v>58179</v>
      </c>
      <c r="FH94" s="11" t="n">
        <v>-574329</v>
      </c>
      <c r="FI94" s="11" t="n">
        <v>17064</v>
      </c>
      <c r="FJ94" s="11" t="n">
        <v>-9332</v>
      </c>
      <c r="FK94" s="11" t="n">
        <v>43672</v>
      </c>
      <c r="FL94" s="11" t="n">
        <v>275894</v>
      </c>
      <c r="FM94" s="11" t="n">
        <v>-1218694</v>
      </c>
      <c r="FN94" s="11" t="n">
        <v>-39615</v>
      </c>
      <c r="FO94" s="11" t="n">
        <v>1096532</v>
      </c>
      <c r="FP94" s="11" t="n">
        <v>19040</v>
      </c>
      <c r="FQ94" s="11" t="n">
        <v>1185344</v>
      </c>
      <c r="FR94" s="11" t="n">
        <v>-511858</v>
      </c>
      <c r="FS94" s="11" t="n">
        <v>80034</v>
      </c>
      <c r="FT94" s="11" t="n">
        <v>-2852176</v>
      </c>
      <c r="FU94" s="11" t="n">
        <v>186689652</v>
      </c>
      <c r="FV94" s="11" t="n">
        <v>-34616571</v>
      </c>
      <c r="FW94" s="11" t="n">
        <v>66631397</v>
      </c>
      <c r="FX94" s="11" t="n">
        <v>6324832</v>
      </c>
      <c r="FY94" s="11" t="n">
        <v>-1932464</v>
      </c>
      <c r="FZ94" s="11" t="n">
        <v>1365152</v>
      </c>
      <c r="GA94" s="11" t="n">
        <v>49725906</v>
      </c>
      <c r="GB94" s="11" t="n">
        <v>58401950</v>
      </c>
      <c r="GC94" s="11" t="n">
        <v>-28576741</v>
      </c>
      <c r="GD94" s="11" t="n">
        <v>-63964</v>
      </c>
      <c r="GE94" s="11" t="n">
        <v>-2500408</v>
      </c>
      <c r="GF94" s="11" t="n">
        <v>1424352</v>
      </c>
      <c r="GG94" s="11" t="n">
        <v>-1478396</v>
      </c>
      <c r="GH94" s="11" t="n">
        <v>25728</v>
      </c>
      <c r="GI94" s="11" t="n">
        <v>-5126</v>
      </c>
      <c r="GJ94" s="11" t="n">
        <v>-21002</v>
      </c>
      <c r="GK94" s="11" t="n">
        <v>372532</v>
      </c>
      <c r="GL94" s="11" t="n">
        <v>-1415636</v>
      </c>
      <c r="GM94" s="11" t="n">
        <v>586150</v>
      </c>
      <c r="GN94" s="11" t="n">
        <v>17393948</v>
      </c>
      <c r="GO94" s="11" t="n">
        <v>-5724153</v>
      </c>
      <c r="GP94" s="11" t="n">
        <v>7732247</v>
      </c>
      <c r="GQ94" s="11" t="n">
        <v>163566798</v>
      </c>
      <c r="GR94" s="11" t="n">
        <v>-99765038</v>
      </c>
      <c r="GS94" s="11" t="n">
        <v>-39879879</v>
      </c>
      <c r="GT94" s="11" t="n">
        <v>908474</v>
      </c>
      <c r="GU94" s="11" t="n">
        <v>-8821258</v>
      </c>
      <c r="GV94" s="11" t="n">
        <v>2499127</v>
      </c>
      <c r="GW94" s="11" t="n">
        <v>-77741464</v>
      </c>
      <c r="GX94" s="11" t="n">
        <v>-15614</v>
      </c>
      <c r="GY94" s="11" t="n">
        <v>463145</v>
      </c>
      <c r="GZ94" s="11" t="n">
        <v>-62456</v>
      </c>
      <c r="HA94" s="11" t="n">
        <v>1962722</v>
      </c>
      <c r="HB94" s="11" t="n">
        <v>-502180</v>
      </c>
      <c r="HC94" s="11" t="n">
        <v>534041</v>
      </c>
      <c r="HD94" s="11" t="n">
        <v>225745</v>
      </c>
      <c r="HE94" s="11" t="n">
        <v>-1702</v>
      </c>
      <c r="HF94" s="11" t="n">
        <v>19842</v>
      </c>
      <c r="HG94" s="11" t="n">
        <v>-52474</v>
      </c>
      <c r="HH94" s="11" t="n">
        <v>-75285</v>
      </c>
      <c r="HI94" s="11" t="n">
        <v>-852495</v>
      </c>
      <c r="HJ94" s="11" t="n">
        <v>27788200</v>
      </c>
      <c r="HK94" s="11" t="n">
        <v>-5703955</v>
      </c>
      <c r="HL94" s="11" t="n">
        <v>9954205</v>
      </c>
      <c r="HM94" s="11" t="n">
        <v>-134578</v>
      </c>
      <c r="HN94" s="11" t="n">
        <v>-155156</v>
      </c>
      <c r="HO94" s="11" t="n">
        <v>-359353</v>
      </c>
      <c r="HP94" s="11" t="n">
        <v>5957962</v>
      </c>
      <c r="HQ94" s="11" t="n">
        <v>10142178</v>
      </c>
      <c r="HR94" s="11" t="n">
        <v>-4216081</v>
      </c>
      <c r="HS94" s="11" t="n">
        <v>566375</v>
      </c>
      <c r="HT94" s="11" t="n">
        <v>-54612</v>
      </c>
      <c r="HU94" s="11" t="n">
        <v>-1967566</v>
      </c>
      <c r="HV94" s="11" t="n">
        <v>181876</v>
      </c>
      <c r="HW94" s="11" t="n">
        <v>-925979</v>
      </c>
      <c r="HX94" s="11" t="n">
        <v>-645590</v>
      </c>
      <c r="HY94" s="11" t="n">
        <v>129557130</v>
      </c>
      <c r="HZ94" s="11" t="n">
        <v>-23610680</v>
      </c>
      <c r="IA94" s="11" t="n">
        <v>46838095</v>
      </c>
      <c r="IB94" s="11" t="n">
        <v>-14735140</v>
      </c>
      <c r="IC94" s="11" t="n">
        <v>2483944</v>
      </c>
      <c r="ID94" s="11" t="n">
        <v>-5571794</v>
      </c>
      <c r="IE94" s="11" t="n">
        <v>40418872</v>
      </c>
      <c r="IF94" s="11" t="n">
        <v>49101988</v>
      </c>
      <c r="IG94" s="11" t="n">
        <v>-23560836</v>
      </c>
      <c r="IH94" s="11" t="n">
        <v>727835</v>
      </c>
      <c r="II94" s="11" t="n">
        <v>29166530</v>
      </c>
      <c r="IJ94" s="11" t="n">
        <v>-4532955</v>
      </c>
      <c r="IK94" s="11" t="n">
        <v>10656820</v>
      </c>
      <c r="IL94" s="11" t="n">
        <v>-283874</v>
      </c>
      <c r="IM94" s="11" t="n">
        <v>203360</v>
      </c>
      <c r="IN94" s="11" t="n">
        <v>162383</v>
      </c>
      <c r="IO94" s="11" t="n">
        <v>6381278</v>
      </c>
      <c r="IP94" s="11" t="n">
        <v>10663602</v>
      </c>
      <c r="IQ94" s="11" t="n">
        <v>-3988879</v>
      </c>
      <c r="IR94" s="11" t="n">
        <v>-199736630</v>
      </c>
      <c r="IS94" s="11" t="n">
        <v>35508470</v>
      </c>
      <c r="IT94" s="11" t="n">
        <v>-72337835</v>
      </c>
      <c r="IU94" s="11" t="n">
        <v>178971470</v>
      </c>
      <c r="IV94" s="11" t="n">
        <v>25711430</v>
      </c>
      <c r="IW94" s="11" t="n">
        <v>-69388285</v>
      </c>
      <c r="IX94" s="11" t="n">
        <v>41958012</v>
      </c>
      <c r="IY94" s="11" t="n">
        <v>72775648</v>
      </c>
      <c r="IZ94" s="11" t="n">
        <v>-28133566</v>
      </c>
      <c r="JA94" s="11" t="n">
        <v>-59808580</v>
      </c>
      <c r="JB94" s="11" t="n">
        <v>571584</v>
      </c>
      <c r="JC94" s="11" t="n">
        <v>-4144</v>
      </c>
      <c r="JD94" s="11" t="n">
        <v>54696</v>
      </c>
      <c r="JE94" s="11" t="n">
        <v>-169394</v>
      </c>
      <c r="JF94" s="11" t="n">
        <v>-169450</v>
      </c>
      <c r="JG94" s="11" t="n">
        <v>-2163416</v>
      </c>
      <c r="JH94" s="11" t="n">
        <v>70227252</v>
      </c>
      <c r="JI94" s="11" t="n">
        <v>-13358785</v>
      </c>
      <c r="JJ94" s="11" t="n">
        <v>24575971</v>
      </c>
      <c r="JK94" s="11" t="n">
        <v>-302128</v>
      </c>
      <c r="JL94" s="11" t="n">
        <v>-544296</v>
      </c>
      <c r="JM94" s="11" t="n">
        <v>-819536</v>
      </c>
      <c r="JN94" s="11" t="n">
        <v>19534142</v>
      </c>
      <c r="JO94" s="11" t="n">
        <v>23171074</v>
      </c>
      <c r="JP94" s="11" t="n">
        <v>-11243611</v>
      </c>
      <c r="JQ94" s="11" t="n">
        <v>-2392</v>
      </c>
      <c r="JR94" s="11" t="n">
        <v>-64428</v>
      </c>
      <c r="JS94" s="11" t="n">
        <v>528151</v>
      </c>
      <c r="JT94" s="11" t="n">
        <v>-306085</v>
      </c>
      <c r="JU94" s="11" t="n">
        <v>696</v>
      </c>
      <c r="JV94" s="11" t="n">
        <v>-4538</v>
      </c>
      <c r="JW94" s="11" t="n">
        <v>1510</v>
      </c>
      <c r="JX94" s="11" t="n">
        <v>31446</v>
      </c>
      <c r="JY94" s="11" t="n">
        <v>-48390</v>
      </c>
      <c r="JZ94" s="11" t="n">
        <v>247285</v>
      </c>
      <c r="KA94" s="11" t="n">
        <v>537748</v>
      </c>
      <c r="KB94" s="11" t="n">
        <v>-2054929</v>
      </c>
      <c r="KC94" s="11" t="n">
        <v>1261363</v>
      </c>
      <c r="KD94" s="11" t="n">
        <v>63385108</v>
      </c>
      <c r="KE94" s="11" t="n">
        <v>-34836748</v>
      </c>
      <c r="KF94" s="11" t="n">
        <v>-15554844</v>
      </c>
      <c r="KG94" s="11" t="n">
        <v>-422270</v>
      </c>
      <c r="KH94" s="11" t="n">
        <v>-27554</v>
      </c>
      <c r="KI94" s="11" t="n">
        <v>1095787</v>
      </c>
      <c r="KJ94" s="11" t="n">
        <v>-30603604</v>
      </c>
      <c r="KK94" s="11" t="n">
        <v>-1848872</v>
      </c>
      <c r="KL94" s="11" t="n">
        <v>-74010996</v>
      </c>
      <c r="KM94" s="11" t="n">
        <v>12802481</v>
      </c>
      <c r="KN94" s="11" t="n">
        <v>-27750899</v>
      </c>
      <c r="KO94" s="11" t="n">
        <v>713504</v>
      </c>
      <c r="KP94" s="11" t="n">
        <v>-640748</v>
      </c>
      <c r="KQ94" s="11" t="n">
        <v>-346916</v>
      </c>
      <c r="KR94" s="11" t="n">
        <v>-20708722</v>
      </c>
      <c r="KS94" s="11" t="n">
        <v>-24596606</v>
      </c>
      <c r="KT94" s="11" t="n">
        <v>12019609</v>
      </c>
      <c r="KU94" s="11" t="n">
        <v>507288120</v>
      </c>
      <c r="KV94" s="11" t="n">
        <v>-91667674</v>
      </c>
      <c r="KW94" s="11" t="n">
        <v>184530294</v>
      </c>
      <c r="KX94" s="11" t="n">
        <v>-156781722</v>
      </c>
      <c r="KY94" s="11" t="n">
        <v>-227398398</v>
      </c>
      <c r="KZ94" s="11" t="n">
        <v>98121871</v>
      </c>
      <c r="LA94" s="11" t="n">
        <v>-140430812</v>
      </c>
      <c r="LB94" s="11" t="n">
        <v>-166398468</v>
      </c>
      <c r="LC94" s="11" t="n">
        <v>81151318</v>
      </c>
      <c r="LD94" s="11" t="n">
        <v>-11523044</v>
      </c>
      <c r="LE94" s="11" t="n">
        <v>101324</v>
      </c>
      <c r="LF94" s="11" t="n">
        <v>1654805</v>
      </c>
      <c r="LG94" s="11" t="n">
        <v>-873943</v>
      </c>
      <c r="LH94" s="11" t="n">
        <v>66944042</v>
      </c>
      <c r="LI94" s="11" t="n">
        <v>-36505082</v>
      </c>
      <c r="LJ94" s="11" t="n">
        <v>-18786421</v>
      </c>
      <c r="LK94" s="11" t="n">
        <v>-673726</v>
      </c>
      <c r="LL94" s="11" t="n">
        <v>318254</v>
      </c>
      <c r="LM94" s="11" t="n">
        <v>-613377</v>
      </c>
      <c r="LN94" s="11" t="n">
        <v>-32462336</v>
      </c>
      <c r="LO94" s="11" t="n">
        <v>-459064258</v>
      </c>
      <c r="LP94" s="11" t="n">
        <v>249902778</v>
      </c>
      <c r="LQ94" s="11" t="n">
        <v>121830679</v>
      </c>
      <c r="LR94" s="11" t="n">
        <v>-283016020</v>
      </c>
      <c r="LS94" s="11" t="n">
        <v>-219760004</v>
      </c>
    </row>
    <row r="95" customFormat="false" ht="15" hidden="false" customHeight="true" outlineLevel="0" collapsed="false">
      <c r="A95" s="7" t="s">
        <v>161</v>
      </c>
      <c r="B95" s="11" t="n">
        <v>3605785</v>
      </c>
      <c r="C95" s="11" t="n">
        <v>-167694029</v>
      </c>
      <c r="D95" s="11" t="n">
        <v>1705396</v>
      </c>
      <c r="E95" s="11" t="n">
        <v>241136400</v>
      </c>
      <c r="F95" s="11" t="n">
        <v>5426911</v>
      </c>
      <c r="G95" s="11" t="n">
        <v>102427570</v>
      </c>
      <c r="H95" s="11" t="n">
        <v>-175592431</v>
      </c>
      <c r="I95" s="11" t="n">
        <v>-56233504</v>
      </c>
      <c r="J95" s="11" t="n">
        <v>10315364</v>
      </c>
      <c r="K95" s="11" t="n">
        <v>-172576</v>
      </c>
      <c r="L95" s="11" t="n">
        <v>14239790</v>
      </c>
      <c r="M95" s="11" t="n">
        <v>-766796</v>
      </c>
      <c r="N95" s="11" t="n">
        <v>21958000</v>
      </c>
      <c r="O95" s="11" t="n">
        <v>1019691</v>
      </c>
      <c r="P95" s="11" t="n">
        <v>-1828691</v>
      </c>
      <c r="Q95" s="11" t="n">
        <v>3147216</v>
      </c>
      <c r="R95" s="11" t="n">
        <v>-1352087686</v>
      </c>
      <c r="S95" s="11" t="n">
        <v>20136128</v>
      </c>
      <c r="T95" s="11" t="n">
        <v>-1314222328</v>
      </c>
      <c r="U95" s="11" t="n">
        <v>454908917</v>
      </c>
      <c r="V95" s="11" t="n">
        <v>245918607</v>
      </c>
      <c r="W95" s="11" t="n">
        <v>18275864</v>
      </c>
      <c r="X95" s="11" t="n">
        <v>-102928</v>
      </c>
      <c r="Y95" s="11" t="n">
        <v>15287552</v>
      </c>
      <c r="Z95" s="11" t="n">
        <v>-7921732</v>
      </c>
      <c r="AA95" s="11" t="n">
        <v>-3556284</v>
      </c>
      <c r="AB95" s="11" t="n">
        <v>-72711074</v>
      </c>
      <c r="AC95" s="11" t="n">
        <v>1063936420</v>
      </c>
      <c r="AD95" s="11" t="n">
        <v>761632754</v>
      </c>
      <c r="AE95" s="11" t="n">
        <v>99781136</v>
      </c>
      <c r="AF95" s="11" t="n">
        <v>54829992</v>
      </c>
      <c r="AG95" s="11" t="n">
        <v>-35806295</v>
      </c>
      <c r="AH95" s="11" t="n">
        <v>-14710741</v>
      </c>
      <c r="AI95" s="11" t="n">
        <v>1098263782</v>
      </c>
      <c r="AJ95" s="11" t="n">
        <v>290496218</v>
      </c>
      <c r="AK95" s="11" t="n">
        <v>104954981</v>
      </c>
      <c r="AL95" s="11" t="n">
        <v>74849678</v>
      </c>
      <c r="AM95" s="11" t="n">
        <v>707828</v>
      </c>
      <c r="AN95" s="11" t="n">
        <v>-69815695</v>
      </c>
      <c r="AO95" s="11" t="n">
        <v>7497998</v>
      </c>
      <c r="AP95" s="11" t="n">
        <v>-23861810</v>
      </c>
      <c r="AQ95" s="11" t="n">
        <v>69956507</v>
      </c>
      <c r="AR95" s="11" t="n">
        <v>20211383</v>
      </c>
      <c r="AS95" s="11" t="n">
        <v>-68319900</v>
      </c>
      <c r="AT95" s="11" t="n">
        <v>-1758648037</v>
      </c>
      <c r="AU95" s="11" t="n">
        <v>-461361960</v>
      </c>
      <c r="AV95" s="11" t="n">
        <v>-1016474242</v>
      </c>
      <c r="AW95" s="11" t="n">
        <v>391523179</v>
      </c>
      <c r="AX95" s="11" t="n">
        <v>227337853</v>
      </c>
      <c r="AY95" s="11" t="n">
        <v>-80356012</v>
      </c>
      <c r="AZ95" s="11" t="n">
        <v>2480940</v>
      </c>
      <c r="BA95" s="11" t="n">
        <v>-31392592</v>
      </c>
      <c r="BB95" s="11" t="n">
        <v>67556104</v>
      </c>
      <c r="BC95" s="11" t="n">
        <v>20598028</v>
      </c>
      <c r="BD95" s="11" t="n">
        <v>606504217</v>
      </c>
      <c r="BE95" s="11" t="n">
        <v>387460990</v>
      </c>
      <c r="BF95" s="11" t="n">
        <v>1278487943</v>
      </c>
      <c r="BG95" s="11" t="n">
        <v>262832912</v>
      </c>
      <c r="BH95" s="11" t="n">
        <v>-248904922</v>
      </c>
      <c r="BI95" s="11" t="n">
        <v>470421679</v>
      </c>
      <c r="BJ95" s="11" t="n">
        <v>147353233</v>
      </c>
      <c r="BK95" s="11" t="n">
        <v>825207768</v>
      </c>
      <c r="BL95" s="11" t="n">
        <v>202000302</v>
      </c>
      <c r="BM95" s="11" t="n">
        <v>106754463</v>
      </c>
      <c r="BN95" s="11" t="n">
        <v>5607312</v>
      </c>
      <c r="BO95" s="11" t="n">
        <v>-495320160</v>
      </c>
      <c r="BP95" s="11" t="n">
        <v>37367456</v>
      </c>
      <c r="BQ95" s="11" t="n">
        <v>-524072424</v>
      </c>
      <c r="BR95" s="11" t="n">
        <v>178963330</v>
      </c>
      <c r="BS95" s="11" t="n">
        <v>95780726</v>
      </c>
      <c r="BT95" s="11" t="n">
        <v>546120</v>
      </c>
      <c r="BU95" s="11" t="n">
        <v>-208336</v>
      </c>
      <c r="BV95" s="11" t="n">
        <v>-3168384</v>
      </c>
      <c r="BW95" s="11" t="n">
        <v>-3548348</v>
      </c>
      <c r="BX95" s="11" t="n">
        <v>-608356</v>
      </c>
      <c r="BY95" s="11" t="n">
        <v>14763920</v>
      </c>
      <c r="BZ95" s="11" t="n">
        <v>330919860</v>
      </c>
      <c r="CA95" s="11" t="n">
        <v>296012215</v>
      </c>
      <c r="CB95" s="11" t="n">
        <v>44410445</v>
      </c>
      <c r="CC95" s="11" t="n">
        <v>-40585864</v>
      </c>
      <c r="CD95" s="11" t="n">
        <v>-16997134</v>
      </c>
      <c r="CE95" s="11" t="n">
        <v>-495450</v>
      </c>
      <c r="CF95" s="11" t="n">
        <v>432759206</v>
      </c>
      <c r="CG95" s="11" t="n">
        <v>110978794</v>
      </c>
      <c r="CH95" s="11" t="n">
        <v>41194414</v>
      </c>
      <c r="CI95" s="11" t="n">
        <v>583857048</v>
      </c>
      <c r="CJ95" s="11" t="n">
        <v>455040</v>
      </c>
      <c r="CK95" s="11" t="n">
        <v>554501568</v>
      </c>
      <c r="CL95" s="11" t="n">
        <v>-192681516</v>
      </c>
      <c r="CM95" s="11" t="n">
        <v>-104455812</v>
      </c>
      <c r="CN95" s="11" t="n">
        <v>-3931053424</v>
      </c>
      <c r="CO95" s="11" t="n">
        <v>5586914556</v>
      </c>
      <c r="CP95" s="11" t="n">
        <v>-1613957315</v>
      </c>
      <c r="CQ95" s="11" t="n">
        <v>-746022769</v>
      </c>
      <c r="CR95" s="11" t="n">
        <v>3737760064</v>
      </c>
      <c r="CS95" s="11" t="n">
        <v>-1298564008</v>
      </c>
      <c r="CT95" s="11" t="n">
        <v>-703872376</v>
      </c>
      <c r="CU95" s="11" t="n">
        <v>310955062</v>
      </c>
      <c r="CV95" s="11" t="n">
        <v>291021410</v>
      </c>
      <c r="CW95" s="11" t="n">
        <v>-42548812</v>
      </c>
      <c r="CX95" s="11" t="n">
        <v>21737144</v>
      </c>
      <c r="CY95" s="11" t="n">
        <v>383910816</v>
      </c>
      <c r="CZ95" s="11" t="n">
        <v>350702932</v>
      </c>
      <c r="DA95" s="11" t="n">
        <v>53171204</v>
      </c>
      <c r="DB95" s="11" t="n">
        <v>-20345024</v>
      </c>
      <c r="DC95" s="11" t="n">
        <v>7446908</v>
      </c>
      <c r="DD95" s="11" t="n">
        <v>3930356</v>
      </c>
      <c r="DE95" s="11" t="n">
        <v>459766384</v>
      </c>
      <c r="DF95" s="11" t="n">
        <v>119181968</v>
      </c>
      <c r="DG95" s="11" t="n">
        <v>45195740</v>
      </c>
      <c r="DH95" s="11" t="n">
        <v>-2792836876</v>
      </c>
      <c r="DI95" s="11" t="n">
        <v>-2301161121</v>
      </c>
      <c r="DJ95" s="11" t="n">
        <v>-330221995</v>
      </c>
      <c r="DK95" s="11" t="n">
        <v>4417113734</v>
      </c>
      <c r="DL95" s="11" t="n">
        <v>999335686</v>
      </c>
      <c r="DM95" s="11" t="n">
        <v>301129051</v>
      </c>
      <c r="DN95" s="11" t="n">
        <v>3110582398</v>
      </c>
      <c r="DO95" s="11" t="n">
        <v>814054394</v>
      </c>
      <c r="DP95" s="11" t="n">
        <v>302949164</v>
      </c>
      <c r="DQ95" s="11" t="n">
        <v>-174465918</v>
      </c>
      <c r="DR95" s="11" t="n">
        <v>603607</v>
      </c>
      <c r="DS95" s="11" t="n">
        <v>1567</v>
      </c>
      <c r="DT95" s="11" t="n">
        <v>1262110</v>
      </c>
      <c r="DU95" s="11" t="n">
        <v>24597</v>
      </c>
      <c r="DV95" s="11" t="n">
        <v>373280</v>
      </c>
      <c r="DW95" s="11" t="n">
        <v>-18682</v>
      </c>
      <c r="DX95" s="11" t="n">
        <v>-305433</v>
      </c>
      <c r="DY95" s="11" t="n">
        <v>-358359</v>
      </c>
      <c r="DZ95" s="11" t="n">
        <v>-99063014</v>
      </c>
      <c r="EA95" s="11" t="n">
        <v>-2052394</v>
      </c>
      <c r="EB95" s="11" t="n">
        <v>-34506446</v>
      </c>
      <c r="EC95" s="11" t="n">
        <v>30262947</v>
      </c>
      <c r="ED95" s="11" t="n">
        <v>23618221</v>
      </c>
      <c r="EE95" s="11" t="n">
        <v>492136</v>
      </c>
      <c r="EF95" s="11" t="n">
        <v>9275</v>
      </c>
      <c r="EG95" s="11" t="n">
        <v>132034</v>
      </c>
      <c r="EH95" s="11" t="n">
        <v>67473</v>
      </c>
      <c r="EI95" s="11" t="n">
        <v>-120020</v>
      </c>
      <c r="EJ95" s="11" t="n">
        <v>-254626</v>
      </c>
      <c r="EK95" s="11" t="n">
        <v>-10889020</v>
      </c>
      <c r="EL95" s="11" t="n">
        <v>60212146</v>
      </c>
      <c r="EM95" s="11" t="n">
        <v>-742736</v>
      </c>
      <c r="EN95" s="11" t="n">
        <v>-136906</v>
      </c>
      <c r="EO95" s="11" t="n">
        <v>1169693</v>
      </c>
      <c r="EP95" s="11" t="n">
        <v>-76095</v>
      </c>
      <c r="EQ95" s="11" t="n">
        <v>17647084</v>
      </c>
      <c r="ER95" s="11" t="n">
        <v>-2854834</v>
      </c>
      <c r="ES95" s="11" t="n">
        <v>14582447</v>
      </c>
      <c r="ET95" s="11" t="n">
        <v>33372</v>
      </c>
      <c r="EU95" s="11" t="n">
        <v>1226886</v>
      </c>
      <c r="EV95" s="11" t="n">
        <v>198728</v>
      </c>
      <c r="EW95" s="11" t="n">
        <v>-2607888</v>
      </c>
      <c r="EX95" s="11" t="n">
        <v>-224141</v>
      </c>
      <c r="EY95" s="11" t="n">
        <v>-567655</v>
      </c>
      <c r="EZ95" s="11" t="n">
        <v>-66594</v>
      </c>
      <c r="FA95" s="11" t="n">
        <v>-844</v>
      </c>
      <c r="FB95" s="11" t="n">
        <v>-27408</v>
      </c>
      <c r="FC95" s="11" t="n">
        <v>451</v>
      </c>
      <c r="FD95" s="11" t="n">
        <v>15413</v>
      </c>
      <c r="FE95" s="11" t="n">
        <v>365534</v>
      </c>
      <c r="FF95" s="11" t="n">
        <v>-6211680</v>
      </c>
      <c r="FG95" s="11" t="n">
        <v>-430694</v>
      </c>
      <c r="FH95" s="11" t="n">
        <v>-566116</v>
      </c>
      <c r="FI95" s="11" t="n">
        <v>-229168</v>
      </c>
      <c r="FJ95" s="11" t="n">
        <v>-2983</v>
      </c>
      <c r="FK95" s="11" t="n">
        <v>77427</v>
      </c>
      <c r="FL95" s="11" t="n">
        <v>-219328</v>
      </c>
      <c r="FM95" s="11" t="n">
        <v>-1670672</v>
      </c>
      <c r="FN95" s="11" t="n">
        <v>-95849</v>
      </c>
      <c r="FO95" s="11" t="n">
        <v>4748562</v>
      </c>
      <c r="FP95" s="11" t="n">
        <v>-4512</v>
      </c>
      <c r="FQ95" s="11" t="n">
        <v>3456072</v>
      </c>
      <c r="FR95" s="11" t="n">
        <v>-1540095</v>
      </c>
      <c r="FS95" s="11" t="n">
        <v>-968781</v>
      </c>
      <c r="FT95" s="11" t="n">
        <v>-28443244</v>
      </c>
      <c r="FU95" s="11" t="n">
        <v>498139884</v>
      </c>
      <c r="FV95" s="11" t="n">
        <v>-24726524</v>
      </c>
      <c r="FW95" s="11" t="n">
        <v>45156452</v>
      </c>
      <c r="FX95" s="11" t="n">
        <v>20228080</v>
      </c>
      <c r="FY95" s="11" t="n">
        <v>-9201466</v>
      </c>
      <c r="FZ95" s="11" t="n">
        <v>-5845774</v>
      </c>
      <c r="GA95" s="11" t="n">
        <v>143564746</v>
      </c>
      <c r="GB95" s="11" t="n">
        <v>134493854</v>
      </c>
      <c r="GC95" s="11" t="n">
        <v>-19690132</v>
      </c>
      <c r="GD95" s="11" t="n">
        <v>129098</v>
      </c>
      <c r="GE95" s="11" t="n">
        <v>-2996676</v>
      </c>
      <c r="GF95" s="11" t="n">
        <v>3009094</v>
      </c>
      <c r="GG95" s="11" t="n">
        <v>-259936</v>
      </c>
      <c r="GH95" s="11" t="n">
        <v>-91112</v>
      </c>
      <c r="GI95" s="11" t="n">
        <v>39011</v>
      </c>
      <c r="GJ95" s="11" t="n">
        <v>26585</v>
      </c>
      <c r="GK95" s="11" t="n">
        <v>1218154</v>
      </c>
      <c r="GL95" s="11" t="n">
        <v>-800554</v>
      </c>
      <c r="GM95" s="11" t="n">
        <v>698207</v>
      </c>
      <c r="GN95" s="11" t="n">
        <v>4406876</v>
      </c>
      <c r="GO95" s="11" t="n">
        <v>-17351832</v>
      </c>
      <c r="GP95" s="11" t="n">
        <v>329324</v>
      </c>
      <c r="GQ95" s="11" t="n">
        <v>300059756</v>
      </c>
      <c r="GR95" s="11" t="n">
        <v>1228744</v>
      </c>
      <c r="GS95" s="11" t="n">
        <v>-27261452</v>
      </c>
      <c r="GT95" s="11" t="n">
        <v>10914526</v>
      </c>
      <c r="GU95" s="11" t="n">
        <v>-1139926</v>
      </c>
      <c r="GV95" s="11" t="n">
        <v>3672758</v>
      </c>
      <c r="GW95" s="11" t="n">
        <v>-80659650</v>
      </c>
      <c r="GX95" s="11" t="n">
        <v>-85962</v>
      </c>
      <c r="GY95" s="11" t="n">
        <v>37886277</v>
      </c>
      <c r="GZ95" s="11" t="n">
        <v>-744572</v>
      </c>
      <c r="HA95" s="11" t="n">
        <v>11743086</v>
      </c>
      <c r="HB95" s="11" t="n">
        <v>-12098497</v>
      </c>
      <c r="HC95" s="11" t="n">
        <v>-9723623</v>
      </c>
      <c r="HD95" s="11" t="n">
        <v>278097</v>
      </c>
      <c r="HE95" s="11" t="n">
        <v>1570</v>
      </c>
      <c r="HF95" s="11" t="n">
        <v>83646</v>
      </c>
      <c r="HG95" s="11" t="n">
        <v>-34069</v>
      </c>
      <c r="HH95" s="11" t="n">
        <v>-68741</v>
      </c>
      <c r="HI95" s="11" t="n">
        <v>-3100727</v>
      </c>
      <c r="HJ95" s="11" t="n">
        <v>1124700</v>
      </c>
      <c r="HK95" s="11" t="n">
        <v>-24124708</v>
      </c>
      <c r="HL95" s="11" t="n">
        <v>-1160627</v>
      </c>
      <c r="HM95" s="11" t="n">
        <v>938986</v>
      </c>
      <c r="HN95" s="11" t="n">
        <v>-516059</v>
      </c>
      <c r="HO95" s="11" t="n">
        <v>-773001</v>
      </c>
      <c r="HP95" s="11" t="n">
        <v>-7118444</v>
      </c>
      <c r="HQ95" s="11" t="n">
        <v>-71086</v>
      </c>
      <c r="HR95" s="11" t="n">
        <v>-5821045</v>
      </c>
      <c r="HS95" s="11" t="n">
        <v>-36600873</v>
      </c>
      <c r="HT95" s="11" t="n">
        <v>149760</v>
      </c>
      <c r="HU95" s="11" t="n">
        <v>-11886018</v>
      </c>
      <c r="HV95" s="11" t="n">
        <v>11492691</v>
      </c>
      <c r="HW95" s="11" t="n">
        <v>9136437</v>
      </c>
      <c r="HX95" s="11" t="n">
        <v>251019478</v>
      </c>
      <c r="HY95" s="11" t="n">
        <v>238591134</v>
      </c>
      <c r="HZ95" s="11" t="n">
        <v>86087777</v>
      </c>
      <c r="IA95" s="11" t="n">
        <v>113393215</v>
      </c>
      <c r="IB95" s="11" t="n">
        <v>-82494028</v>
      </c>
      <c r="IC95" s="11" t="n">
        <v>78467986</v>
      </c>
      <c r="ID95" s="11" t="n">
        <v>62196382</v>
      </c>
      <c r="IE95" s="11" t="n">
        <v>102874460</v>
      </c>
      <c r="IF95" s="11" t="n">
        <v>96382036</v>
      </c>
      <c r="IG95" s="11" t="n">
        <v>-14115992</v>
      </c>
      <c r="IH95" s="11" t="n">
        <v>-1152965</v>
      </c>
      <c r="II95" s="11" t="n">
        <v>2837874</v>
      </c>
      <c r="IJ95" s="11" t="n">
        <v>-22674295</v>
      </c>
      <c r="IK95" s="11" t="n">
        <v>-288908</v>
      </c>
      <c r="IL95" s="11" t="n">
        <v>362810</v>
      </c>
      <c r="IM95" s="11" t="n">
        <v>-269255</v>
      </c>
      <c r="IN95" s="11" t="n">
        <v>-286625</v>
      </c>
      <c r="IO95" s="11" t="n">
        <v>-6472312</v>
      </c>
      <c r="IP95" s="11" t="n">
        <v>614578</v>
      </c>
      <c r="IQ95" s="11" t="n">
        <v>-5569319</v>
      </c>
      <c r="IR95" s="11" t="n">
        <v>-26978834</v>
      </c>
      <c r="IS95" s="11" t="n">
        <v>152795085</v>
      </c>
      <c r="IT95" s="11" t="n">
        <v>-1590587</v>
      </c>
      <c r="IU95" s="11" t="n">
        <v>154482436</v>
      </c>
      <c r="IV95" s="11" t="n">
        <v>10675334</v>
      </c>
      <c r="IW95" s="11" t="n">
        <v>-69567733</v>
      </c>
      <c r="IX95" s="11" t="n">
        <v>-41780452</v>
      </c>
      <c r="IY95" s="11" t="n">
        <v>7207408</v>
      </c>
      <c r="IZ95" s="11" t="n">
        <v>-38356034</v>
      </c>
      <c r="JA95" s="11" t="n">
        <v>-57802284</v>
      </c>
      <c r="JB95" s="11" t="n">
        <v>2269368</v>
      </c>
      <c r="JC95" s="11" t="n">
        <v>-12864</v>
      </c>
      <c r="JD95" s="11" t="n">
        <v>277848</v>
      </c>
      <c r="JE95" s="11" t="n">
        <v>-700818</v>
      </c>
      <c r="JF95" s="11" t="n">
        <v>-618438</v>
      </c>
      <c r="JG95" s="11" t="n">
        <v>-13986864</v>
      </c>
      <c r="JH95" s="11" t="n">
        <v>187556796</v>
      </c>
      <c r="JI95" s="11" t="n">
        <v>-10522755</v>
      </c>
      <c r="JJ95" s="11" t="n">
        <v>15865551</v>
      </c>
      <c r="JK95" s="11" t="n">
        <v>649296</v>
      </c>
      <c r="JL95" s="11" t="n">
        <v>-4259724</v>
      </c>
      <c r="JM95" s="11" t="n">
        <v>-3901572</v>
      </c>
      <c r="JN95" s="11" t="n">
        <v>56632266</v>
      </c>
      <c r="JO95" s="11" t="n">
        <v>53054622</v>
      </c>
      <c r="JP95" s="11" t="n">
        <v>-7767156</v>
      </c>
      <c r="JQ95" s="11" t="n">
        <v>83064</v>
      </c>
      <c r="JR95" s="11" t="n">
        <v>1309356</v>
      </c>
      <c r="JS95" s="11" t="n">
        <v>1367817</v>
      </c>
      <c r="JT95" s="11" t="n">
        <v>185979</v>
      </c>
      <c r="JU95" s="11" t="n">
        <v>-17592</v>
      </c>
      <c r="JV95" s="11" t="n">
        <v>17898</v>
      </c>
      <c r="JW95" s="11" t="n">
        <v>21582</v>
      </c>
      <c r="JX95" s="11" t="n">
        <v>571818</v>
      </c>
      <c r="JY95" s="11" t="n">
        <v>379590</v>
      </c>
      <c r="JZ95" s="11" t="n">
        <v>315318</v>
      </c>
      <c r="KA95" s="11" t="n">
        <v>-14934996</v>
      </c>
      <c r="KB95" s="11" t="n">
        <v>-8045151</v>
      </c>
      <c r="KC95" s="11" t="n">
        <v>-1726965</v>
      </c>
      <c r="KD95" s="11" t="n">
        <v>119117484</v>
      </c>
      <c r="KE95" s="11" t="n">
        <v>6216696</v>
      </c>
      <c r="KF95" s="11" t="n">
        <v>-10425009</v>
      </c>
      <c r="KG95" s="11" t="n">
        <v>4921950</v>
      </c>
      <c r="KH95" s="11" t="n">
        <v>4246218</v>
      </c>
      <c r="KI95" s="11" t="n">
        <v>1718208</v>
      </c>
      <c r="KJ95" s="11" t="n">
        <v>-31817922</v>
      </c>
      <c r="KK95" s="11" t="n">
        <v>-1523616</v>
      </c>
      <c r="KL95" s="11" t="n">
        <v>-195484860</v>
      </c>
      <c r="KM95" s="11" t="n">
        <v>5009127</v>
      </c>
      <c r="KN95" s="11" t="n">
        <v>-22119459</v>
      </c>
      <c r="KO95" s="11" t="n">
        <v>1294656</v>
      </c>
      <c r="KP95" s="11" t="n">
        <v>-498912</v>
      </c>
      <c r="KQ95" s="11" t="n">
        <v>-289824</v>
      </c>
      <c r="KR95" s="11" t="n">
        <v>-59755638</v>
      </c>
      <c r="KS95" s="11" t="n">
        <v>-55980834</v>
      </c>
      <c r="KT95" s="11" t="n">
        <v>8195916</v>
      </c>
      <c r="KU95" s="11" t="n">
        <v>1330760232</v>
      </c>
      <c r="KV95" s="11" t="n">
        <v>-37937706</v>
      </c>
      <c r="KW95" s="11" t="n">
        <v>146981394</v>
      </c>
      <c r="KX95" s="11" t="n">
        <v>-492447006</v>
      </c>
      <c r="KY95" s="11" t="n">
        <v>-461441178</v>
      </c>
      <c r="KZ95" s="11" t="n">
        <v>67545276</v>
      </c>
      <c r="LA95" s="11" t="n">
        <v>-403524228</v>
      </c>
      <c r="LB95" s="11" t="n">
        <v>-378032652</v>
      </c>
      <c r="LC95" s="11" t="n">
        <v>55345992</v>
      </c>
      <c r="LD95" s="11" t="n">
        <v>-31296</v>
      </c>
      <c r="LE95" s="11" t="n">
        <v>-6276108</v>
      </c>
      <c r="LF95" s="11" t="n">
        <v>1101675</v>
      </c>
      <c r="LG95" s="11" t="n">
        <v>-684759</v>
      </c>
      <c r="LH95" s="11" t="n">
        <v>120714774</v>
      </c>
      <c r="LI95" s="11" t="n">
        <v>3258102</v>
      </c>
      <c r="LJ95" s="11" t="n">
        <v>-13742577</v>
      </c>
      <c r="LK95" s="11" t="n">
        <v>1119006</v>
      </c>
      <c r="LL95" s="11" t="n">
        <v>1775706</v>
      </c>
      <c r="LM95" s="11" t="n">
        <v>-433788</v>
      </c>
      <c r="LN95" s="11" t="n">
        <v>-33573054</v>
      </c>
      <c r="LO95" s="11" t="n">
        <v>-805953822</v>
      </c>
      <c r="LP95" s="11" t="n">
        <v>-7364754</v>
      </c>
      <c r="LQ95" s="11" t="n">
        <v>89226906</v>
      </c>
      <c r="LR95" s="11" t="n">
        <v>-276739206</v>
      </c>
      <c r="LS95" s="11" t="n">
        <v>-226716276</v>
      </c>
    </row>
    <row r="96" customFormat="false" ht="15" hidden="false" customHeight="true" outlineLevel="0" collapsed="false">
      <c r="A96" s="7" t="s">
        <v>162</v>
      </c>
      <c r="B96" s="11" t="n">
        <v>4800375</v>
      </c>
      <c r="C96" s="11" t="n">
        <v>-306446675</v>
      </c>
      <c r="D96" s="11" t="n">
        <v>8365700</v>
      </c>
      <c r="E96" s="11" t="n">
        <v>-187493000</v>
      </c>
      <c r="F96" s="11" t="n">
        <v>32779825</v>
      </c>
      <c r="G96" s="11" t="n">
        <v>-568297250</v>
      </c>
      <c r="H96" s="11" t="n">
        <v>-226783825</v>
      </c>
      <c r="I96" s="11" t="n">
        <v>-231733800</v>
      </c>
      <c r="J96" s="11" t="n">
        <v>13967180</v>
      </c>
      <c r="K96" s="11" t="n">
        <v>-246920</v>
      </c>
      <c r="L96" s="11" t="n">
        <v>20389850</v>
      </c>
      <c r="M96" s="11" t="n">
        <v>-1092820</v>
      </c>
      <c r="N96" s="11" t="n">
        <v>31217600</v>
      </c>
      <c r="O96" s="11" t="n">
        <v>1337845</v>
      </c>
      <c r="P96" s="11" t="n">
        <v>-1992645</v>
      </c>
      <c r="Q96" s="11" t="n">
        <v>-8577960</v>
      </c>
      <c r="R96" s="11" t="n">
        <v>-756118690</v>
      </c>
      <c r="S96" s="11" t="n">
        <v>-25612720</v>
      </c>
      <c r="T96" s="11" t="n">
        <v>-339352600</v>
      </c>
      <c r="U96" s="11" t="n">
        <v>574445195</v>
      </c>
      <c r="V96" s="11" t="n">
        <v>801459705</v>
      </c>
      <c r="W96" s="11" t="n">
        <v>25889560</v>
      </c>
      <c r="X96" s="11" t="n">
        <v>-218360</v>
      </c>
      <c r="Y96" s="11" t="n">
        <v>25171600</v>
      </c>
      <c r="Z96" s="11" t="n">
        <v>-9333740</v>
      </c>
      <c r="AA96" s="11" t="n">
        <v>-15392460</v>
      </c>
      <c r="AB96" s="11" t="n">
        <v>-96550710</v>
      </c>
      <c r="AC96" s="11" t="n">
        <v>1194576300</v>
      </c>
      <c r="AD96" s="11" t="n">
        <v>911022910</v>
      </c>
      <c r="AE96" s="11" t="n">
        <v>1062130440</v>
      </c>
      <c r="AF96" s="11" t="n">
        <v>83797800</v>
      </c>
      <c r="AG96" s="11" t="n">
        <v>-42492425</v>
      </c>
      <c r="AH96" s="11" t="n">
        <v>-66361875</v>
      </c>
      <c r="AI96" s="11" t="n">
        <v>1316429050</v>
      </c>
      <c r="AJ96" s="11" t="n">
        <v>1742902950</v>
      </c>
      <c r="AK96" s="11" t="n">
        <v>158721675</v>
      </c>
      <c r="AL96" s="11" t="n">
        <v>132697112</v>
      </c>
      <c r="AM96" s="11" t="n">
        <v>-1479053</v>
      </c>
      <c r="AN96" s="11" t="n">
        <v>109064840</v>
      </c>
      <c r="AO96" s="11" t="n">
        <v>-169738</v>
      </c>
      <c r="AP96" s="11" t="n">
        <v>248161040</v>
      </c>
      <c r="AQ96" s="11" t="n">
        <v>90359323</v>
      </c>
      <c r="AR96" s="11" t="n">
        <v>89224632</v>
      </c>
      <c r="AS96" s="11" t="n">
        <v>-136833759</v>
      </c>
      <c r="AT96" s="11" t="n">
        <v>-1779606376</v>
      </c>
      <c r="AU96" s="11" t="n">
        <v>-895299318</v>
      </c>
      <c r="AV96" s="11" t="n">
        <v>-132640000</v>
      </c>
      <c r="AW96" s="11" t="n">
        <v>500636833</v>
      </c>
      <c r="AX96" s="11" t="n">
        <v>709905832</v>
      </c>
      <c r="AY96" s="11" t="n">
        <v>132300424</v>
      </c>
      <c r="AZ96" s="11" t="n">
        <v>9804051</v>
      </c>
      <c r="BA96" s="11" t="n">
        <v>257375530</v>
      </c>
      <c r="BB96" s="11" t="n">
        <v>87596009</v>
      </c>
      <c r="BC96" s="11" t="n">
        <v>84093416</v>
      </c>
      <c r="BD96" s="11" t="n">
        <v>-738130184</v>
      </c>
      <c r="BE96" s="11" t="n">
        <v>3219079920</v>
      </c>
      <c r="BF96" s="11" t="n">
        <v>1623290064</v>
      </c>
      <c r="BG96" s="11" t="n">
        <v>1780072576</v>
      </c>
      <c r="BH96" s="11" t="n">
        <v>1674497060</v>
      </c>
      <c r="BI96" s="11" t="n">
        <v>609008455</v>
      </c>
      <c r="BJ96" s="11" t="n">
        <v>601085080</v>
      </c>
      <c r="BK96" s="11" t="n">
        <v>1026577110</v>
      </c>
      <c r="BL96" s="11" t="n">
        <v>1416803440</v>
      </c>
      <c r="BM96" s="11" t="n">
        <v>146781440</v>
      </c>
      <c r="BN96" s="11" t="n">
        <v>2522172</v>
      </c>
      <c r="BO96" s="11" t="n">
        <v>-246302832</v>
      </c>
      <c r="BP96" s="11" t="n">
        <v>29715032</v>
      </c>
      <c r="BQ96" s="11" t="n">
        <v>-140900544</v>
      </c>
      <c r="BR96" s="11" t="n">
        <v>225927508</v>
      </c>
      <c r="BS96" s="11" t="n">
        <v>314690984</v>
      </c>
      <c r="BT96" s="11" t="n">
        <v>672318</v>
      </c>
      <c r="BU96" s="11" t="n">
        <v>-327980</v>
      </c>
      <c r="BV96" s="11" t="n">
        <v>-3146304</v>
      </c>
      <c r="BW96" s="11" t="n">
        <v>-4235665</v>
      </c>
      <c r="BX96" s="11" t="n">
        <v>-5203463</v>
      </c>
      <c r="BY96" s="11" t="n">
        <v>24107972</v>
      </c>
      <c r="BZ96" s="11" t="n">
        <v>344811360</v>
      </c>
      <c r="CA96" s="11" t="n">
        <v>353410138</v>
      </c>
      <c r="CB96" s="11" t="n">
        <v>424259432</v>
      </c>
      <c r="CC96" s="11" t="n">
        <v>-55390784</v>
      </c>
      <c r="CD96" s="11" t="n">
        <v>-20523270</v>
      </c>
      <c r="CE96" s="11" t="n">
        <v>-20382718</v>
      </c>
      <c r="CF96" s="11" t="n">
        <v>518459536</v>
      </c>
      <c r="CG96" s="11" t="n">
        <v>683254064</v>
      </c>
      <c r="CH96" s="11" t="n">
        <v>62374873</v>
      </c>
      <c r="CI96" s="11" t="n">
        <v>287805930</v>
      </c>
      <c r="CJ96" s="11" t="n">
        <v>-13624416</v>
      </c>
      <c r="CK96" s="11" t="n">
        <v>147814008</v>
      </c>
      <c r="CL96" s="11" t="n">
        <v>-242486079</v>
      </c>
      <c r="CM96" s="11" t="n">
        <v>-337994205</v>
      </c>
      <c r="CN96" s="11" t="n">
        <v>-2060299684</v>
      </c>
      <c r="CO96" s="11" t="n">
        <v>1643426112</v>
      </c>
      <c r="CP96" s="11" t="n">
        <v>-2100676946</v>
      </c>
      <c r="CQ96" s="11" t="n">
        <v>-2902657480</v>
      </c>
      <c r="CR96" s="11" t="n">
        <v>980349616</v>
      </c>
      <c r="CS96" s="11" t="n">
        <v>-1636427350</v>
      </c>
      <c r="CT96" s="11" t="n">
        <v>-2282170978</v>
      </c>
      <c r="CU96" s="11" t="n">
        <v>305756296</v>
      </c>
      <c r="CV96" s="11" t="n">
        <v>439237184</v>
      </c>
      <c r="CW96" s="11" t="n">
        <v>-21412357</v>
      </c>
      <c r="CX96" s="11" t="n">
        <v>33794146</v>
      </c>
      <c r="CY96" s="11" t="n">
        <v>398427612</v>
      </c>
      <c r="CZ96" s="11" t="n">
        <v>418695374</v>
      </c>
      <c r="DA96" s="11" t="n">
        <v>503672200</v>
      </c>
      <c r="DB96" s="11" t="n">
        <v>-36217432</v>
      </c>
      <c r="DC96" s="11" t="n">
        <v>8652115</v>
      </c>
      <c r="DD96" s="11" t="n">
        <v>15843961</v>
      </c>
      <c r="DE96" s="11" t="n">
        <v>550725938</v>
      </c>
      <c r="DF96" s="11" t="n">
        <v>726586942</v>
      </c>
      <c r="DG96" s="11" t="n">
        <v>67347859</v>
      </c>
      <c r="DH96" s="11" t="n">
        <v>-3045171672</v>
      </c>
      <c r="DI96" s="11" t="n">
        <v>-2750629090</v>
      </c>
      <c r="DJ96" s="11" t="n">
        <v>-3264779304</v>
      </c>
      <c r="DK96" s="11" t="n">
        <v>5298926988</v>
      </c>
      <c r="DL96" s="11" t="n">
        <v>6894392112</v>
      </c>
      <c r="DM96" s="11" t="n">
        <v>546467824</v>
      </c>
      <c r="DN96" s="11" t="n">
        <v>3727506460</v>
      </c>
      <c r="DO96" s="11" t="n">
        <v>4926578220</v>
      </c>
      <c r="DP96" s="11" t="n">
        <v>453735805</v>
      </c>
      <c r="DQ96" s="11" t="n">
        <v>-133551470</v>
      </c>
      <c r="DR96" s="11" t="n">
        <v>1020359</v>
      </c>
      <c r="DS96" s="11" t="n">
        <v>-13796</v>
      </c>
      <c r="DT96" s="11" t="n">
        <v>3005255</v>
      </c>
      <c r="DU96" s="11" t="n">
        <v>-33841</v>
      </c>
      <c r="DV96" s="11" t="n">
        <v>2333030</v>
      </c>
      <c r="DW96" s="11" t="n">
        <v>-43064</v>
      </c>
      <c r="DX96" s="11" t="n">
        <v>2124</v>
      </c>
      <c r="DY96" s="11" t="n">
        <v>-897488</v>
      </c>
      <c r="DZ96" s="11" t="n">
        <v>-151996507</v>
      </c>
      <c r="EA96" s="11" t="n">
        <v>-4807276</v>
      </c>
      <c r="EB96" s="11" t="n">
        <v>-28139900</v>
      </c>
      <c r="EC96" s="11" t="n">
        <v>50953881</v>
      </c>
      <c r="ED96" s="11" t="n">
        <v>49121324</v>
      </c>
      <c r="EE96" s="11" t="n">
        <v>4698468</v>
      </c>
      <c r="EF96" s="11" t="n">
        <v>35232</v>
      </c>
      <c r="EG96" s="11" t="n">
        <v>2432560</v>
      </c>
      <c r="EH96" s="11" t="n">
        <v>-726812</v>
      </c>
      <c r="EI96" s="11" t="n">
        <v>-662288</v>
      </c>
      <c r="EJ96" s="11" t="n">
        <v>-19199913</v>
      </c>
      <c r="EK96" s="11" t="n">
        <v>264656690</v>
      </c>
      <c r="EL96" s="11" t="n">
        <v>143659073</v>
      </c>
      <c r="EM96" s="11" t="n">
        <v>144993032</v>
      </c>
      <c r="EN96" s="11" t="n">
        <v>11925020</v>
      </c>
      <c r="EO96" s="11" t="n">
        <v>-1892815</v>
      </c>
      <c r="EP96" s="11" t="n">
        <v>-1619140</v>
      </c>
      <c r="EQ96" s="11" t="n">
        <v>115317370</v>
      </c>
      <c r="ER96" s="11" t="n">
        <v>112373480</v>
      </c>
      <c r="ES96" s="11" t="n">
        <v>-2179220</v>
      </c>
      <c r="ET96" s="11" t="n">
        <v>12344</v>
      </c>
      <c r="EU96" s="11" t="n">
        <v>4410066</v>
      </c>
      <c r="EV96" s="11" t="n">
        <v>133824</v>
      </c>
      <c r="EW96" s="11" t="n">
        <v>152632</v>
      </c>
      <c r="EX96" s="11" t="n">
        <v>-409669</v>
      </c>
      <c r="EY96" s="11" t="n">
        <v>429733</v>
      </c>
      <c r="EZ96" s="11" t="n">
        <v>-95984</v>
      </c>
      <c r="FA96" s="11" t="n">
        <v>-1400</v>
      </c>
      <c r="FB96" s="11" t="n">
        <v>-30288</v>
      </c>
      <c r="FC96" s="11" t="n">
        <v>6060</v>
      </c>
      <c r="FD96" s="11" t="n">
        <v>-5836</v>
      </c>
      <c r="FE96" s="11" t="n">
        <v>540414</v>
      </c>
      <c r="FF96" s="11" t="n">
        <v>-9633980</v>
      </c>
      <c r="FG96" s="11" t="n">
        <v>-1020469</v>
      </c>
      <c r="FH96" s="11" t="n">
        <v>1256509</v>
      </c>
      <c r="FI96" s="11" t="n">
        <v>-311048</v>
      </c>
      <c r="FJ96" s="11" t="n">
        <v>19235</v>
      </c>
      <c r="FK96" s="11" t="n">
        <v>-14531</v>
      </c>
      <c r="FL96" s="11" t="n">
        <v>-930258</v>
      </c>
      <c r="FM96" s="11" t="n">
        <v>982258</v>
      </c>
      <c r="FN96" s="11" t="n">
        <v>-17284</v>
      </c>
      <c r="FO96" s="11" t="n">
        <v>-2040200</v>
      </c>
      <c r="FP96" s="11" t="n">
        <v>-59552</v>
      </c>
      <c r="FQ96" s="11" t="n">
        <v>206176</v>
      </c>
      <c r="FR96" s="11" t="n">
        <v>-256088</v>
      </c>
      <c r="FS96" s="11" t="n">
        <v>-972240</v>
      </c>
      <c r="FT96" s="11" t="n">
        <v>842472</v>
      </c>
      <c r="FU96" s="11" t="n">
        <v>98886064</v>
      </c>
      <c r="FV96" s="11" t="n">
        <v>-159200557</v>
      </c>
      <c r="FW96" s="11" t="n">
        <v>-276320585</v>
      </c>
      <c r="FX96" s="11" t="n">
        <v>2971552</v>
      </c>
      <c r="FY96" s="11" t="n">
        <v>-4752700</v>
      </c>
      <c r="FZ96" s="11" t="n">
        <v>-8467076</v>
      </c>
      <c r="GA96" s="11" t="n">
        <v>3676012</v>
      </c>
      <c r="GB96" s="11" t="n">
        <v>-19199252</v>
      </c>
      <c r="GC96" s="11" t="n">
        <v>41181631</v>
      </c>
      <c r="GD96" s="11" t="n">
        <v>231672</v>
      </c>
      <c r="GE96" s="11" t="n">
        <v>-6609136</v>
      </c>
      <c r="GF96" s="11" t="n">
        <v>2992868</v>
      </c>
      <c r="GG96" s="11" t="n">
        <v>6595340</v>
      </c>
      <c r="GH96" s="11" t="n">
        <v>-169504</v>
      </c>
      <c r="GI96" s="11" t="n">
        <v>58280</v>
      </c>
      <c r="GJ96" s="11" t="n">
        <v>82112</v>
      </c>
      <c r="GK96" s="11" t="n">
        <v>527136</v>
      </c>
      <c r="GL96" s="11" t="n">
        <v>2483024</v>
      </c>
      <c r="GM96" s="11" t="n">
        <v>-598372</v>
      </c>
      <c r="GN96" s="11" t="n">
        <v>13958016</v>
      </c>
      <c r="GO96" s="11" t="n">
        <v>-19313655</v>
      </c>
      <c r="GP96" s="11" t="n">
        <v>-34100643</v>
      </c>
      <c r="GQ96" s="11" t="n">
        <v>370662286</v>
      </c>
      <c r="GR96" s="11" t="n">
        <v>575459814</v>
      </c>
      <c r="GS96" s="11" t="n">
        <v>109298483</v>
      </c>
      <c r="GT96" s="11" t="n">
        <v>10619620</v>
      </c>
      <c r="GU96" s="11" t="n">
        <v>20002740</v>
      </c>
      <c r="GV96" s="11" t="n">
        <v>-1733065</v>
      </c>
      <c r="GW96" s="11" t="n">
        <v>93358310</v>
      </c>
      <c r="GX96" s="11" t="n">
        <v>-66979</v>
      </c>
      <c r="GY96" s="11" t="n">
        <v>59891856</v>
      </c>
      <c r="GZ96" s="11" t="n">
        <v>-899390</v>
      </c>
      <c r="HA96" s="11" t="n">
        <v>11743456</v>
      </c>
      <c r="HB96" s="11" t="n">
        <v>-20397035</v>
      </c>
      <c r="HC96" s="11" t="n">
        <v>-18906712</v>
      </c>
      <c r="HD96" s="11" t="n">
        <v>-612509</v>
      </c>
      <c r="HE96" s="11" t="n">
        <v>9939</v>
      </c>
      <c r="HF96" s="11" t="n">
        <v>-5634</v>
      </c>
      <c r="HG96" s="11" t="n">
        <v>272956</v>
      </c>
      <c r="HH96" s="11" t="n">
        <v>255772</v>
      </c>
      <c r="HI96" s="11" t="n">
        <v>-662606</v>
      </c>
      <c r="HJ96" s="11" t="n">
        <v>-102353600</v>
      </c>
      <c r="HK96" s="11" t="n">
        <v>-57547499</v>
      </c>
      <c r="HL96" s="11" t="n">
        <v>-55810456</v>
      </c>
      <c r="HM96" s="11" t="n">
        <v>1666956</v>
      </c>
      <c r="HN96" s="11" t="n">
        <v>638525</v>
      </c>
      <c r="HO96" s="11" t="n">
        <v>628928</v>
      </c>
      <c r="HP96" s="11" t="n">
        <v>-46141774</v>
      </c>
      <c r="HQ96" s="11" t="n">
        <v>-43254256</v>
      </c>
      <c r="HR96" s="11" t="n">
        <v>840412</v>
      </c>
      <c r="HS96" s="11" t="n">
        <v>-62657159</v>
      </c>
      <c r="HT96" s="11" t="n">
        <v>475524</v>
      </c>
      <c r="HU96" s="11" t="n">
        <v>-12176492</v>
      </c>
      <c r="HV96" s="11" t="n">
        <v>21285581</v>
      </c>
      <c r="HW96" s="11" t="n">
        <v>19854428</v>
      </c>
      <c r="HX96" s="11" t="n">
        <v>416148454</v>
      </c>
      <c r="HY96" s="11" t="n">
        <v>-97625888</v>
      </c>
      <c r="HZ96" s="11" t="n">
        <v>47586751</v>
      </c>
      <c r="IA96" s="11" t="n">
        <v>-66852040</v>
      </c>
      <c r="IB96" s="11" t="n">
        <v>-80131384</v>
      </c>
      <c r="IC96" s="11" t="n">
        <v>141010750</v>
      </c>
      <c r="ID96" s="11" t="n">
        <v>132374008</v>
      </c>
      <c r="IE96" s="11" t="n">
        <v>-23917204</v>
      </c>
      <c r="IF96" s="11" t="n">
        <v>-43926816</v>
      </c>
      <c r="IG96" s="11" t="n">
        <v>37789652</v>
      </c>
      <c r="IH96" s="11" t="n">
        <v>-4949115</v>
      </c>
      <c r="II96" s="11" t="n">
        <v>-106081018</v>
      </c>
      <c r="IJ96" s="11" t="n">
        <v>-60691225</v>
      </c>
      <c r="IK96" s="11" t="n">
        <v>-57703624</v>
      </c>
      <c r="IL96" s="11" t="n">
        <v>1766868</v>
      </c>
      <c r="IM96" s="11" t="n">
        <v>-1220685</v>
      </c>
      <c r="IN96" s="11" t="n">
        <v>-1130316</v>
      </c>
      <c r="IO96" s="11" t="n">
        <v>-47831762</v>
      </c>
      <c r="IP96" s="11" t="n">
        <v>-44828168</v>
      </c>
      <c r="IQ96" s="11" t="n">
        <v>371316</v>
      </c>
      <c r="IR96" s="11" t="n">
        <v>712266788</v>
      </c>
      <c r="IS96" s="11" t="n">
        <v>399332615</v>
      </c>
      <c r="IT96" s="11" t="n">
        <v>388529144</v>
      </c>
      <c r="IU96" s="11" t="n">
        <v>-175129002</v>
      </c>
      <c r="IV96" s="11" t="n">
        <v>23275312</v>
      </c>
      <c r="IW96" s="11" t="n">
        <v>108579136</v>
      </c>
      <c r="IX96" s="11" t="n">
        <v>-318243040</v>
      </c>
      <c r="IY96" s="11" t="n">
        <v>-301380400</v>
      </c>
      <c r="IZ96" s="11" t="n">
        <v>4627020</v>
      </c>
      <c r="JA96" s="11" t="n">
        <v>84501560</v>
      </c>
      <c r="JB96" s="11" t="n">
        <v>1014042</v>
      </c>
      <c r="JC96" s="11" t="n">
        <v>-2096</v>
      </c>
      <c r="JD96" s="11" t="n">
        <v>152088</v>
      </c>
      <c r="JE96" s="11" t="n">
        <v>-273649</v>
      </c>
      <c r="JF96" s="11" t="n">
        <v>-200519</v>
      </c>
      <c r="JG96" s="11" t="n">
        <v>-11742276</v>
      </c>
      <c r="JH96" s="11" t="n">
        <v>41797056</v>
      </c>
      <c r="JI96" s="11" t="n">
        <v>-64111194</v>
      </c>
      <c r="JJ96" s="11" t="n">
        <v>-106940160</v>
      </c>
      <c r="JK96" s="11" t="n">
        <v>1674736</v>
      </c>
      <c r="JL96" s="11" t="n">
        <v>-3036250</v>
      </c>
      <c r="JM96" s="11" t="n">
        <v>-2100902</v>
      </c>
      <c r="JN96" s="11" t="n">
        <v>1663816</v>
      </c>
      <c r="JO96" s="11" t="n">
        <v>-7774048</v>
      </c>
      <c r="JP96" s="11" t="n">
        <v>16181337</v>
      </c>
      <c r="JQ96" s="11" t="n">
        <v>131306</v>
      </c>
      <c r="JR96" s="11" t="n">
        <v>1305516</v>
      </c>
      <c r="JS96" s="11" t="n">
        <v>1630009</v>
      </c>
      <c r="JT96" s="11" t="n">
        <v>2038607</v>
      </c>
      <c r="JU96" s="11" t="n">
        <v>-22392</v>
      </c>
      <c r="JV96" s="11" t="n">
        <v>32065</v>
      </c>
      <c r="JW96" s="11" t="n">
        <v>21751</v>
      </c>
      <c r="JX96" s="11" t="n">
        <v>596778</v>
      </c>
      <c r="JY96" s="11" t="n">
        <v>563910</v>
      </c>
      <c r="JZ96" s="11" t="n">
        <v>-227816</v>
      </c>
      <c r="KA96" s="11" t="n">
        <v>-20529656</v>
      </c>
      <c r="KB96" s="11" t="n">
        <v>-10573360</v>
      </c>
      <c r="KC96" s="11" t="n">
        <v>-9758966</v>
      </c>
      <c r="KD96" s="11" t="n">
        <v>149725324</v>
      </c>
      <c r="KE96" s="11" t="n">
        <v>221706656</v>
      </c>
      <c r="KF96" s="11" t="n">
        <v>43011921</v>
      </c>
      <c r="KG96" s="11" t="n">
        <v>6816460</v>
      </c>
      <c r="KH96" s="11" t="n">
        <v>5064988</v>
      </c>
      <c r="KI96" s="11" t="n">
        <v>-631655</v>
      </c>
      <c r="KJ96" s="11" t="n">
        <v>36673658</v>
      </c>
      <c r="KK96" s="11" t="n">
        <v>5238536</v>
      </c>
      <c r="KL96" s="11" t="n">
        <v>-42073968</v>
      </c>
      <c r="KM96" s="11" t="n">
        <v>66265609</v>
      </c>
      <c r="KN96" s="11" t="n">
        <v>113009645</v>
      </c>
      <c r="KO96" s="11" t="n">
        <v>-698720</v>
      </c>
      <c r="KP96" s="11" t="n">
        <v>1276700</v>
      </c>
      <c r="KQ96" s="11" t="n">
        <v>802292</v>
      </c>
      <c r="KR96" s="11" t="n">
        <v>-1415420</v>
      </c>
      <c r="KS96" s="11" t="n">
        <v>8629604</v>
      </c>
      <c r="KT96" s="11" t="n">
        <v>-17393227</v>
      </c>
      <c r="KU96" s="11" t="n">
        <v>271279456</v>
      </c>
      <c r="KV96" s="11" t="n">
        <v>-436136050</v>
      </c>
      <c r="KW96" s="11" t="n">
        <v>-756162530</v>
      </c>
      <c r="KX96" s="11" t="n">
        <v>71293936</v>
      </c>
      <c r="KY96" s="11" t="n">
        <v>220970720</v>
      </c>
      <c r="KZ96" s="11" t="n">
        <v>-156530445</v>
      </c>
      <c r="LA96" s="11" t="n">
        <v>-7942200</v>
      </c>
      <c r="LB96" s="11" t="n">
        <v>59310568</v>
      </c>
      <c r="LC96" s="11" t="n">
        <v>-117491650</v>
      </c>
      <c r="LD96" s="11" t="n">
        <v>22056508</v>
      </c>
      <c r="LE96" s="11" t="n">
        <v>-12192352</v>
      </c>
      <c r="LF96" s="11" t="n">
        <v>159965</v>
      </c>
      <c r="LG96" s="11" t="n">
        <v>4101929</v>
      </c>
      <c r="LH96" s="11" t="n">
        <v>152944118</v>
      </c>
      <c r="LI96" s="11" t="n">
        <v>230077438</v>
      </c>
      <c r="LJ96" s="11" t="n">
        <v>48437051</v>
      </c>
      <c r="LK96" s="11" t="n">
        <v>2950100</v>
      </c>
      <c r="LL96" s="11" t="n">
        <v>1320164</v>
      </c>
      <c r="LM96" s="11" t="n">
        <v>975195</v>
      </c>
      <c r="LN96" s="11" t="n">
        <v>39109774</v>
      </c>
      <c r="LO96" s="11" t="n">
        <v>-1006794460</v>
      </c>
      <c r="LP96" s="11" t="n">
        <v>-1547499276</v>
      </c>
      <c r="LQ96" s="11" t="n">
        <v>-318417125</v>
      </c>
      <c r="LR96" s="11" t="n">
        <v>413392094</v>
      </c>
      <c r="LS96" s="11" t="n">
        <v>265424080</v>
      </c>
    </row>
    <row r="97" customFormat="false" ht="15" hidden="false" customHeight="true" outlineLevel="0" collapsed="false">
      <c r="A97" s="7" t="s">
        <v>163</v>
      </c>
      <c r="B97" s="11" t="n">
        <v>252014</v>
      </c>
      <c r="C97" s="11" t="n">
        <v>24883330</v>
      </c>
      <c r="D97" s="11" t="n">
        <v>-180048</v>
      </c>
      <c r="E97" s="11" t="n">
        <v>-3081072</v>
      </c>
      <c r="F97" s="11" t="n">
        <v>-1244878</v>
      </c>
      <c r="G97" s="11" t="n">
        <v>68378060</v>
      </c>
      <c r="H97" s="11" t="n">
        <v>-16924154</v>
      </c>
      <c r="I97" s="11" t="n">
        <v>21433224</v>
      </c>
      <c r="J97" s="11" t="n">
        <v>-523228</v>
      </c>
      <c r="K97" s="11" t="n">
        <v>-29076</v>
      </c>
      <c r="L97" s="11" t="n">
        <v>1427848</v>
      </c>
      <c r="M97" s="11" t="n">
        <v>-55528</v>
      </c>
      <c r="N97" s="11" t="n">
        <v>2959568</v>
      </c>
      <c r="O97" s="11" t="n">
        <v>-88770</v>
      </c>
      <c r="P97" s="11" t="n">
        <v>436686</v>
      </c>
      <c r="Q97" s="11" t="n">
        <v>-3244716</v>
      </c>
      <c r="R97" s="11" t="n">
        <v>134585816</v>
      </c>
      <c r="S97" s="11" t="n">
        <v>-8067316</v>
      </c>
      <c r="T97" s="11" t="n">
        <v>434187080</v>
      </c>
      <c r="U97" s="11" t="n">
        <v>-43902658</v>
      </c>
      <c r="V97" s="11" t="n">
        <v>87616818</v>
      </c>
      <c r="W97" s="11" t="n">
        <v>-1375584</v>
      </c>
      <c r="X97" s="11" t="n">
        <v>-103956</v>
      </c>
      <c r="Y97" s="11" t="n">
        <v>5774664</v>
      </c>
      <c r="Z97" s="11" t="n">
        <v>-1889196</v>
      </c>
      <c r="AA97" s="11" t="n">
        <v>2160864</v>
      </c>
      <c r="AB97" s="11" t="n">
        <v>7732040</v>
      </c>
      <c r="AC97" s="11" t="n">
        <v>-423595984</v>
      </c>
      <c r="AD97" s="11" t="n">
        <v>96973288</v>
      </c>
      <c r="AE97" s="11" t="n">
        <v>-126774096</v>
      </c>
      <c r="AF97" s="11" t="n">
        <v>446784</v>
      </c>
      <c r="AG97" s="11" t="n">
        <v>-3290518</v>
      </c>
      <c r="AH97" s="11" t="n">
        <v>2565426</v>
      </c>
      <c r="AI97" s="11" t="n">
        <v>174665948</v>
      </c>
      <c r="AJ97" s="11" t="n">
        <v>-133220148</v>
      </c>
      <c r="AK97" s="11" t="n">
        <v>-21776226</v>
      </c>
      <c r="AL97" s="11" t="n">
        <v>-10712686</v>
      </c>
      <c r="AM97" s="11" t="n">
        <v>146388</v>
      </c>
      <c r="AN97" s="11" t="n">
        <v>3502405</v>
      </c>
      <c r="AO97" s="11" t="n">
        <v>1161250</v>
      </c>
      <c r="AP97" s="11" t="n">
        <v>-24023182</v>
      </c>
      <c r="AQ97" s="11" t="n">
        <v>6524386</v>
      </c>
      <c r="AR97" s="11" t="n">
        <v>-7881157</v>
      </c>
      <c r="AS97" s="11" t="n">
        <v>6800508</v>
      </c>
      <c r="AT97" s="11" t="n">
        <v>214848947</v>
      </c>
      <c r="AU97" s="11" t="n">
        <v>61741728</v>
      </c>
      <c r="AV97" s="11" t="n">
        <v>534636650</v>
      </c>
      <c r="AW97" s="11" t="n">
        <v>-75212876</v>
      </c>
      <c r="AX97" s="11" t="n">
        <v>132921061</v>
      </c>
      <c r="AY97" s="11" t="n">
        <v>-712536</v>
      </c>
      <c r="AZ97" s="11" t="n">
        <v>-106524</v>
      </c>
      <c r="BA97" s="11" t="n">
        <v>-22555896</v>
      </c>
      <c r="BB97" s="11" t="n">
        <v>5169516</v>
      </c>
      <c r="BC97" s="11" t="n">
        <v>-6819384</v>
      </c>
      <c r="BD97" s="11" t="n">
        <v>3103685</v>
      </c>
      <c r="BE97" s="11" t="n">
        <v>-656592514</v>
      </c>
      <c r="BF97" s="11" t="n">
        <v>155440327</v>
      </c>
      <c r="BG97" s="11" t="n">
        <v>-201518244</v>
      </c>
      <c r="BH97" s="11" t="n">
        <v>-196410086</v>
      </c>
      <c r="BI97" s="11" t="n">
        <v>45755828</v>
      </c>
      <c r="BJ97" s="11" t="n">
        <v>-59831011</v>
      </c>
      <c r="BK97" s="11" t="n">
        <v>156946938</v>
      </c>
      <c r="BL97" s="11" t="n">
        <v>-95248618</v>
      </c>
      <c r="BM97" s="11" t="n">
        <v>-25620449</v>
      </c>
      <c r="BN97" s="11" t="n">
        <v>-1539900</v>
      </c>
      <c r="BO97" s="11" t="n">
        <v>53423742</v>
      </c>
      <c r="BP97" s="11" t="n">
        <v>-4771372</v>
      </c>
      <c r="BQ97" s="11" t="n">
        <v>175682796</v>
      </c>
      <c r="BR97" s="11" t="n">
        <v>-17319302</v>
      </c>
      <c r="BS97" s="11" t="n">
        <v>34925528</v>
      </c>
      <c r="BT97" s="11" t="n">
        <v>-1233486</v>
      </c>
      <c r="BU97" s="11" t="n">
        <v>-101724</v>
      </c>
      <c r="BV97" s="11" t="n">
        <v>1052532</v>
      </c>
      <c r="BW97" s="11" t="n">
        <v>-701184</v>
      </c>
      <c r="BX97" s="11" t="n">
        <v>655626</v>
      </c>
      <c r="BY97" s="11" t="n">
        <v>7351060</v>
      </c>
      <c r="BZ97" s="11" t="n">
        <v>-177240384</v>
      </c>
      <c r="CA97" s="11" t="n">
        <v>38199227</v>
      </c>
      <c r="CB97" s="11" t="n">
        <v>-50721569</v>
      </c>
      <c r="CC97" s="11" t="n">
        <v>-8344136</v>
      </c>
      <c r="CD97" s="11" t="n">
        <v>-1028522</v>
      </c>
      <c r="CE97" s="11" t="n">
        <v>-275686</v>
      </c>
      <c r="CF97" s="11" t="n">
        <v>68158222</v>
      </c>
      <c r="CG97" s="11" t="n">
        <v>-50926666</v>
      </c>
      <c r="CH97" s="11" t="n">
        <v>-8529279</v>
      </c>
      <c r="CI97" s="11" t="n">
        <v>-64797426</v>
      </c>
      <c r="CJ97" s="11" t="n">
        <v>-5846184</v>
      </c>
      <c r="CK97" s="11" t="n">
        <v>-188376588</v>
      </c>
      <c r="CL97" s="11" t="n">
        <v>21805956</v>
      </c>
      <c r="CM97" s="11" t="n">
        <v>-41277834</v>
      </c>
      <c r="CN97" s="11" t="n">
        <v>403596110</v>
      </c>
      <c r="CO97" s="11" t="n">
        <v>-857205492</v>
      </c>
      <c r="CP97" s="11" t="n">
        <v>-27735293</v>
      </c>
      <c r="CQ97" s="11" t="n">
        <v>-37579039</v>
      </c>
      <c r="CR97" s="11" t="n">
        <v>-1250658308</v>
      </c>
      <c r="CS97" s="11" t="n">
        <v>133317848</v>
      </c>
      <c r="CT97" s="11" t="n">
        <v>-260492866</v>
      </c>
      <c r="CU97" s="11" t="n">
        <v>-369102086</v>
      </c>
      <c r="CV97" s="11" t="n">
        <v>436816346</v>
      </c>
      <c r="CW97" s="11" t="n">
        <v>30314471</v>
      </c>
      <c r="CX97" s="11" t="n">
        <v>-402450</v>
      </c>
      <c r="CY97" s="11" t="n">
        <v>-195182316</v>
      </c>
      <c r="CZ97" s="11" t="n">
        <v>46972050</v>
      </c>
      <c r="DA97" s="11" t="n">
        <v>-60652320</v>
      </c>
      <c r="DB97" s="11" t="n">
        <v>-16439844</v>
      </c>
      <c r="DC97" s="11" t="n">
        <v>4102500</v>
      </c>
      <c r="DD97" s="11" t="n">
        <v>-5215830</v>
      </c>
      <c r="DE97" s="11" t="n">
        <v>70871604</v>
      </c>
      <c r="DF97" s="11" t="n">
        <v>-51989316</v>
      </c>
      <c r="DG97" s="11" t="n">
        <v>-9511530</v>
      </c>
      <c r="DH97" s="11" t="n">
        <v>1221033160</v>
      </c>
      <c r="DI97" s="11" t="n">
        <v>-292397025</v>
      </c>
      <c r="DJ97" s="11" t="n">
        <v>378011375</v>
      </c>
      <c r="DK97" s="11" t="n">
        <v>704937538</v>
      </c>
      <c r="DL97" s="11" t="n">
        <v>-689174566</v>
      </c>
      <c r="DM97" s="11" t="n">
        <v>-53202335</v>
      </c>
      <c r="DN97" s="11" t="n">
        <v>502738382</v>
      </c>
      <c r="DO97" s="11" t="n">
        <v>-383285754</v>
      </c>
      <c r="DP97" s="11" t="n">
        <v>-63855115</v>
      </c>
      <c r="DQ97" s="11" t="n">
        <v>62473316</v>
      </c>
      <c r="DR97" s="11" t="n">
        <v>-184134</v>
      </c>
      <c r="DS97" s="11" t="n">
        <v>-1160</v>
      </c>
      <c r="DT97" s="11" t="n">
        <v>183353</v>
      </c>
      <c r="DU97" s="11" t="n">
        <v>5204</v>
      </c>
      <c r="DV97" s="11" t="n">
        <v>49878</v>
      </c>
      <c r="DW97" s="11" t="n">
        <v>-9054</v>
      </c>
      <c r="DX97" s="11" t="n">
        <v>-14457</v>
      </c>
      <c r="DY97" s="11" t="n">
        <v>-246088</v>
      </c>
      <c r="DZ97" s="11" t="n">
        <v>15852703</v>
      </c>
      <c r="EA97" s="11" t="n">
        <v>-395738</v>
      </c>
      <c r="EB97" s="11" t="n">
        <v>54885270</v>
      </c>
      <c r="EC97" s="11" t="n">
        <v>-13259604</v>
      </c>
      <c r="ED97" s="11" t="n">
        <v>14232729</v>
      </c>
      <c r="EE97" s="11" t="n">
        <v>-145176</v>
      </c>
      <c r="EF97" s="11" t="n">
        <v>-9448</v>
      </c>
      <c r="EG97" s="11" t="n">
        <v>279104</v>
      </c>
      <c r="EH97" s="11" t="n">
        <v>-71432</v>
      </c>
      <c r="EI97" s="11" t="n">
        <v>108984</v>
      </c>
      <c r="EJ97" s="11" t="n">
        <v>842089</v>
      </c>
      <c r="EK97" s="11" t="n">
        <v>-50358314</v>
      </c>
      <c r="EL97" s="11" t="n">
        <v>12423875</v>
      </c>
      <c r="EM97" s="11" t="n">
        <v>-15417012</v>
      </c>
      <c r="EN97" s="11" t="n">
        <v>-1658366</v>
      </c>
      <c r="EO97" s="11" t="n">
        <v>394202</v>
      </c>
      <c r="EP97" s="11" t="n">
        <v>-371175</v>
      </c>
      <c r="EQ97" s="11" t="n">
        <v>892998</v>
      </c>
      <c r="ER97" s="11" t="n">
        <v>-8164578</v>
      </c>
      <c r="ES97" s="11" t="n">
        <v>1740891</v>
      </c>
      <c r="ET97" s="11" t="n">
        <v>-18836</v>
      </c>
      <c r="EU97" s="11" t="n">
        <v>662582</v>
      </c>
      <c r="EV97" s="11" t="n">
        <v>-51376</v>
      </c>
      <c r="EW97" s="11" t="n">
        <v>2058852</v>
      </c>
      <c r="EX97" s="11" t="n">
        <v>-46062</v>
      </c>
      <c r="EY97" s="11" t="n">
        <v>349080</v>
      </c>
      <c r="EZ97" s="11" t="n">
        <v>-14582</v>
      </c>
      <c r="FA97" s="11" t="n">
        <v>-856</v>
      </c>
      <c r="FB97" s="11" t="n">
        <v>7868</v>
      </c>
      <c r="FC97" s="11" t="n">
        <v>636</v>
      </c>
      <c r="FD97" s="11" t="n">
        <v>3678</v>
      </c>
      <c r="FE97" s="11" t="n">
        <v>69884</v>
      </c>
      <c r="FF97" s="11" t="n">
        <v>-1870640</v>
      </c>
      <c r="FG97" s="11" t="n">
        <v>13287</v>
      </c>
      <c r="FH97" s="11" t="n">
        <v>-399621</v>
      </c>
      <c r="FI97" s="11" t="n">
        <v>-72104</v>
      </c>
      <c r="FJ97" s="11" t="n">
        <v>3828</v>
      </c>
      <c r="FK97" s="11" t="n">
        <v>-5832</v>
      </c>
      <c r="FL97" s="11" t="n">
        <v>-88758</v>
      </c>
      <c r="FM97" s="11" t="n">
        <v>-256206</v>
      </c>
      <c r="FN97" s="11" t="n">
        <v>20781</v>
      </c>
      <c r="FO97" s="11" t="n">
        <v>-736138</v>
      </c>
      <c r="FP97" s="11" t="n">
        <v>-28180</v>
      </c>
      <c r="FQ97" s="11" t="n">
        <v>-2862916</v>
      </c>
      <c r="FR97" s="11" t="n">
        <v>1294832</v>
      </c>
      <c r="FS97" s="11" t="n">
        <v>-989406</v>
      </c>
      <c r="FT97" s="11" t="n">
        <v>2999118</v>
      </c>
      <c r="FU97" s="11" t="n">
        <v>20244076</v>
      </c>
      <c r="FV97" s="11" t="n">
        <v>-43747313</v>
      </c>
      <c r="FW97" s="11" t="n">
        <v>21161157</v>
      </c>
      <c r="FX97" s="11" t="n">
        <v>-10888916</v>
      </c>
      <c r="FY97" s="11" t="n">
        <v>3600622</v>
      </c>
      <c r="FZ97" s="11" t="n">
        <v>-3220896</v>
      </c>
      <c r="GA97" s="11" t="n">
        <v>-134529402</v>
      </c>
      <c r="GB97" s="11" t="n">
        <v>55088862</v>
      </c>
      <c r="GC97" s="11" t="n">
        <v>21577083</v>
      </c>
      <c r="GD97" s="11" t="n">
        <v>11638</v>
      </c>
      <c r="GE97" s="11" t="n">
        <v>-2523836</v>
      </c>
      <c r="GF97" s="11" t="n">
        <v>977546</v>
      </c>
      <c r="GG97" s="11" t="n">
        <v>-909696</v>
      </c>
      <c r="GH97" s="11" t="n">
        <v>-141876</v>
      </c>
      <c r="GI97" s="11" t="n">
        <v>57892</v>
      </c>
      <c r="GJ97" s="11" t="n">
        <v>-50466</v>
      </c>
      <c r="GK97" s="11" t="n">
        <v>-637532</v>
      </c>
      <c r="GL97" s="11" t="n">
        <v>-145740</v>
      </c>
      <c r="GM97" s="11" t="n">
        <v>286242</v>
      </c>
      <c r="GN97" s="11" t="n">
        <v>10602472</v>
      </c>
      <c r="GO97" s="11" t="n">
        <v>-4674269</v>
      </c>
      <c r="GP97" s="11" t="n">
        <v>4040763</v>
      </c>
      <c r="GQ97" s="11" t="n">
        <v>123103994</v>
      </c>
      <c r="GR97" s="11" t="n">
        <v>-47533662</v>
      </c>
      <c r="GS97" s="11" t="n">
        <v>-25960827</v>
      </c>
      <c r="GT97" s="11" t="n">
        <v>4241990</v>
      </c>
      <c r="GU97" s="11" t="n">
        <v>-3284322</v>
      </c>
      <c r="GV97" s="11" t="n">
        <v>-168741</v>
      </c>
      <c r="GW97" s="11" t="n">
        <v>-19115904</v>
      </c>
      <c r="GX97" s="11" t="n">
        <v>156268</v>
      </c>
      <c r="GY97" s="11" t="n">
        <v>-5234992</v>
      </c>
      <c r="GZ97" s="11" t="n">
        <v>627254</v>
      </c>
      <c r="HA97" s="11" t="n">
        <v>-19672764</v>
      </c>
      <c r="HB97" s="11" t="n">
        <v>5151912</v>
      </c>
      <c r="HC97" s="11" t="n">
        <v>-5143824</v>
      </c>
      <c r="HD97" s="11" t="n">
        <v>122626</v>
      </c>
      <c r="HE97" s="11" t="n">
        <v>8368</v>
      </c>
      <c r="HF97" s="11" t="n">
        <v>-81604</v>
      </c>
      <c r="HG97" s="11" t="n">
        <v>24772</v>
      </c>
      <c r="HH97" s="11" t="n">
        <v>-44674</v>
      </c>
      <c r="HI97" s="11" t="n">
        <v>-772545</v>
      </c>
      <c r="HJ97" s="11" t="n">
        <v>18171274</v>
      </c>
      <c r="HK97" s="11" t="n">
        <v>-4872652</v>
      </c>
      <c r="HL97" s="11" t="n">
        <v>5533024</v>
      </c>
      <c r="HM97" s="11" t="n">
        <v>725902</v>
      </c>
      <c r="HN97" s="11" t="n">
        <v>-176446</v>
      </c>
      <c r="HO97" s="11" t="n">
        <v>96127</v>
      </c>
      <c r="HP97" s="11" t="n">
        <v>-428220</v>
      </c>
      <c r="HQ97" s="11" t="n">
        <v>2937930</v>
      </c>
      <c r="HR97" s="11" t="n">
        <v>-657420</v>
      </c>
      <c r="HS97" s="11" t="n">
        <v>6457262</v>
      </c>
      <c r="HT97" s="11" t="n">
        <v>502452</v>
      </c>
      <c r="HU97" s="11" t="n">
        <v>20287292</v>
      </c>
      <c r="HV97" s="11" t="n">
        <v>-4367624</v>
      </c>
      <c r="HW97" s="11" t="n">
        <v>5204290</v>
      </c>
      <c r="HX97" s="11" t="n">
        <v>-42751399</v>
      </c>
      <c r="HY97" s="11" t="n">
        <v>133286278</v>
      </c>
      <c r="HZ97" s="11" t="n">
        <v>-66570052</v>
      </c>
      <c r="IA97" s="11" t="n">
        <v>38207456</v>
      </c>
      <c r="IB97" s="11" t="n">
        <v>144686722</v>
      </c>
      <c r="IC97" s="11" t="n">
        <v>-34096540</v>
      </c>
      <c r="ID97" s="11" t="n">
        <v>37428881</v>
      </c>
      <c r="IE97" s="11" t="n">
        <v>-118994976</v>
      </c>
      <c r="IF97" s="11" t="n">
        <v>12616086</v>
      </c>
      <c r="IG97" s="11" t="n">
        <v>27809628</v>
      </c>
      <c r="IH97" s="11" t="n">
        <v>48502</v>
      </c>
      <c r="II97" s="11" t="n">
        <v>19291780</v>
      </c>
      <c r="IJ97" s="11" t="n">
        <v>-4450966</v>
      </c>
      <c r="IK97" s="11" t="n">
        <v>5929896</v>
      </c>
      <c r="IL97" s="11" t="n">
        <v>1348748</v>
      </c>
      <c r="IM97" s="11" t="n">
        <v>-313532</v>
      </c>
      <c r="IN97" s="11" t="n">
        <v>422326</v>
      </c>
      <c r="IO97" s="11" t="n">
        <v>-935196</v>
      </c>
      <c r="IP97" s="11" t="n">
        <v>3082036</v>
      </c>
      <c r="IQ97" s="11" t="n">
        <v>-423622</v>
      </c>
      <c r="IR97" s="11" t="n">
        <v>-128725648</v>
      </c>
      <c r="IS97" s="11" t="n">
        <v>29968399</v>
      </c>
      <c r="IT97" s="11" t="n">
        <v>-39546868</v>
      </c>
      <c r="IU97" s="11" t="n">
        <v>107011626</v>
      </c>
      <c r="IV97" s="11" t="n">
        <v>8251784</v>
      </c>
      <c r="IW97" s="11" t="n">
        <v>-34797008</v>
      </c>
      <c r="IX97" s="11" t="n">
        <v>1241358</v>
      </c>
      <c r="IY97" s="11" t="n">
        <v>21141992</v>
      </c>
      <c r="IZ97" s="11" t="n">
        <v>-5303399</v>
      </c>
      <c r="JA97" s="11" t="n">
        <v>-17496090</v>
      </c>
      <c r="JB97" s="11" t="n">
        <v>26796</v>
      </c>
      <c r="JC97" s="11" t="n">
        <v>20564</v>
      </c>
      <c r="JD97" s="11" t="n">
        <v>-265152</v>
      </c>
      <c r="JE97" s="11" t="n">
        <v>487924</v>
      </c>
      <c r="JF97" s="11" t="n">
        <v>-229936</v>
      </c>
      <c r="JG97" s="11" t="n">
        <v>-796454</v>
      </c>
      <c r="JH97" s="11" t="n">
        <v>12255996</v>
      </c>
      <c r="JI97" s="11" t="n">
        <v>-17228920</v>
      </c>
      <c r="JJ97" s="11" t="n">
        <v>8584912</v>
      </c>
      <c r="JK97" s="11" t="n">
        <v>1524516</v>
      </c>
      <c r="JL97" s="11" t="n">
        <v>1280546</v>
      </c>
      <c r="JM97" s="11" t="n">
        <v>-246056</v>
      </c>
      <c r="JN97" s="11" t="n">
        <v>-52683684</v>
      </c>
      <c r="JO97" s="11" t="n">
        <v>20218992</v>
      </c>
      <c r="JP97" s="11" t="n">
        <v>8480208</v>
      </c>
      <c r="JQ97" s="11" t="n">
        <v>14702</v>
      </c>
      <c r="JR97" s="11" t="n">
        <v>-194076</v>
      </c>
      <c r="JS97" s="11" t="n">
        <v>378634</v>
      </c>
      <c r="JT97" s="11" t="n">
        <v>-172774</v>
      </c>
      <c r="JU97" s="11" t="n">
        <v>-3460</v>
      </c>
      <c r="JV97" s="11" t="n">
        <v>22868</v>
      </c>
      <c r="JW97" s="11" t="n">
        <v>-6434</v>
      </c>
      <c r="JX97" s="11" t="n">
        <v>-212764</v>
      </c>
      <c r="JY97" s="11" t="n">
        <v>44272</v>
      </c>
      <c r="JZ97" s="11" t="n">
        <v>103038</v>
      </c>
      <c r="KA97" s="11" t="n">
        <v>-955928</v>
      </c>
      <c r="KB97" s="11" t="n">
        <v>-1801201</v>
      </c>
      <c r="KC97" s="11" t="n">
        <v>425107</v>
      </c>
      <c r="KD97" s="11" t="n">
        <v>48395914</v>
      </c>
      <c r="KE97" s="11" t="n">
        <v>-16845502</v>
      </c>
      <c r="KF97" s="11" t="n">
        <v>-10219068</v>
      </c>
      <c r="KG97" s="11" t="n">
        <v>1910782</v>
      </c>
      <c r="KH97" s="11" t="n">
        <v>-518386</v>
      </c>
      <c r="KI97" s="11" t="n">
        <v>-127029</v>
      </c>
      <c r="KJ97" s="11" t="n">
        <v>-7427670</v>
      </c>
      <c r="KK97" s="11" t="n">
        <v>763582</v>
      </c>
      <c r="KL97" s="11" t="n">
        <v>-14435292</v>
      </c>
      <c r="KM97" s="11" t="n">
        <v>20910794</v>
      </c>
      <c r="KN97" s="11" t="n">
        <v>-10393754</v>
      </c>
      <c r="KO97" s="11" t="n">
        <v>-3522244</v>
      </c>
      <c r="KP97" s="11" t="n">
        <v>2143588</v>
      </c>
      <c r="KQ97" s="11" t="n">
        <v>-1424174</v>
      </c>
      <c r="KR97" s="11" t="n">
        <v>55933220</v>
      </c>
      <c r="KS97" s="11" t="n">
        <v>-21020624</v>
      </c>
      <c r="KT97" s="11" t="n">
        <v>-9823022</v>
      </c>
      <c r="KU97" s="11" t="n">
        <v>79809976</v>
      </c>
      <c r="KV97" s="11" t="n">
        <v>-130571441</v>
      </c>
      <c r="KW97" s="11" t="n">
        <v>64295517</v>
      </c>
      <c r="KX97" s="11" t="n">
        <v>282807754</v>
      </c>
      <c r="KY97" s="11" t="n">
        <v>-129127330</v>
      </c>
      <c r="KZ97" s="11" t="n">
        <v>-16575988</v>
      </c>
      <c r="LA97" s="11" t="n">
        <v>378249838</v>
      </c>
      <c r="LB97" s="11" t="n">
        <v>-147726382</v>
      </c>
      <c r="LC97" s="11" t="n">
        <v>-63036259</v>
      </c>
      <c r="LD97" s="11" t="n">
        <v>88513062</v>
      </c>
      <c r="LE97" s="11" t="n">
        <v>-2389712</v>
      </c>
      <c r="LF97" s="11" t="n">
        <v>683400</v>
      </c>
      <c r="LG97" s="11" t="n">
        <v>-779290</v>
      </c>
      <c r="LH97" s="11" t="n">
        <v>52523104</v>
      </c>
      <c r="LI97" s="11" t="n">
        <v>-17796124</v>
      </c>
      <c r="LJ97" s="11" t="n">
        <v>-12038630</v>
      </c>
      <c r="LK97" s="11" t="n">
        <v>3556208</v>
      </c>
      <c r="LL97" s="11" t="n">
        <v>-862404</v>
      </c>
      <c r="LM97" s="11" t="n">
        <v>-913060</v>
      </c>
      <c r="LN97" s="11" t="n">
        <v>-7528348</v>
      </c>
      <c r="LO97" s="11" t="n">
        <v>-337208056</v>
      </c>
      <c r="LP97" s="11" t="n">
        <v>119767952</v>
      </c>
      <c r="LQ97" s="11" t="n">
        <v>75713495</v>
      </c>
      <c r="LR97" s="11" t="n">
        <v>-121181222</v>
      </c>
      <c r="LS97" s="11" t="n">
        <v>-56538266</v>
      </c>
    </row>
    <row r="98" customFormat="false" ht="15" hidden="false" customHeight="true" outlineLevel="0" collapsed="false">
      <c r="A98" s="7" t="s">
        <v>164</v>
      </c>
      <c r="B98" s="11" t="n">
        <v>1620595</v>
      </c>
      <c r="C98" s="11" t="n">
        <v>-202055739</v>
      </c>
      <c r="D98" s="11" t="n">
        <v>-285208</v>
      </c>
      <c r="E98" s="11" t="n">
        <v>158561088</v>
      </c>
      <c r="F98" s="11" t="n">
        <v>3672941</v>
      </c>
      <c r="G98" s="11" t="n">
        <v>103332302</v>
      </c>
      <c r="H98" s="11" t="n">
        <v>-87247329</v>
      </c>
      <c r="I98" s="11" t="n">
        <v>-3519604</v>
      </c>
      <c r="J98" s="11" t="n">
        <v>-7378446</v>
      </c>
      <c r="K98" s="11" t="n">
        <v>-177302</v>
      </c>
      <c r="L98" s="11" t="n">
        <v>11159282</v>
      </c>
      <c r="M98" s="11" t="n">
        <v>-227616</v>
      </c>
      <c r="N98" s="11" t="n">
        <v>15302748</v>
      </c>
      <c r="O98" s="11" t="n">
        <v>-331561</v>
      </c>
      <c r="P98" s="11" t="n">
        <v>1241209</v>
      </c>
      <c r="Q98" s="11" t="n">
        <v>20807478</v>
      </c>
      <c r="R98" s="11" t="n">
        <v>-669422370</v>
      </c>
      <c r="S98" s="11" t="n">
        <v>45101778</v>
      </c>
      <c r="T98" s="11" t="n">
        <v>-1437482064</v>
      </c>
      <c r="U98" s="11" t="n">
        <v>-355891449</v>
      </c>
      <c r="V98" s="11" t="n">
        <v>-170778393</v>
      </c>
      <c r="W98" s="11" t="n">
        <v>15383536</v>
      </c>
      <c r="X98" s="11" t="n">
        <v>441898</v>
      </c>
      <c r="Y98" s="11" t="n">
        <v>8611996</v>
      </c>
      <c r="Z98" s="11" t="n">
        <v>-9486986</v>
      </c>
      <c r="AA98" s="11" t="n">
        <v>-603504</v>
      </c>
      <c r="AB98" s="11" t="n">
        <v>-47561806</v>
      </c>
      <c r="AC98" s="11" t="n">
        <v>785702828</v>
      </c>
      <c r="AD98" s="11" t="n">
        <v>568337478</v>
      </c>
      <c r="AE98" s="11" t="n">
        <v>145677176</v>
      </c>
      <c r="AF98" s="11" t="n">
        <v>49195620</v>
      </c>
      <c r="AG98" s="11" t="n">
        <v>-13005527</v>
      </c>
      <c r="AH98" s="11" t="n">
        <v>2318759</v>
      </c>
      <c r="AI98" s="11" t="n">
        <v>802706986</v>
      </c>
      <c r="AJ98" s="11" t="n">
        <v>112376378</v>
      </c>
      <c r="AK98" s="11" t="n">
        <v>-67542559</v>
      </c>
      <c r="AL98" s="11" t="n">
        <v>68755263</v>
      </c>
      <c r="AM98" s="11" t="n">
        <v>609631</v>
      </c>
      <c r="AN98" s="11" t="n">
        <v>-45288001</v>
      </c>
      <c r="AO98" s="11" t="n">
        <v>3027928</v>
      </c>
      <c r="AP98" s="11" t="n">
        <v>-26605884</v>
      </c>
      <c r="AQ98" s="11" t="n">
        <v>33749938</v>
      </c>
      <c r="AR98" s="11" t="n">
        <v>3054128</v>
      </c>
      <c r="AS98" s="11" t="n">
        <v>-63908559</v>
      </c>
      <c r="AT98" s="11" t="n">
        <v>-1080596199</v>
      </c>
      <c r="AU98" s="11" t="n">
        <v>-533349945</v>
      </c>
      <c r="AV98" s="11" t="n">
        <v>-1066748970</v>
      </c>
      <c r="AW98" s="11" t="n">
        <v>-506391549</v>
      </c>
      <c r="AX98" s="11" t="n">
        <v>-231466092</v>
      </c>
      <c r="AY98" s="11" t="n">
        <v>-51676856</v>
      </c>
      <c r="AZ98" s="11" t="n">
        <v>-1914561</v>
      </c>
      <c r="BA98" s="11" t="n">
        <v>-34188902</v>
      </c>
      <c r="BB98" s="11" t="n">
        <v>26880821</v>
      </c>
      <c r="BC98" s="11" t="n">
        <v>786500</v>
      </c>
      <c r="BD98" s="11" t="n">
        <v>398897759</v>
      </c>
      <c r="BE98" s="11" t="n">
        <v>284497658</v>
      </c>
      <c r="BF98" s="11" t="n">
        <v>863984997</v>
      </c>
      <c r="BG98" s="11" t="n">
        <v>200463428</v>
      </c>
      <c r="BH98" s="11" t="n">
        <v>-253366580</v>
      </c>
      <c r="BI98" s="11" t="n">
        <v>239504726</v>
      </c>
      <c r="BJ98" s="11" t="n">
        <v>13497968</v>
      </c>
      <c r="BK98" s="11" t="n">
        <v>719591552</v>
      </c>
      <c r="BL98" s="11" t="n">
        <v>136954576</v>
      </c>
      <c r="BM98" s="11" t="n">
        <v>-91125848</v>
      </c>
      <c r="BN98" s="11" t="n">
        <v>4746600</v>
      </c>
      <c r="BO98" s="11" t="n">
        <v>-267250176</v>
      </c>
      <c r="BP98" s="11" t="n">
        <v>-4129104</v>
      </c>
      <c r="BQ98" s="11" t="n">
        <v>-528098868</v>
      </c>
      <c r="BR98" s="11" t="n">
        <v>-139594119</v>
      </c>
      <c r="BS98" s="11" t="n">
        <v>-66564669</v>
      </c>
      <c r="BT98" s="11" t="n">
        <v>756888</v>
      </c>
      <c r="BU98" s="11" t="n">
        <v>-245648</v>
      </c>
      <c r="BV98" s="11" t="n">
        <v>-2845716</v>
      </c>
      <c r="BW98" s="11" t="n">
        <v>-3567703</v>
      </c>
      <c r="BX98" s="11" t="n">
        <v>-801053</v>
      </c>
      <c r="BY98" s="11" t="n">
        <v>14489264</v>
      </c>
      <c r="BZ98" s="11" t="n">
        <v>244433868</v>
      </c>
      <c r="CA98" s="11" t="n">
        <v>223133689</v>
      </c>
      <c r="CB98" s="11" t="n">
        <v>55716419</v>
      </c>
      <c r="CC98" s="11" t="n">
        <v>-24854880</v>
      </c>
      <c r="CD98" s="11" t="n">
        <v>-4120760</v>
      </c>
      <c r="CE98" s="11" t="n">
        <v>-2748040</v>
      </c>
      <c r="CF98" s="11" t="n">
        <v>313246260</v>
      </c>
      <c r="CG98" s="11" t="n">
        <v>49216500</v>
      </c>
      <c r="CH98" s="11" t="n">
        <v>-26473830</v>
      </c>
      <c r="CI98" s="11" t="n">
        <v>323011368</v>
      </c>
      <c r="CJ98" s="11" t="n">
        <v>40658472</v>
      </c>
      <c r="CK98" s="11" t="n">
        <v>564516324</v>
      </c>
      <c r="CL98" s="11" t="n">
        <v>164713167</v>
      </c>
      <c r="CM98" s="11" t="n">
        <v>77851917</v>
      </c>
      <c r="CN98" s="11" t="n">
        <v>-2008224048</v>
      </c>
      <c r="CO98" s="11" t="n">
        <v>4153467924</v>
      </c>
      <c r="CP98" s="11" t="n">
        <v>225606639</v>
      </c>
      <c r="CQ98" s="11" t="n">
        <v>146464053</v>
      </c>
      <c r="CR98" s="11" t="n">
        <v>4032517260</v>
      </c>
      <c r="CS98" s="11" t="n">
        <v>1052451393</v>
      </c>
      <c r="CT98" s="11" t="n">
        <v>502456299</v>
      </c>
      <c r="CU98" s="11" t="n">
        <v>-1723692354</v>
      </c>
      <c r="CV98" s="11" t="n">
        <v>-745094802</v>
      </c>
      <c r="CW98" s="11" t="n">
        <v>20310891</v>
      </c>
      <c r="CX98" s="11" t="n">
        <v>23199976</v>
      </c>
      <c r="CY98" s="11" t="n">
        <v>283671312</v>
      </c>
      <c r="CZ98" s="11" t="n">
        <v>269051120</v>
      </c>
      <c r="DA98" s="11" t="n">
        <v>66926728</v>
      </c>
      <c r="DB98" s="11" t="n">
        <v>-4839220</v>
      </c>
      <c r="DC98" s="11" t="n">
        <v>22035961</v>
      </c>
      <c r="DD98" s="11" t="n">
        <v>2832643</v>
      </c>
      <c r="DE98" s="11" t="n">
        <v>325559282</v>
      </c>
      <c r="DF98" s="11" t="n">
        <v>48595426</v>
      </c>
      <c r="DG98" s="11" t="n">
        <v>-30718523</v>
      </c>
      <c r="DH98" s="11" t="n">
        <v>-2061958100</v>
      </c>
      <c r="DI98" s="11" t="n">
        <v>-1688946743</v>
      </c>
      <c r="DJ98" s="11" t="n">
        <v>-426616029</v>
      </c>
      <c r="DK98" s="11" t="n">
        <v>3261486034</v>
      </c>
      <c r="DL98" s="11" t="n">
        <v>731956802</v>
      </c>
      <c r="DM98" s="11" t="n">
        <v>-75251851</v>
      </c>
      <c r="DN98" s="11" t="n">
        <v>2310796060</v>
      </c>
      <c r="DO98" s="11" t="n">
        <v>340745180</v>
      </c>
      <c r="DP98" s="11" t="n">
        <v>-198996370</v>
      </c>
      <c r="DQ98" s="11" t="n">
        <v>281318640</v>
      </c>
      <c r="DR98" s="11" t="n">
        <v>-818313</v>
      </c>
      <c r="DS98" s="11" t="n">
        <v>-8341</v>
      </c>
      <c r="DT98" s="11" t="n">
        <v>998866</v>
      </c>
      <c r="DU98" s="11" t="n">
        <v>21667</v>
      </c>
      <c r="DV98" s="11" t="n">
        <v>660564</v>
      </c>
      <c r="DW98" s="11" t="n">
        <v>-80028</v>
      </c>
      <c r="DX98" s="11" t="n">
        <v>49827</v>
      </c>
      <c r="DY98" s="11" t="n">
        <v>895941</v>
      </c>
      <c r="DZ98" s="11" t="n">
        <v>-44473794</v>
      </c>
      <c r="EA98" s="11" t="n">
        <v>-846804</v>
      </c>
      <c r="EB98" s="11" t="n">
        <v>-30181866</v>
      </c>
      <c r="EC98" s="11" t="n">
        <v>-34077303</v>
      </c>
      <c r="ED98" s="11" t="n">
        <v>-7989639</v>
      </c>
      <c r="EE98" s="11" t="n">
        <v>640304</v>
      </c>
      <c r="EF98" s="11" t="n">
        <v>15091</v>
      </c>
      <c r="EG98" s="11" t="n">
        <v>415586</v>
      </c>
      <c r="EH98" s="11" t="n">
        <v>-434967</v>
      </c>
      <c r="EI98" s="11" t="n">
        <v>-26884</v>
      </c>
      <c r="EJ98" s="11" t="n">
        <v>-143918</v>
      </c>
      <c r="EK98" s="11" t="n">
        <v>940780</v>
      </c>
      <c r="EL98" s="11" t="n">
        <v>45945510</v>
      </c>
      <c r="EM98" s="11" t="n">
        <v>7044472</v>
      </c>
      <c r="EN98" s="11" t="n">
        <v>115582</v>
      </c>
      <c r="EO98" s="11" t="n">
        <v>985101</v>
      </c>
      <c r="EP98" s="11" t="n">
        <v>159985</v>
      </c>
      <c r="EQ98" s="11" t="n">
        <v>30459780</v>
      </c>
      <c r="ER98" s="11" t="n">
        <v>4611678</v>
      </c>
      <c r="ES98" s="11" t="n">
        <v>-2856321</v>
      </c>
      <c r="ET98" s="11" t="n">
        <v>-51552</v>
      </c>
      <c r="EU98" s="11" t="n">
        <v>1087074</v>
      </c>
      <c r="EV98" s="11" t="n">
        <v>-213582</v>
      </c>
      <c r="EW98" s="11" t="n">
        <v>4719564</v>
      </c>
      <c r="EX98" s="11" t="n">
        <v>196941</v>
      </c>
      <c r="EY98" s="11" t="n">
        <v>399885</v>
      </c>
      <c r="EZ98" s="11" t="n">
        <v>-51846</v>
      </c>
      <c r="FA98" s="11" t="n">
        <v>-3542</v>
      </c>
      <c r="FB98" s="11" t="n">
        <v>6492</v>
      </c>
      <c r="FC98" s="11" t="n">
        <v>7049</v>
      </c>
      <c r="FD98" s="11" t="n">
        <v>937</v>
      </c>
      <c r="FE98" s="11" t="n">
        <v>289490</v>
      </c>
      <c r="FF98" s="11" t="n">
        <v>-4883376</v>
      </c>
      <c r="FG98" s="11" t="n">
        <v>-346706</v>
      </c>
      <c r="FH98" s="11" t="n">
        <v>-421924</v>
      </c>
      <c r="FI98" s="11" t="n">
        <v>-297372</v>
      </c>
      <c r="FJ98" s="11" t="n">
        <v>15673</v>
      </c>
      <c r="FK98" s="11" t="n">
        <v>-23593</v>
      </c>
      <c r="FL98" s="11" t="n">
        <v>-620532</v>
      </c>
      <c r="FM98" s="11" t="n">
        <v>-35424</v>
      </c>
      <c r="FN98" s="11" t="n">
        <v>51099</v>
      </c>
      <c r="FO98" s="11" t="n">
        <v>1611558</v>
      </c>
      <c r="FP98" s="11" t="n">
        <v>287190</v>
      </c>
      <c r="FQ98" s="11" t="n">
        <v>-3265884</v>
      </c>
      <c r="FR98" s="11" t="n">
        <v>1931175</v>
      </c>
      <c r="FS98" s="11" t="n">
        <v>65511</v>
      </c>
      <c r="FT98" s="11" t="n">
        <v>-12732708</v>
      </c>
      <c r="FU98" s="11" t="n">
        <v>216404964</v>
      </c>
      <c r="FV98" s="11" t="n">
        <v>-34566036</v>
      </c>
      <c r="FW98" s="11" t="n">
        <v>11119308</v>
      </c>
      <c r="FX98" s="11" t="n">
        <v>12761436</v>
      </c>
      <c r="FY98" s="11" t="n">
        <v>9098070</v>
      </c>
      <c r="FZ98" s="11" t="n">
        <v>2499126</v>
      </c>
      <c r="GA98" s="11" t="n">
        <v>-189274722</v>
      </c>
      <c r="GB98" s="11" t="n">
        <v>-31330722</v>
      </c>
      <c r="GC98" s="11" t="n">
        <v>14729712</v>
      </c>
      <c r="GD98" s="11" t="n">
        <v>178102</v>
      </c>
      <c r="GE98" s="11" t="n">
        <v>-3081564</v>
      </c>
      <c r="GF98" s="11" t="n">
        <v>2162546</v>
      </c>
      <c r="GG98" s="11" t="n">
        <v>95176</v>
      </c>
      <c r="GH98" s="11" t="n">
        <v>-188224</v>
      </c>
      <c r="GI98" s="11" t="n">
        <v>171955</v>
      </c>
      <c r="GJ98" s="11" t="n">
        <v>9721</v>
      </c>
      <c r="GK98" s="11" t="n">
        <v>-689758</v>
      </c>
      <c r="GL98" s="11" t="n">
        <v>-67610</v>
      </c>
      <c r="GM98" s="11" t="n">
        <v>26143</v>
      </c>
      <c r="GN98" s="11" t="n">
        <v>430948</v>
      </c>
      <c r="GO98" s="11" t="n">
        <v>-13265912</v>
      </c>
      <c r="GP98" s="11" t="n">
        <v>-1980828</v>
      </c>
      <c r="GQ98" s="11" t="n">
        <v>224297380</v>
      </c>
      <c r="GR98" s="11" t="n">
        <v>34042472</v>
      </c>
      <c r="GS98" s="11" t="n">
        <v>-16962388</v>
      </c>
      <c r="GT98" s="11" t="n">
        <v>13603774</v>
      </c>
      <c r="GU98" s="11" t="n">
        <v>2069882</v>
      </c>
      <c r="GV98" s="11" t="n">
        <v>-1188394</v>
      </c>
      <c r="GW98" s="11" t="n">
        <v>2698734</v>
      </c>
      <c r="GX98" s="11" t="n">
        <v>-46044</v>
      </c>
      <c r="GY98" s="11" t="n">
        <v>19509831</v>
      </c>
      <c r="GZ98" s="11" t="n">
        <v>2448183</v>
      </c>
      <c r="HA98" s="11" t="n">
        <v>14590512</v>
      </c>
      <c r="HB98" s="11" t="n">
        <v>13646634</v>
      </c>
      <c r="HC98" s="11" t="n">
        <v>3656127</v>
      </c>
      <c r="HD98" s="11" t="n">
        <v>142659</v>
      </c>
      <c r="HE98" s="11" t="n">
        <v>23735</v>
      </c>
      <c r="HF98" s="11" t="n">
        <v>111552</v>
      </c>
      <c r="HG98" s="11" t="n">
        <v>143602</v>
      </c>
      <c r="HH98" s="11" t="n">
        <v>34463</v>
      </c>
      <c r="HI98" s="11" t="n">
        <v>-2471777</v>
      </c>
      <c r="HJ98" s="11" t="n">
        <v>-2060916</v>
      </c>
      <c r="HK98" s="11" t="n">
        <v>-18565624</v>
      </c>
      <c r="HL98" s="11" t="n">
        <v>-3274865</v>
      </c>
      <c r="HM98" s="11" t="n">
        <v>1589916</v>
      </c>
      <c r="HN98" s="11" t="n">
        <v>-600754</v>
      </c>
      <c r="HO98" s="11" t="n">
        <v>52264</v>
      </c>
      <c r="HP98" s="11" t="n">
        <v>-12442824</v>
      </c>
      <c r="HQ98" s="11" t="n">
        <v>-2062908</v>
      </c>
      <c r="HR98" s="11" t="n">
        <v>1188498</v>
      </c>
      <c r="HS98" s="11" t="n">
        <v>-18858195</v>
      </c>
      <c r="HT98" s="11" t="n">
        <v>-2632779</v>
      </c>
      <c r="HU98" s="11" t="n">
        <v>-14276376</v>
      </c>
      <c r="HV98" s="11" t="n">
        <v>-13023774</v>
      </c>
      <c r="HW98" s="11" t="n">
        <v>-3553407</v>
      </c>
      <c r="HX98" s="11" t="n">
        <v>112865106</v>
      </c>
      <c r="HY98" s="11" t="n">
        <v>73385514</v>
      </c>
      <c r="HZ98" s="11" t="n">
        <v>-70785669</v>
      </c>
      <c r="IA98" s="11" t="n">
        <v>8218533</v>
      </c>
      <c r="IB98" s="11" t="n">
        <v>-75197910</v>
      </c>
      <c r="IC98" s="11" t="n">
        <v>-87828801</v>
      </c>
      <c r="ID98" s="11" t="n">
        <v>-20119533</v>
      </c>
      <c r="IE98" s="11" t="n">
        <v>-104268684</v>
      </c>
      <c r="IF98" s="11" t="n">
        <v>-7606122</v>
      </c>
      <c r="IG98" s="11" t="n">
        <v>19013835</v>
      </c>
      <c r="IH98" s="11" t="n">
        <v>-1563931</v>
      </c>
      <c r="II98" s="11" t="n">
        <v>-1455474</v>
      </c>
      <c r="IJ98" s="11" t="n">
        <v>-18463121</v>
      </c>
      <c r="IK98" s="11" t="n">
        <v>-3105388</v>
      </c>
      <c r="IL98" s="11" t="n">
        <v>980758</v>
      </c>
      <c r="IM98" s="11" t="n">
        <v>-1497547</v>
      </c>
      <c r="IN98" s="11" t="n">
        <v>-138853</v>
      </c>
      <c r="IO98" s="11" t="n">
        <v>-12972116</v>
      </c>
      <c r="IP98" s="11" t="n">
        <v>-2076646</v>
      </c>
      <c r="IQ98" s="11" t="n">
        <v>1334333</v>
      </c>
      <c r="IR98" s="11" t="n">
        <v>2624978</v>
      </c>
      <c r="IS98" s="11" t="n">
        <v>116370947</v>
      </c>
      <c r="IT98" s="11" t="n">
        <v>17903979</v>
      </c>
      <c r="IU98" s="11" t="n">
        <v>77311340</v>
      </c>
      <c r="IV98" s="11" t="n">
        <v>11450122</v>
      </c>
      <c r="IW98" s="11" t="n">
        <v>-19702667</v>
      </c>
      <c r="IX98" s="11" t="n">
        <v>-75491032</v>
      </c>
      <c r="IY98" s="11" t="n">
        <v>-11460836</v>
      </c>
      <c r="IZ98" s="11" t="n">
        <v>6812062</v>
      </c>
      <c r="JA98" s="11" t="n">
        <v>-8255712</v>
      </c>
      <c r="JB98" s="11" t="n">
        <v>1167912</v>
      </c>
      <c r="JC98" s="11" t="n">
        <v>166248</v>
      </c>
      <c r="JD98" s="11" t="n">
        <v>653616</v>
      </c>
      <c r="JE98" s="11" t="n">
        <v>848628</v>
      </c>
      <c r="JF98" s="11" t="n">
        <v>207828</v>
      </c>
      <c r="JG98" s="11" t="n">
        <v>-8344368</v>
      </c>
      <c r="JH98" s="11" t="n">
        <v>93139092</v>
      </c>
      <c r="JI98" s="11" t="n">
        <v>-13433265</v>
      </c>
      <c r="JJ98" s="11" t="n">
        <v>4676949</v>
      </c>
      <c r="JK98" s="11" t="n">
        <v>17927892</v>
      </c>
      <c r="JL98" s="11" t="n">
        <v>4151007</v>
      </c>
      <c r="JM98" s="11" t="n">
        <v>2150613</v>
      </c>
      <c r="JN98" s="11" t="n">
        <v>-75194568</v>
      </c>
      <c r="JO98" s="11" t="n">
        <v>-13956516</v>
      </c>
      <c r="JP98" s="11" t="n">
        <v>5788791</v>
      </c>
      <c r="JQ98" s="11" t="n">
        <v>86952</v>
      </c>
      <c r="JR98" s="11" t="n">
        <v>804420</v>
      </c>
      <c r="JS98" s="11" t="n">
        <v>1013163</v>
      </c>
      <c r="JT98" s="11" t="n">
        <v>230241</v>
      </c>
      <c r="JU98" s="11" t="n">
        <v>65844</v>
      </c>
      <c r="JV98" s="11" t="n">
        <v>81039</v>
      </c>
      <c r="JW98" s="11" t="n">
        <v>17301</v>
      </c>
      <c r="JX98" s="11" t="n">
        <v>-17496</v>
      </c>
      <c r="JY98" s="11" t="n">
        <v>-14292</v>
      </c>
      <c r="JZ98" s="11" t="n">
        <v>-12993</v>
      </c>
      <c r="KA98" s="11" t="n">
        <v>-12681612</v>
      </c>
      <c r="KB98" s="11" t="n">
        <v>-6238617</v>
      </c>
      <c r="KC98" s="11" t="n">
        <v>-1993203</v>
      </c>
      <c r="KD98" s="11" t="n">
        <v>90050508</v>
      </c>
      <c r="KE98" s="11" t="n">
        <v>15140016</v>
      </c>
      <c r="KF98" s="11" t="n">
        <v>-6705471</v>
      </c>
      <c r="KG98" s="11" t="n">
        <v>7095060</v>
      </c>
      <c r="KH98" s="11" t="n">
        <v>1013940</v>
      </c>
      <c r="KI98" s="11" t="n">
        <v>-616350</v>
      </c>
      <c r="KJ98" s="11" t="n">
        <v>1270620</v>
      </c>
      <c r="KK98" s="11" t="n">
        <v>1309248</v>
      </c>
      <c r="KL98" s="11" t="n">
        <v>-94421268</v>
      </c>
      <c r="KM98" s="11" t="n">
        <v>17222013</v>
      </c>
      <c r="KN98" s="11" t="n">
        <v>-5012721</v>
      </c>
      <c r="KO98" s="11" t="n">
        <v>-14173236</v>
      </c>
      <c r="KP98" s="11" t="n">
        <v>1500165</v>
      </c>
      <c r="KQ98" s="11" t="n">
        <v>-946521</v>
      </c>
      <c r="KR98" s="11" t="n">
        <v>78246576</v>
      </c>
      <c r="KS98" s="11" t="n">
        <v>13996764</v>
      </c>
      <c r="KT98" s="11" t="n">
        <v>-6706971</v>
      </c>
      <c r="KU98" s="11" t="n">
        <v>570200184</v>
      </c>
      <c r="KV98" s="11" t="n">
        <v>-107987022</v>
      </c>
      <c r="KW98" s="11" t="n">
        <v>30571398</v>
      </c>
      <c r="KX98" s="11" t="n">
        <v>287398998</v>
      </c>
      <c r="KY98" s="11" t="n">
        <v>-21642750</v>
      </c>
      <c r="KZ98" s="11" t="n">
        <v>-11310156</v>
      </c>
      <c r="LA98" s="11" t="n">
        <v>515663334</v>
      </c>
      <c r="LB98" s="11" t="n">
        <v>81276282</v>
      </c>
      <c r="LC98" s="11" t="n">
        <v>-43039854</v>
      </c>
      <c r="LD98" s="11" t="n">
        <v>60538554</v>
      </c>
      <c r="LE98" s="11" t="n">
        <v>-7931508</v>
      </c>
      <c r="LF98" s="11" t="n">
        <v>146421</v>
      </c>
      <c r="LG98" s="11" t="n">
        <v>-631305</v>
      </c>
      <c r="LH98" s="11" t="n">
        <v>93772362</v>
      </c>
      <c r="LI98" s="11" t="n">
        <v>15161514</v>
      </c>
      <c r="LJ98" s="11" t="n">
        <v>-7743663</v>
      </c>
      <c r="LK98" s="11" t="n">
        <v>7503018</v>
      </c>
      <c r="LL98" s="11" t="n">
        <v>1100094</v>
      </c>
      <c r="LM98" s="11" t="n">
        <v>-617508</v>
      </c>
      <c r="LN98" s="11" t="n">
        <v>1336278</v>
      </c>
      <c r="LO98" s="11" t="n">
        <v>-590423394</v>
      </c>
      <c r="LP98" s="11" t="n">
        <v>-89740782</v>
      </c>
      <c r="LQ98" s="11" t="n">
        <v>48651174</v>
      </c>
      <c r="LR98" s="11" t="n">
        <v>-67642554</v>
      </c>
      <c r="LS98" s="11" t="n">
        <v>3001380</v>
      </c>
    </row>
    <row r="99" customFormat="false" ht="15" hidden="false" customHeight="true" outlineLevel="0" collapsed="false">
      <c r="A99" s="7" t="s">
        <v>165</v>
      </c>
      <c r="B99" s="11" t="n">
        <v>3008791</v>
      </c>
      <c r="C99" s="11" t="n">
        <v>48712177</v>
      </c>
      <c r="D99" s="11" t="n">
        <v>6545224</v>
      </c>
      <c r="E99" s="11" t="n">
        <v>-157272592</v>
      </c>
      <c r="F99" s="11" t="n">
        <v>15658601</v>
      </c>
      <c r="G99" s="11" t="n">
        <v>-388843210</v>
      </c>
      <c r="H99" s="11" t="n">
        <v>-127593661</v>
      </c>
      <c r="I99" s="11" t="n">
        <v>-169010404</v>
      </c>
      <c r="J99" s="11" t="n">
        <v>-9000154</v>
      </c>
      <c r="K99" s="11" t="n">
        <v>-250750</v>
      </c>
      <c r="L99" s="11" t="n">
        <v>15711366</v>
      </c>
      <c r="M99" s="11" t="n">
        <v>-324600</v>
      </c>
      <c r="N99" s="11" t="n">
        <v>21973692</v>
      </c>
      <c r="O99" s="11" t="n">
        <v>-234345</v>
      </c>
      <c r="P99" s="11" t="n">
        <v>503269</v>
      </c>
      <c r="Q99" s="11" t="n">
        <v>15519006</v>
      </c>
      <c r="R99" s="11" t="n">
        <v>-216081046</v>
      </c>
      <c r="S99" s="11" t="n">
        <v>41584094</v>
      </c>
      <c r="T99" s="11" t="n">
        <v>-807388216</v>
      </c>
      <c r="U99" s="11" t="n">
        <v>-385463149</v>
      </c>
      <c r="V99" s="11" t="n">
        <v>-497410533</v>
      </c>
      <c r="W99" s="11" t="n">
        <v>21071024</v>
      </c>
      <c r="X99" s="11" t="n">
        <v>598850</v>
      </c>
      <c r="Y99" s="11" t="n">
        <v>15394988</v>
      </c>
      <c r="Z99" s="11" t="n">
        <v>-11143330</v>
      </c>
      <c r="AA99" s="11" t="n">
        <v>-12990384</v>
      </c>
      <c r="AB99" s="11" t="n">
        <v>-64799226</v>
      </c>
      <c r="AC99" s="11" t="n">
        <v>881881956</v>
      </c>
      <c r="AD99" s="11" t="n">
        <v>678520626</v>
      </c>
      <c r="AE99" s="11" t="n">
        <v>856235576</v>
      </c>
      <c r="AF99" s="11" t="n">
        <v>72407412</v>
      </c>
      <c r="AG99" s="11" t="n">
        <v>-14984895</v>
      </c>
      <c r="AH99" s="11" t="n">
        <v>-15614341</v>
      </c>
      <c r="AI99" s="11" t="n">
        <v>962123082</v>
      </c>
      <c r="AJ99" s="11" t="n">
        <v>1169270258</v>
      </c>
      <c r="AK99" s="11" t="n">
        <v>-34505779</v>
      </c>
      <c r="AL99" s="11" t="n">
        <v>-33478768</v>
      </c>
      <c r="AM99" s="11" t="n">
        <v>-1557685</v>
      </c>
      <c r="AN99" s="11" t="n">
        <v>87619608</v>
      </c>
      <c r="AO99" s="11" t="n">
        <v>2261254</v>
      </c>
      <c r="AP99" s="11" t="n">
        <v>171357792</v>
      </c>
      <c r="AQ99" s="11" t="n">
        <v>49586579</v>
      </c>
      <c r="AR99" s="11" t="n">
        <v>67436912</v>
      </c>
      <c r="AS99" s="11" t="n">
        <v>47609757</v>
      </c>
      <c r="AT99" s="11" t="n">
        <v>-331412440</v>
      </c>
      <c r="AU99" s="11" t="n">
        <v>210842586</v>
      </c>
      <c r="AV99" s="11" t="n">
        <v>-1552377856</v>
      </c>
      <c r="AW99" s="11" t="n">
        <v>-616928315</v>
      </c>
      <c r="AX99" s="11" t="n">
        <v>-788775728</v>
      </c>
      <c r="AY99" s="11" t="n">
        <v>109182992</v>
      </c>
      <c r="AZ99" s="11" t="n">
        <v>13025691</v>
      </c>
      <c r="BA99" s="11" t="n">
        <v>171457538</v>
      </c>
      <c r="BB99" s="11" t="n">
        <v>41812321</v>
      </c>
      <c r="BC99" s="11" t="n">
        <v>59201428</v>
      </c>
      <c r="BD99" s="11" t="n">
        <v>-574195336</v>
      </c>
      <c r="BE99" s="11" t="n">
        <v>2366533776</v>
      </c>
      <c r="BF99" s="11" t="n">
        <v>1123739320</v>
      </c>
      <c r="BG99" s="11" t="n">
        <v>1396789408</v>
      </c>
      <c r="BH99" s="11" t="n">
        <v>1184029252</v>
      </c>
      <c r="BI99" s="11" t="n">
        <v>353955503</v>
      </c>
      <c r="BJ99" s="11" t="n">
        <v>477980408</v>
      </c>
      <c r="BK99" s="11" t="n">
        <v>858405742</v>
      </c>
      <c r="BL99" s="11" t="n">
        <v>910287328</v>
      </c>
      <c r="BM99" s="11" t="n">
        <v>-74406876</v>
      </c>
      <c r="BN99" s="11" t="n">
        <v>1869390</v>
      </c>
      <c r="BO99" s="11" t="n">
        <v>-87275184</v>
      </c>
      <c r="BP99" s="11" t="n">
        <v>-10375876</v>
      </c>
      <c r="BQ99" s="11" t="n">
        <v>-268079232</v>
      </c>
      <c r="BR99" s="11" t="n">
        <v>-150935186</v>
      </c>
      <c r="BS99" s="11" t="n">
        <v>-196123216</v>
      </c>
      <c r="BT99" s="11" t="n">
        <v>831810</v>
      </c>
      <c r="BU99" s="11" t="n">
        <v>-356500</v>
      </c>
      <c r="BV99" s="11" t="n">
        <v>-2904780</v>
      </c>
      <c r="BW99" s="11" t="n">
        <v>-4253825</v>
      </c>
      <c r="BX99" s="11" t="n">
        <v>-5359585</v>
      </c>
      <c r="BY99" s="11" t="n">
        <v>21260604</v>
      </c>
      <c r="BZ99" s="11" t="n">
        <v>254899296</v>
      </c>
      <c r="CA99" s="11" t="n">
        <v>265756614</v>
      </c>
      <c r="CB99" s="11" t="n">
        <v>337487640</v>
      </c>
      <c r="CC99" s="11" t="n">
        <v>-35001048</v>
      </c>
      <c r="CD99" s="11" t="n">
        <v>-5173470</v>
      </c>
      <c r="CE99" s="11" t="n">
        <v>-7653586</v>
      </c>
      <c r="CF99" s="11" t="n">
        <v>375485388</v>
      </c>
      <c r="CG99" s="11" t="n">
        <v>463840416</v>
      </c>
      <c r="CH99" s="11" t="n">
        <v>-13546601</v>
      </c>
      <c r="CI99" s="11" t="n">
        <v>105607566</v>
      </c>
      <c r="CJ99" s="11" t="n">
        <v>26528454</v>
      </c>
      <c r="CK99" s="11" t="n">
        <v>294550488</v>
      </c>
      <c r="CL99" s="11" t="n">
        <v>180195039</v>
      </c>
      <c r="CM99" s="11" t="n">
        <v>234860769</v>
      </c>
      <c r="CN99" s="11" t="n">
        <v>-652354348</v>
      </c>
      <c r="CO99" s="11" t="n">
        <v>1393099968</v>
      </c>
      <c r="CP99" s="11" t="n">
        <v>114124090</v>
      </c>
      <c r="CQ99" s="11" t="n">
        <v>114785384</v>
      </c>
      <c r="CR99" s="11" t="n">
        <v>2169428656</v>
      </c>
      <c r="CS99" s="11" t="n">
        <v>1141760552</v>
      </c>
      <c r="CT99" s="11" t="n">
        <v>1479605378</v>
      </c>
      <c r="CU99" s="11" t="n">
        <v>-2058700952</v>
      </c>
      <c r="CV99" s="11" t="n">
        <v>-2777968000</v>
      </c>
      <c r="CW99" s="11" t="n">
        <v>-57945799</v>
      </c>
      <c r="CX99" s="11" t="n">
        <v>31943966</v>
      </c>
      <c r="CY99" s="11" t="n">
        <v>295164084</v>
      </c>
      <c r="CZ99" s="11" t="n">
        <v>320491786</v>
      </c>
      <c r="DA99" s="11" t="n">
        <v>407283800</v>
      </c>
      <c r="DB99" s="11" t="n">
        <v>-14950292</v>
      </c>
      <c r="DC99" s="11" t="n">
        <v>26001995</v>
      </c>
      <c r="DD99" s="11" t="n">
        <v>31268831</v>
      </c>
      <c r="DE99" s="11" t="n">
        <v>390255262</v>
      </c>
      <c r="DF99" s="11" t="n">
        <v>479541194</v>
      </c>
      <c r="DG99" s="11" t="n">
        <v>-17805799</v>
      </c>
      <c r="DH99" s="11" t="n">
        <v>-2244656520</v>
      </c>
      <c r="DI99" s="11" t="n">
        <v>-2014247598</v>
      </c>
      <c r="DJ99" s="11" t="n">
        <v>-2550575384</v>
      </c>
      <c r="DK99" s="11" t="n">
        <v>3908732868</v>
      </c>
      <c r="DL99" s="11" t="n">
        <v>5051783184</v>
      </c>
      <c r="DM99" s="11" t="n">
        <v>91784336</v>
      </c>
      <c r="DN99" s="11" t="n">
        <v>2769823176</v>
      </c>
      <c r="DO99" s="11" t="n">
        <v>3390926228</v>
      </c>
      <c r="DP99" s="11" t="n">
        <v>-104460437</v>
      </c>
      <c r="DQ99" s="11" t="n">
        <v>328923974</v>
      </c>
      <c r="DR99" s="11" t="n">
        <v>-1947462</v>
      </c>
      <c r="DS99" s="11" t="n">
        <v>-22633</v>
      </c>
      <c r="DT99" s="11" t="n">
        <v>2310769</v>
      </c>
      <c r="DU99" s="11" t="n">
        <v>31297</v>
      </c>
      <c r="DV99" s="11" t="n">
        <v>1813032</v>
      </c>
      <c r="DW99" s="11" t="n">
        <v>-183321</v>
      </c>
      <c r="DX99" s="11" t="n">
        <v>256647</v>
      </c>
      <c r="DY99" s="11" t="n">
        <v>3870017</v>
      </c>
      <c r="DZ99" s="11" t="n">
        <v>-64384601</v>
      </c>
      <c r="EA99" s="11" t="n">
        <v>10641841</v>
      </c>
      <c r="EB99" s="11" t="n">
        <v>-222328716</v>
      </c>
      <c r="EC99" s="11" t="n">
        <v>-85553889</v>
      </c>
      <c r="ED99" s="11" t="n">
        <v>-105238119</v>
      </c>
      <c r="EE99" s="11" t="n">
        <v>3843720</v>
      </c>
      <c r="EF99" s="11" t="n">
        <v>185871</v>
      </c>
      <c r="EG99" s="11" t="n">
        <v>1019018</v>
      </c>
      <c r="EH99" s="11" t="n">
        <v>-1358587</v>
      </c>
      <c r="EI99" s="11" t="n">
        <v>-713044</v>
      </c>
      <c r="EJ99" s="11" t="n">
        <v>-13661823</v>
      </c>
      <c r="EK99" s="11" t="n">
        <v>203864806</v>
      </c>
      <c r="EL99" s="11" t="n">
        <v>107575051</v>
      </c>
      <c r="EM99" s="11" t="n">
        <v>116385772</v>
      </c>
      <c r="EN99" s="11" t="n">
        <v>13480222</v>
      </c>
      <c r="EO99" s="11" t="n">
        <v>373156</v>
      </c>
      <c r="EP99" s="11" t="n">
        <v>3093685</v>
      </c>
      <c r="EQ99" s="11" t="n">
        <v>100576782</v>
      </c>
      <c r="ER99" s="11" t="n">
        <v>68674038</v>
      </c>
      <c r="ES99" s="11" t="n">
        <v>-21181161</v>
      </c>
      <c r="ET99" s="11" t="n">
        <v>-94598</v>
      </c>
      <c r="EU99" s="11" t="n">
        <v>3257126</v>
      </c>
      <c r="EV99" s="11" t="n">
        <v>-303718</v>
      </c>
      <c r="EW99" s="11" t="n">
        <v>8799336</v>
      </c>
      <c r="EX99" s="11" t="n">
        <v>396684</v>
      </c>
      <c r="EY99" s="11" t="n">
        <v>-441960</v>
      </c>
      <c r="EZ99" s="11" t="n">
        <v>-74392</v>
      </c>
      <c r="FA99" s="11" t="n">
        <v>-5050</v>
      </c>
      <c r="FB99" s="11" t="n">
        <v>14196</v>
      </c>
      <c r="FC99" s="11" t="n">
        <v>13515</v>
      </c>
      <c r="FD99" s="11" t="n">
        <v>-17603</v>
      </c>
      <c r="FE99" s="11" t="n">
        <v>412722</v>
      </c>
      <c r="FF99" s="11" t="n">
        <v>-7408596</v>
      </c>
      <c r="FG99" s="11" t="n">
        <v>-777291</v>
      </c>
      <c r="FH99" s="11" t="n">
        <v>953651</v>
      </c>
      <c r="FI99" s="11" t="n">
        <v>-424164</v>
      </c>
      <c r="FJ99" s="11" t="n">
        <v>22215</v>
      </c>
      <c r="FK99" s="11" t="n">
        <v>-32923</v>
      </c>
      <c r="FL99" s="11" t="n">
        <v>-1197612</v>
      </c>
      <c r="FM99" s="11" t="n">
        <v>1571076</v>
      </c>
      <c r="FN99" s="11" t="n">
        <v>10674</v>
      </c>
      <c r="FO99" s="11" t="n">
        <v>-3345112</v>
      </c>
      <c r="FP99" s="11" t="n">
        <v>86624</v>
      </c>
      <c r="FQ99" s="11" t="n">
        <v>-6686512</v>
      </c>
      <c r="FR99" s="11" t="n">
        <v>3367487</v>
      </c>
      <c r="FS99" s="11" t="n">
        <v>5990211</v>
      </c>
      <c r="FT99" s="11" t="n">
        <v>7757304</v>
      </c>
      <c r="FU99" s="11" t="n">
        <v>-80931440</v>
      </c>
      <c r="FV99" s="11" t="n">
        <v>-129974015</v>
      </c>
      <c r="FW99" s="11" t="n">
        <v>-190622067</v>
      </c>
      <c r="FX99" s="11" t="n">
        <v>-13410224</v>
      </c>
      <c r="FY99" s="11" t="n">
        <v>11174959</v>
      </c>
      <c r="FZ99" s="11" t="n">
        <v>18827571</v>
      </c>
      <c r="GA99" s="11" t="n">
        <v>-341276580</v>
      </c>
      <c r="GB99" s="11" t="n">
        <v>-525959412</v>
      </c>
      <c r="GC99" s="11" t="n">
        <v>-40851978</v>
      </c>
      <c r="GD99" s="11" t="n">
        <v>246696</v>
      </c>
      <c r="GE99" s="11" t="n">
        <v>-5760272</v>
      </c>
      <c r="GF99" s="11" t="n">
        <v>2170288</v>
      </c>
      <c r="GG99" s="11" t="n">
        <v>5333176</v>
      </c>
      <c r="GH99" s="11" t="n">
        <v>-343952</v>
      </c>
      <c r="GI99" s="11" t="n">
        <v>192145</v>
      </c>
      <c r="GJ99" s="11" t="n">
        <v>303661</v>
      </c>
      <c r="GK99" s="11" t="n">
        <v>-1460634</v>
      </c>
      <c r="GL99" s="11" t="n">
        <v>345310</v>
      </c>
      <c r="GM99" s="11" t="n">
        <v>-1482437</v>
      </c>
      <c r="GN99" s="11" t="n">
        <v>7389504</v>
      </c>
      <c r="GO99" s="11" t="n">
        <v>-14618241</v>
      </c>
      <c r="GP99" s="11" t="n">
        <v>-26425653</v>
      </c>
      <c r="GQ99" s="11" t="n">
        <v>276322650</v>
      </c>
      <c r="GR99" s="11" t="n">
        <v>457281122</v>
      </c>
      <c r="GS99" s="11" t="n">
        <v>83545637</v>
      </c>
      <c r="GT99" s="11" t="n">
        <v>14625762</v>
      </c>
      <c r="GU99" s="11" t="n">
        <v>27747722</v>
      </c>
      <c r="GV99" s="11" t="n">
        <v>-2588479</v>
      </c>
      <c r="GW99" s="11" t="n">
        <v>132517584</v>
      </c>
      <c r="GX99" s="11" t="n">
        <v>-756386</v>
      </c>
      <c r="GY99" s="11" t="n">
        <v>31000544</v>
      </c>
      <c r="GZ99" s="11" t="n">
        <v>1115372</v>
      </c>
      <c r="HA99" s="11" t="n">
        <v>90739008</v>
      </c>
      <c r="HB99" s="11" t="n">
        <v>34135086</v>
      </c>
      <c r="HC99" s="11" t="n">
        <v>40793328</v>
      </c>
      <c r="HD99" s="11" t="n">
        <v>-537211</v>
      </c>
      <c r="HE99" s="11" t="n">
        <v>807</v>
      </c>
      <c r="HF99" s="11" t="n">
        <v>350376</v>
      </c>
      <c r="HG99" s="11" t="n">
        <v>467912</v>
      </c>
      <c r="HH99" s="11" t="n">
        <v>374411</v>
      </c>
      <c r="HI99" s="11" t="n">
        <v>-825250</v>
      </c>
      <c r="HJ99" s="11" t="n">
        <v>-78806112</v>
      </c>
      <c r="HK99" s="11" t="n">
        <v>-43421309</v>
      </c>
      <c r="HL99" s="11" t="n">
        <v>-44318072</v>
      </c>
      <c r="HM99" s="11" t="n">
        <v>-419856</v>
      </c>
      <c r="HN99" s="11" t="n">
        <v>-653567</v>
      </c>
      <c r="HO99" s="11" t="n">
        <v>-508586</v>
      </c>
      <c r="HP99" s="11" t="n">
        <v>-40320360</v>
      </c>
      <c r="HQ99" s="11" t="n">
        <v>-26019360</v>
      </c>
      <c r="HR99" s="11" t="n">
        <v>8338515</v>
      </c>
      <c r="HS99" s="11" t="n">
        <v>-36597901</v>
      </c>
      <c r="HT99" s="11" t="n">
        <v>-6349725</v>
      </c>
      <c r="HU99" s="11" t="n">
        <v>-93965980</v>
      </c>
      <c r="HV99" s="11" t="n">
        <v>-34604834</v>
      </c>
      <c r="HW99" s="11" t="n">
        <v>-40190891</v>
      </c>
      <c r="HX99" s="11" t="n">
        <v>206276498</v>
      </c>
      <c r="HY99" s="11" t="n">
        <v>-539223008</v>
      </c>
      <c r="HZ99" s="11" t="n">
        <v>-233351515</v>
      </c>
      <c r="IA99" s="11" t="n">
        <v>-326566984</v>
      </c>
      <c r="IB99" s="11" t="n">
        <v>-623174840</v>
      </c>
      <c r="IC99" s="11" t="n">
        <v>-235529407</v>
      </c>
      <c r="ID99" s="11" t="n">
        <v>-283186918</v>
      </c>
      <c r="IE99" s="11" t="n">
        <v>-89277828</v>
      </c>
      <c r="IF99" s="11" t="n">
        <v>-246307392</v>
      </c>
      <c r="IG99" s="11" t="n">
        <v>-52521891</v>
      </c>
      <c r="IH99" s="11" t="n">
        <v>-4548837</v>
      </c>
      <c r="II99" s="11" t="n">
        <v>-83690846</v>
      </c>
      <c r="IJ99" s="11" t="n">
        <v>-47217551</v>
      </c>
      <c r="IK99" s="11" t="n">
        <v>-46660892</v>
      </c>
      <c r="IL99" s="11" t="n">
        <v>-2841090</v>
      </c>
      <c r="IM99" s="11" t="n">
        <v>-3891117</v>
      </c>
      <c r="IN99" s="11" t="n">
        <v>-3100233</v>
      </c>
      <c r="IO99" s="11" t="n">
        <v>-42099016</v>
      </c>
      <c r="IP99" s="11" t="n">
        <v>-27895774</v>
      </c>
      <c r="IQ99" s="11" t="n">
        <v>7733313</v>
      </c>
      <c r="IR99" s="11" t="n">
        <v>538727404</v>
      </c>
      <c r="IS99" s="11" t="n">
        <v>295135753</v>
      </c>
      <c r="IT99" s="11" t="n">
        <v>303584224</v>
      </c>
      <c r="IU99" s="11" t="n">
        <v>-162069518</v>
      </c>
      <c r="IV99" s="11" t="n">
        <v>59294128</v>
      </c>
      <c r="IW99" s="11" t="n">
        <v>123813204</v>
      </c>
      <c r="IX99" s="11" t="n">
        <v>-276497954</v>
      </c>
      <c r="IY99" s="11" t="n">
        <v>-177555356</v>
      </c>
      <c r="IZ99" s="11" t="n">
        <v>58540707</v>
      </c>
      <c r="JA99" s="11" t="n">
        <v>83847630</v>
      </c>
      <c r="JB99" s="11" t="n">
        <v>240798</v>
      </c>
      <c r="JC99" s="11" t="n">
        <v>172142</v>
      </c>
      <c r="JD99" s="11" t="n">
        <v>990024</v>
      </c>
      <c r="JE99" s="11" t="n">
        <v>1504042</v>
      </c>
      <c r="JF99" s="11" t="n">
        <v>2153192</v>
      </c>
      <c r="JG99" s="11" t="n">
        <v>-6700172</v>
      </c>
      <c r="JH99" s="11" t="n">
        <v>-11689152</v>
      </c>
      <c r="JI99" s="11" t="n">
        <v>-50776270</v>
      </c>
      <c r="JJ99" s="11" t="n">
        <v>-75262064</v>
      </c>
      <c r="JK99" s="11" t="n">
        <v>19190928</v>
      </c>
      <c r="JL99" s="11" t="n">
        <v>5550758</v>
      </c>
      <c r="JM99" s="11" t="n">
        <v>6108832</v>
      </c>
      <c r="JN99" s="11" t="n">
        <v>-135751752</v>
      </c>
      <c r="JO99" s="11" t="n">
        <v>-204911424</v>
      </c>
      <c r="JP99" s="11" t="n">
        <v>-16055976</v>
      </c>
      <c r="JQ99" s="11" t="n">
        <v>122518</v>
      </c>
      <c r="JR99" s="11" t="n">
        <v>814692</v>
      </c>
      <c r="JS99" s="11" t="n">
        <v>1217183</v>
      </c>
      <c r="JT99" s="11" t="n">
        <v>1648465</v>
      </c>
      <c r="JU99" s="11" t="n">
        <v>78684</v>
      </c>
      <c r="JV99" s="11" t="n">
        <v>104885</v>
      </c>
      <c r="JW99" s="11" t="n">
        <v>82913</v>
      </c>
      <c r="JX99" s="11" t="n">
        <v>-84264</v>
      </c>
      <c r="JY99" s="11" t="n">
        <v>-507348</v>
      </c>
      <c r="JZ99" s="11" t="n">
        <v>-587497</v>
      </c>
      <c r="KA99" s="11" t="n">
        <v>-16721256</v>
      </c>
      <c r="KB99" s="11" t="n">
        <v>-8032992</v>
      </c>
      <c r="KC99" s="11" t="n">
        <v>-7574986</v>
      </c>
      <c r="KD99" s="11" t="n">
        <v>112705188</v>
      </c>
      <c r="KE99" s="11" t="n">
        <v>174612096</v>
      </c>
      <c r="KF99" s="11" t="n">
        <v>32827519</v>
      </c>
      <c r="KG99" s="11" t="n">
        <v>9155724</v>
      </c>
      <c r="KH99" s="11" t="n">
        <v>6451128</v>
      </c>
      <c r="KI99" s="11" t="n">
        <v>-1048523</v>
      </c>
      <c r="KJ99" s="11" t="n">
        <v>52126740</v>
      </c>
      <c r="KK99" s="11" t="n">
        <v>6307672</v>
      </c>
      <c r="KL99" s="11" t="n">
        <v>17988144</v>
      </c>
      <c r="KM99" s="11" t="n">
        <v>61756835</v>
      </c>
      <c r="KN99" s="11" t="n">
        <v>91387759</v>
      </c>
      <c r="KO99" s="11" t="n">
        <v>-13074160</v>
      </c>
      <c r="KP99" s="11" t="n">
        <v>4750627</v>
      </c>
      <c r="KQ99" s="11" t="n">
        <v>8928823</v>
      </c>
      <c r="KR99" s="11" t="n">
        <v>141553604</v>
      </c>
      <c r="KS99" s="11" t="n">
        <v>214886116</v>
      </c>
      <c r="KT99" s="11" t="n">
        <v>18591121</v>
      </c>
      <c r="KU99" s="11" t="n">
        <v>-194321888</v>
      </c>
      <c r="KV99" s="11" t="n">
        <v>-388297910</v>
      </c>
      <c r="KW99" s="11" t="n">
        <v>-571372230</v>
      </c>
      <c r="KX99" s="11" t="n">
        <v>795213520</v>
      </c>
      <c r="KY99" s="11" t="n">
        <v>1185970976</v>
      </c>
      <c r="KZ99" s="11" t="n">
        <v>31633745</v>
      </c>
      <c r="LA99" s="11" t="n">
        <v>951194008</v>
      </c>
      <c r="LB99" s="11" t="n">
        <v>1459377992</v>
      </c>
      <c r="LC99" s="11" t="n">
        <v>119325635</v>
      </c>
      <c r="LD99" s="11" t="n">
        <v>-166880964</v>
      </c>
      <c r="LE99" s="11" t="n">
        <v>-12188384</v>
      </c>
      <c r="LF99" s="11" t="n">
        <v>-462077</v>
      </c>
      <c r="LG99" s="11" t="n">
        <v>3316759</v>
      </c>
      <c r="LH99" s="11" t="n">
        <v>118015666</v>
      </c>
      <c r="LI99" s="11" t="n">
        <v>186048266</v>
      </c>
      <c r="LJ99" s="11" t="n">
        <v>39168289</v>
      </c>
      <c r="LK99" s="11" t="n">
        <v>10137454</v>
      </c>
      <c r="LL99" s="11" t="n">
        <v>10378486</v>
      </c>
      <c r="LM99" s="11" t="n">
        <v>3152112</v>
      </c>
      <c r="LN99" s="11" t="n">
        <v>54250982</v>
      </c>
      <c r="LO99" s="11" t="n">
        <v>-736077012</v>
      </c>
      <c r="LP99" s="11" t="n">
        <v>-1206248996</v>
      </c>
      <c r="LQ99" s="11" t="n">
        <v>-246035075</v>
      </c>
      <c r="LR99" s="11" t="n">
        <v>443900266</v>
      </c>
      <c r="LS99" s="11" t="n">
        <v>376500178</v>
      </c>
    </row>
    <row r="100" customFormat="false" ht="15" hidden="false" customHeight="true" outlineLevel="0" collapsed="false">
      <c r="A100" s="7" t="s">
        <v>166</v>
      </c>
      <c r="B100" s="11" t="n">
        <v>1106526</v>
      </c>
      <c r="C100" s="11" t="n">
        <v>-35354846</v>
      </c>
      <c r="D100" s="11" t="n">
        <v>-442024</v>
      </c>
      <c r="E100" s="11" t="n">
        <v>57714564</v>
      </c>
      <c r="F100" s="11" t="n">
        <v>-801638</v>
      </c>
      <c r="G100" s="11" t="n">
        <v>165880228</v>
      </c>
      <c r="H100" s="11" t="n">
        <v>-65688482</v>
      </c>
      <c r="I100" s="11" t="n">
        <v>37653260</v>
      </c>
      <c r="J100" s="11" t="n">
        <v>4693004</v>
      </c>
      <c r="K100" s="11" t="n">
        <v>-144512</v>
      </c>
      <c r="L100" s="11" t="n">
        <v>2825490</v>
      </c>
      <c r="M100" s="11" t="n">
        <v>-469276</v>
      </c>
      <c r="N100" s="11" t="n">
        <v>19489004</v>
      </c>
      <c r="O100" s="11" t="n">
        <v>-806494</v>
      </c>
      <c r="P100" s="11" t="n">
        <v>4646320</v>
      </c>
      <c r="Q100" s="11" t="n">
        <v>6492048</v>
      </c>
      <c r="R100" s="11" t="n">
        <v>-335057146</v>
      </c>
      <c r="S100" s="11" t="n">
        <v>18393848</v>
      </c>
      <c r="T100" s="11" t="n">
        <v>-1326229396</v>
      </c>
      <c r="U100" s="11" t="n">
        <v>304366802</v>
      </c>
      <c r="V100" s="11" t="n">
        <v>-308150760</v>
      </c>
      <c r="W100" s="11" t="n">
        <v>6408808</v>
      </c>
      <c r="X100" s="11" t="n">
        <v>82768</v>
      </c>
      <c r="Y100" s="11" t="n">
        <v>13878640</v>
      </c>
      <c r="Z100" s="11" t="n">
        <v>-8256728</v>
      </c>
      <c r="AA100" s="11" t="n">
        <v>3061440</v>
      </c>
      <c r="AB100" s="11" t="n">
        <v>-22429694</v>
      </c>
      <c r="AC100" s="11" t="n">
        <v>592942636</v>
      </c>
      <c r="AD100" s="11" t="n">
        <v>125668714</v>
      </c>
      <c r="AE100" s="11" t="n">
        <v>146197580</v>
      </c>
      <c r="AF100" s="11" t="n">
        <v>56230476</v>
      </c>
      <c r="AG100" s="11" t="n">
        <v>-27274110</v>
      </c>
      <c r="AH100" s="11" t="n">
        <v>12602600</v>
      </c>
      <c r="AI100" s="11" t="n">
        <v>1036054896</v>
      </c>
      <c r="AJ100" s="11" t="n">
        <v>33354920</v>
      </c>
      <c r="AK100" s="11" t="n">
        <v>-248383300</v>
      </c>
      <c r="AL100" s="11" t="n">
        <v>18505226</v>
      </c>
      <c r="AM100" s="11" t="n">
        <v>484792</v>
      </c>
      <c r="AN100" s="11" t="n">
        <v>-16911105</v>
      </c>
      <c r="AO100" s="11" t="n">
        <v>2984750</v>
      </c>
      <c r="AP100" s="11" t="n">
        <v>-44588338</v>
      </c>
      <c r="AQ100" s="11" t="n">
        <v>24739574</v>
      </c>
      <c r="AR100" s="11" t="n">
        <v>-9017363</v>
      </c>
      <c r="AS100" s="11" t="n">
        <v>-8097408</v>
      </c>
      <c r="AT100" s="11" t="n">
        <v>-424871659</v>
      </c>
      <c r="AU100" s="11" t="n">
        <v>-81960012</v>
      </c>
      <c r="AV100" s="11" t="n">
        <v>-1349482330</v>
      </c>
      <c r="AW100" s="11" t="n">
        <v>308096128</v>
      </c>
      <c r="AX100" s="11" t="n">
        <v>-341586737</v>
      </c>
      <c r="AY100" s="11" t="n">
        <v>-18530468</v>
      </c>
      <c r="AZ100" s="11" t="n">
        <v>-841104</v>
      </c>
      <c r="BA100" s="11" t="n">
        <v>-54863864</v>
      </c>
      <c r="BB100" s="11" t="n">
        <v>18896768</v>
      </c>
      <c r="BC100" s="11" t="n">
        <v>-12894508</v>
      </c>
      <c r="BD100" s="11" t="n">
        <v>143428135</v>
      </c>
      <c r="BE100" s="11" t="n">
        <v>209503858</v>
      </c>
      <c r="BF100" s="11" t="n">
        <v>286454101</v>
      </c>
      <c r="BG100" s="11" t="n">
        <v>105126368</v>
      </c>
      <c r="BH100" s="11" t="n">
        <v>-415143706</v>
      </c>
      <c r="BI100" s="11" t="n">
        <v>159265588</v>
      </c>
      <c r="BJ100" s="11" t="n">
        <v>-95033381</v>
      </c>
      <c r="BK100" s="11" t="n">
        <v>1061760806</v>
      </c>
      <c r="BL100" s="11" t="n">
        <v>165467466</v>
      </c>
      <c r="BM100" s="11" t="n">
        <v>-306534799</v>
      </c>
      <c r="BN100" s="11" t="n">
        <v>4472880</v>
      </c>
      <c r="BO100" s="11" t="n">
        <v>-118976160</v>
      </c>
      <c r="BP100" s="11" t="n">
        <v>20506976</v>
      </c>
      <c r="BQ100" s="11" t="n">
        <v>-515036856</v>
      </c>
      <c r="BR100" s="11" t="n">
        <v>118413190</v>
      </c>
      <c r="BS100" s="11" t="n">
        <v>-115948222</v>
      </c>
      <c r="BT100" s="11" t="n">
        <v>970680</v>
      </c>
      <c r="BU100" s="11" t="n">
        <v>-184208</v>
      </c>
      <c r="BV100" s="11" t="n">
        <v>-2715312</v>
      </c>
      <c r="BW100" s="11" t="n">
        <v>-2877640</v>
      </c>
      <c r="BX100" s="11" t="n">
        <v>-857984</v>
      </c>
      <c r="BY100" s="11" t="n">
        <v>449520</v>
      </c>
      <c r="BZ100" s="11" t="n">
        <v>183996300</v>
      </c>
      <c r="CA100" s="11" t="n">
        <v>50846265</v>
      </c>
      <c r="CB100" s="11" t="n">
        <v>47984355</v>
      </c>
      <c r="CC100" s="11" t="n">
        <v>-33659912</v>
      </c>
      <c r="CD100" s="11" t="n">
        <v>-8316574</v>
      </c>
      <c r="CE100" s="11" t="n">
        <v>-8708762</v>
      </c>
      <c r="CF100" s="11" t="n">
        <v>403234474</v>
      </c>
      <c r="CG100" s="11" t="n">
        <v>28406258</v>
      </c>
      <c r="CH100" s="11" t="n">
        <v>-97309533</v>
      </c>
      <c r="CI100" s="11" t="n">
        <v>154756200</v>
      </c>
      <c r="CJ100" s="11" t="n">
        <v>10837152</v>
      </c>
      <c r="CK100" s="11" t="n">
        <v>551548848</v>
      </c>
      <c r="CL100" s="11" t="n">
        <v>-126284160</v>
      </c>
      <c r="CM100" s="11" t="n">
        <v>133300536</v>
      </c>
      <c r="CN100" s="11" t="n">
        <v>-997778704</v>
      </c>
      <c r="CO100" s="11" t="n">
        <v>3148750404</v>
      </c>
      <c r="CP100" s="11" t="n">
        <v>-737862605</v>
      </c>
      <c r="CQ100" s="11" t="n">
        <v>465945953</v>
      </c>
      <c r="CR100" s="11" t="n">
        <v>3776567152</v>
      </c>
      <c r="CS100" s="11" t="n">
        <v>-865877908</v>
      </c>
      <c r="CT100" s="11" t="n">
        <v>892073876</v>
      </c>
      <c r="CU100" s="11" t="n">
        <v>-60288182</v>
      </c>
      <c r="CV100" s="11" t="n">
        <v>-1051577662</v>
      </c>
      <c r="CW100" s="11" t="n">
        <v>255342839</v>
      </c>
      <c r="CX100" s="11" t="n">
        <v>8725192</v>
      </c>
      <c r="CY100" s="11" t="n">
        <v>213640608</v>
      </c>
      <c r="CZ100" s="11" t="n">
        <v>72157340</v>
      </c>
      <c r="DA100" s="11" t="n">
        <v>58613356</v>
      </c>
      <c r="DB100" s="11" t="n">
        <v>-16135792</v>
      </c>
      <c r="DC100" s="11" t="n">
        <v>12172912</v>
      </c>
      <c r="DD100" s="11" t="n">
        <v>-3410984</v>
      </c>
      <c r="DE100" s="11" t="n">
        <v>431502728</v>
      </c>
      <c r="DF100" s="11" t="n">
        <v>24876040</v>
      </c>
      <c r="DG100" s="11" t="n">
        <v>-109982996</v>
      </c>
      <c r="DH100" s="11" t="n">
        <v>-1554958708</v>
      </c>
      <c r="DI100" s="11" t="n">
        <v>-423628031</v>
      </c>
      <c r="DJ100" s="11" t="n">
        <v>-404175253</v>
      </c>
      <c r="DK100" s="11" t="n">
        <v>2486768666</v>
      </c>
      <c r="DL100" s="11" t="n">
        <v>549340522</v>
      </c>
      <c r="DM100" s="11" t="n">
        <v>-496716927</v>
      </c>
      <c r="DN100" s="11" t="n">
        <v>2952823194</v>
      </c>
      <c r="DO100" s="11" t="n">
        <v>139566962</v>
      </c>
      <c r="DP100" s="11" t="n">
        <v>-729494345</v>
      </c>
      <c r="DQ100" s="11" t="n">
        <v>819979772</v>
      </c>
      <c r="DR100" s="11" t="n">
        <v>323758</v>
      </c>
      <c r="DS100" s="11" t="n">
        <v>-7822</v>
      </c>
      <c r="DT100" s="11" t="n">
        <v>247254</v>
      </c>
      <c r="DU100" s="11" t="n">
        <v>-13670</v>
      </c>
      <c r="DV100" s="11" t="n">
        <v>1270900</v>
      </c>
      <c r="DW100" s="11" t="n">
        <v>-107252</v>
      </c>
      <c r="DX100" s="11" t="n">
        <v>378536</v>
      </c>
      <c r="DY100" s="11" t="n">
        <v>379254</v>
      </c>
      <c r="DZ100" s="11" t="n">
        <v>-24786746</v>
      </c>
      <c r="EA100" s="11" t="n">
        <v>671324</v>
      </c>
      <c r="EB100" s="11" t="n">
        <v>-89141624</v>
      </c>
      <c r="EC100" s="11" t="n">
        <v>22646598</v>
      </c>
      <c r="ED100" s="11" t="n">
        <v>-23111636</v>
      </c>
      <c r="EE100" s="11" t="n">
        <v>309212</v>
      </c>
      <c r="EF100" s="11" t="n">
        <v>-206</v>
      </c>
      <c r="EG100" s="11" t="n">
        <v>664916</v>
      </c>
      <c r="EH100" s="11" t="n">
        <v>-421506</v>
      </c>
      <c r="EI100" s="11" t="n">
        <v>114956</v>
      </c>
      <c r="EJ100" s="11" t="n">
        <v>-533878</v>
      </c>
      <c r="EK100" s="11" t="n">
        <v>29221988</v>
      </c>
      <c r="EL100" s="11" t="n">
        <v>9084050</v>
      </c>
      <c r="EM100" s="11" t="n">
        <v>11330164</v>
      </c>
      <c r="EN100" s="11" t="n">
        <v>1128560</v>
      </c>
      <c r="EO100" s="11" t="n">
        <v>-733814</v>
      </c>
      <c r="EP100" s="11" t="n">
        <v>190932</v>
      </c>
      <c r="EQ100" s="11" t="n">
        <v>59368244</v>
      </c>
      <c r="ER100" s="11" t="n">
        <v>13500008</v>
      </c>
      <c r="ES100" s="11" t="n">
        <v>-18822032</v>
      </c>
      <c r="ET100" s="11" t="n">
        <v>9108</v>
      </c>
      <c r="EU100" s="11" t="n">
        <v>221946</v>
      </c>
      <c r="EV100" s="11" t="n">
        <v>79328</v>
      </c>
      <c r="EW100" s="11" t="n">
        <v>-312132</v>
      </c>
      <c r="EX100" s="11" t="n">
        <v>-218906</v>
      </c>
      <c r="EY100" s="11" t="n">
        <v>245984</v>
      </c>
      <c r="EZ100" s="11" t="n">
        <v>-12318</v>
      </c>
      <c r="FA100" s="11" t="n">
        <v>-1532</v>
      </c>
      <c r="FB100" s="11" t="n">
        <v>-28212</v>
      </c>
      <c r="FC100" s="11" t="n">
        <v>8306</v>
      </c>
      <c r="FD100" s="11" t="n">
        <v>-16592</v>
      </c>
      <c r="FE100" s="11" t="n">
        <v>69954</v>
      </c>
      <c r="FF100" s="11" t="n">
        <v>-1109616</v>
      </c>
      <c r="FG100" s="11" t="n">
        <v>-93654</v>
      </c>
      <c r="FH100" s="11" t="n">
        <v>-71640</v>
      </c>
      <c r="FI100" s="11" t="n">
        <v>-298220</v>
      </c>
      <c r="FJ100" s="11" t="n">
        <v>35522</v>
      </c>
      <c r="FK100" s="11" t="n">
        <v>-103136</v>
      </c>
      <c r="FL100" s="11" t="n">
        <v>-962708</v>
      </c>
      <c r="FM100" s="11" t="n">
        <v>1330544</v>
      </c>
      <c r="FN100" s="11" t="n">
        <v>174456</v>
      </c>
      <c r="FO100" s="11" t="n">
        <v>957294</v>
      </c>
      <c r="FP100" s="11" t="n">
        <v>74040</v>
      </c>
      <c r="FQ100" s="11" t="n">
        <v>2142108</v>
      </c>
      <c r="FR100" s="11" t="n">
        <v>-893526</v>
      </c>
      <c r="FS100" s="11" t="n">
        <v>938328</v>
      </c>
      <c r="FT100" s="11" t="n">
        <v>-6533524</v>
      </c>
      <c r="FU100" s="11" t="n">
        <v>85005972</v>
      </c>
      <c r="FV100" s="11" t="n">
        <v>1234396</v>
      </c>
      <c r="FW100" s="11" t="n">
        <v>-2988676</v>
      </c>
      <c r="FX100" s="11" t="n">
        <v>21194488</v>
      </c>
      <c r="FY100" s="11" t="n">
        <v>-6002836</v>
      </c>
      <c r="FZ100" s="11" t="n">
        <v>6172928</v>
      </c>
      <c r="GA100" s="11" t="n">
        <v>82105660</v>
      </c>
      <c r="GB100" s="11" t="n">
        <v>-90009496</v>
      </c>
      <c r="GC100" s="11" t="n">
        <v>1579652</v>
      </c>
      <c r="GD100" s="11" t="n">
        <v>60886</v>
      </c>
      <c r="GE100" s="11" t="n">
        <v>68148</v>
      </c>
      <c r="GF100" s="11" t="n">
        <v>335438</v>
      </c>
      <c r="GG100" s="11" t="n">
        <v>474868</v>
      </c>
      <c r="GH100" s="11" t="n">
        <v>-130972</v>
      </c>
      <c r="GI100" s="11" t="n">
        <v>82774</v>
      </c>
      <c r="GJ100" s="11" t="n">
        <v>-22952</v>
      </c>
      <c r="GK100" s="11" t="n">
        <v>814208</v>
      </c>
      <c r="GL100" s="11" t="n">
        <v>995800</v>
      </c>
      <c r="GM100" s="11" t="n">
        <v>-772028</v>
      </c>
      <c r="GN100" s="11" t="n">
        <v>-5871676</v>
      </c>
      <c r="GO100" s="11" t="n">
        <v>-2367872</v>
      </c>
      <c r="GP100" s="11" t="n">
        <v>-3050884</v>
      </c>
      <c r="GQ100" s="11" t="n">
        <v>29698412</v>
      </c>
      <c r="GR100" s="11" t="n">
        <v>42380176</v>
      </c>
      <c r="GS100" s="11" t="n">
        <v>1659564</v>
      </c>
      <c r="GT100" s="11" t="n">
        <v>13076028</v>
      </c>
      <c r="GU100" s="11" t="n">
        <v>4349336</v>
      </c>
      <c r="GV100" s="11" t="n">
        <v>-5040260</v>
      </c>
      <c r="GW100" s="11" t="n">
        <v>72380696</v>
      </c>
      <c r="GX100" s="11" t="n">
        <v>-272658</v>
      </c>
      <c r="GY100" s="11" t="n">
        <v>9083019</v>
      </c>
      <c r="GZ100" s="11" t="n">
        <v>-1101920</v>
      </c>
      <c r="HA100" s="11" t="n">
        <v>34300254</v>
      </c>
      <c r="HB100" s="11" t="n">
        <v>-9032194</v>
      </c>
      <c r="HC100" s="11" t="n">
        <v>8968915</v>
      </c>
      <c r="HD100" s="11" t="n">
        <v>-11217</v>
      </c>
      <c r="HE100" s="11" t="n">
        <v>15110</v>
      </c>
      <c r="HF100" s="11" t="n">
        <v>241614</v>
      </c>
      <c r="HG100" s="11" t="n">
        <v>127894</v>
      </c>
      <c r="HH100" s="11" t="n">
        <v>102101</v>
      </c>
      <c r="HI100" s="11" t="n">
        <v>-458025</v>
      </c>
      <c r="HJ100" s="11" t="n">
        <v>-9459948</v>
      </c>
      <c r="HK100" s="11" t="n">
        <v>-3888936</v>
      </c>
      <c r="HL100" s="11" t="n">
        <v>-3770253</v>
      </c>
      <c r="HM100" s="11" t="n">
        <v>2877290</v>
      </c>
      <c r="HN100" s="11" t="n">
        <v>16330</v>
      </c>
      <c r="HO100" s="11" t="n">
        <v>909665</v>
      </c>
      <c r="HP100" s="11" t="n">
        <v>-24092824</v>
      </c>
      <c r="HQ100" s="11" t="n">
        <v>-4896518</v>
      </c>
      <c r="HR100" s="11" t="n">
        <v>7589238</v>
      </c>
      <c r="HS100" s="11" t="n">
        <v>-10234599</v>
      </c>
      <c r="HT100" s="11" t="n">
        <v>-725436</v>
      </c>
      <c r="HU100" s="11" t="n">
        <v>-34892322</v>
      </c>
      <c r="HV100" s="11" t="n">
        <v>8491776</v>
      </c>
      <c r="HW100" s="11" t="n">
        <v>-8957541</v>
      </c>
      <c r="HX100" s="11" t="n">
        <v>65528458</v>
      </c>
      <c r="HY100" s="11" t="n">
        <v>-125144766</v>
      </c>
      <c r="HZ100" s="11" t="n">
        <v>56150639</v>
      </c>
      <c r="IA100" s="11" t="n">
        <v>-38259407</v>
      </c>
      <c r="IB100" s="11" t="n">
        <v>-232273348</v>
      </c>
      <c r="IC100" s="11" t="n">
        <v>58349788</v>
      </c>
      <c r="ID100" s="11" t="n">
        <v>-60063770</v>
      </c>
      <c r="IE100" s="11" t="n">
        <v>87597458</v>
      </c>
      <c r="IF100" s="11" t="n">
        <v>-20906552</v>
      </c>
      <c r="IG100" s="11" t="n">
        <v>-17399933</v>
      </c>
      <c r="IH100" s="11" t="n">
        <v>-597019</v>
      </c>
      <c r="II100" s="11" t="n">
        <v>-10504770</v>
      </c>
      <c r="IJ100" s="11" t="n">
        <v>-4451333</v>
      </c>
      <c r="IK100" s="11" t="n">
        <v>-4201012</v>
      </c>
      <c r="IL100" s="11" t="n">
        <v>1290802</v>
      </c>
      <c r="IM100" s="11" t="n">
        <v>-810868</v>
      </c>
      <c r="IN100" s="11" t="n">
        <v>224753</v>
      </c>
      <c r="IO100" s="11" t="n">
        <v>-23891654</v>
      </c>
      <c r="IP100" s="11" t="n">
        <v>-5128306</v>
      </c>
      <c r="IQ100" s="11" t="n">
        <v>7381535</v>
      </c>
      <c r="IR100" s="11" t="n">
        <v>74558386</v>
      </c>
      <c r="IS100" s="11" t="n">
        <v>25224827</v>
      </c>
      <c r="IT100" s="11" t="n">
        <v>29129371</v>
      </c>
      <c r="IU100" s="11" t="n">
        <v>-112062092</v>
      </c>
      <c r="IV100" s="11" t="n">
        <v>-12098998</v>
      </c>
      <c r="IW100" s="11" t="n">
        <v>39688401</v>
      </c>
      <c r="IX100" s="11" t="n">
        <v>-155802858</v>
      </c>
      <c r="IY100" s="11" t="n">
        <v>-34911836</v>
      </c>
      <c r="IZ100" s="11" t="n">
        <v>49059461</v>
      </c>
      <c r="JA100" s="11" t="n">
        <v>27189898</v>
      </c>
      <c r="JB100" s="11" t="n">
        <v>442440</v>
      </c>
      <c r="JC100" s="11" t="n">
        <v>35808</v>
      </c>
      <c r="JD100" s="11" t="n">
        <v>702072</v>
      </c>
      <c r="JE100" s="11" t="n">
        <v>-438450</v>
      </c>
      <c r="JF100" s="11" t="n">
        <v>459474</v>
      </c>
      <c r="JG100" s="11" t="n">
        <v>-2980944</v>
      </c>
      <c r="JH100" s="11" t="n">
        <v>32270724</v>
      </c>
      <c r="JI100" s="11" t="n">
        <v>-50445</v>
      </c>
      <c r="JJ100" s="11" t="n">
        <v>-752607</v>
      </c>
      <c r="JK100" s="11" t="n">
        <v>7341984</v>
      </c>
      <c r="JL100" s="11" t="n">
        <v>-2958144</v>
      </c>
      <c r="JM100" s="11" t="n">
        <v>3034800</v>
      </c>
      <c r="JN100" s="11" t="n">
        <v>31899654</v>
      </c>
      <c r="JO100" s="11" t="n">
        <v>-34707402</v>
      </c>
      <c r="JP100" s="11" t="n">
        <v>798207</v>
      </c>
      <c r="JQ100" s="11" t="n">
        <v>25992</v>
      </c>
      <c r="JR100" s="11" t="n">
        <v>420948</v>
      </c>
      <c r="JS100" s="11" t="n">
        <v>189495</v>
      </c>
      <c r="JT100" s="11" t="n">
        <v>184581</v>
      </c>
      <c r="JU100" s="11" t="n">
        <v>-7176</v>
      </c>
      <c r="JV100" s="11" t="n">
        <v>41094</v>
      </c>
      <c r="JW100" s="11" t="n">
        <v>-12054</v>
      </c>
      <c r="JX100" s="11" t="n">
        <v>717846</v>
      </c>
      <c r="JY100" s="11" t="n">
        <v>-144258</v>
      </c>
      <c r="JZ100" s="11" t="n">
        <v>-379707</v>
      </c>
      <c r="KA100" s="11" t="n">
        <v>-4731948</v>
      </c>
      <c r="KB100" s="11" t="n">
        <v>-1273761</v>
      </c>
      <c r="KC100" s="11" t="n">
        <v>-1199403</v>
      </c>
      <c r="KD100" s="11" t="n">
        <v>13869396</v>
      </c>
      <c r="KE100" s="11" t="n">
        <v>14179032</v>
      </c>
      <c r="KF100" s="11" t="n">
        <v>301293</v>
      </c>
      <c r="KG100" s="11" t="n">
        <v>7832994</v>
      </c>
      <c r="KH100" s="11" t="n">
        <v>-1863342</v>
      </c>
      <c r="KI100" s="11" t="n">
        <v>-2487003</v>
      </c>
      <c r="KJ100" s="11" t="n">
        <v>28932630</v>
      </c>
      <c r="KK100" s="11" t="n">
        <v>166944</v>
      </c>
      <c r="KL100" s="11" t="n">
        <v>-30266244</v>
      </c>
      <c r="KM100" s="11" t="n">
        <v>-2678295</v>
      </c>
      <c r="KN100" s="11" t="n">
        <v>2711667</v>
      </c>
      <c r="KO100" s="11" t="n">
        <v>-2714448</v>
      </c>
      <c r="KP100" s="11" t="n">
        <v>-51324</v>
      </c>
      <c r="KQ100" s="11" t="n">
        <v>46092</v>
      </c>
      <c r="KR100" s="11" t="n">
        <v>-34243266</v>
      </c>
      <c r="KS100" s="11" t="n">
        <v>35734422</v>
      </c>
      <c r="KT100" s="11" t="n">
        <v>94197</v>
      </c>
      <c r="KU100" s="11" t="n">
        <v>191742552</v>
      </c>
      <c r="KV100" s="11" t="n">
        <v>18064074</v>
      </c>
      <c r="KW100" s="11" t="n">
        <v>-17985906</v>
      </c>
      <c r="KX100" s="11" t="n">
        <v>-198800514</v>
      </c>
      <c r="KY100" s="11" t="n">
        <v>146299770</v>
      </c>
      <c r="KZ100" s="11" t="n">
        <v>-4865052</v>
      </c>
      <c r="LA100" s="11" t="n">
        <v>-234767316</v>
      </c>
      <c r="LB100" s="11" t="n">
        <v>239505516</v>
      </c>
      <c r="LC100" s="11" t="n">
        <v>542094</v>
      </c>
      <c r="LD100" s="11" t="n">
        <v>-69193902</v>
      </c>
      <c r="LE100" s="11" t="n">
        <v>-1936884</v>
      </c>
      <c r="LF100" s="11" t="n">
        <v>-228843</v>
      </c>
      <c r="LG100" s="11" t="n">
        <v>89655</v>
      </c>
      <c r="LH100" s="11" t="n">
        <v>10414698</v>
      </c>
      <c r="LI100" s="11" t="n">
        <v>15206682</v>
      </c>
      <c r="LJ100" s="11" t="n">
        <v>2278749</v>
      </c>
      <c r="LK100" s="11" t="n">
        <v>3125442</v>
      </c>
      <c r="LL100" s="11" t="n">
        <v>-922998</v>
      </c>
      <c r="LM100" s="11" t="n">
        <v>35619</v>
      </c>
      <c r="LN100" s="11" t="n">
        <v>29501172</v>
      </c>
      <c r="LO100" s="11" t="n">
        <v>-53256930</v>
      </c>
      <c r="LP100" s="11" t="n">
        <v>-105699726</v>
      </c>
      <c r="LQ100" s="11" t="n">
        <v>-14953602</v>
      </c>
      <c r="LR100" s="11" t="n">
        <v>150225582</v>
      </c>
      <c r="LS100" s="11" t="n">
        <v>195940698</v>
      </c>
    </row>
    <row r="101" customFormat="false" ht="15" hidden="false" customHeight="true" outlineLevel="0" collapsed="false">
      <c r="A101" s="7" t="s">
        <v>167</v>
      </c>
      <c r="B101" s="11" t="n">
        <v>359804</v>
      </c>
      <c r="C101" s="11" t="n">
        <v>-63672612</v>
      </c>
      <c r="D101" s="11" t="n">
        <v>3215656</v>
      </c>
      <c r="E101" s="11" t="n">
        <v>-52521748</v>
      </c>
      <c r="F101" s="11" t="n">
        <v>10412844</v>
      </c>
      <c r="G101" s="11" t="n">
        <v>-383736240</v>
      </c>
      <c r="H101" s="11" t="n">
        <v>5577916</v>
      </c>
      <c r="I101" s="11" t="n">
        <v>-139105276</v>
      </c>
      <c r="J101" s="11" t="n">
        <v>4048164</v>
      </c>
      <c r="K101" s="11" t="n">
        <v>-209380</v>
      </c>
      <c r="L101" s="11" t="n">
        <v>4364774</v>
      </c>
      <c r="M101" s="11" t="n">
        <v>-668540</v>
      </c>
      <c r="N101" s="11" t="n">
        <v>27493948</v>
      </c>
      <c r="O101" s="11" t="n">
        <v>-1564380</v>
      </c>
      <c r="P101" s="11" t="n">
        <v>8826886</v>
      </c>
      <c r="Q101" s="11" t="n">
        <v>873444</v>
      </c>
      <c r="R101" s="11" t="n">
        <v>-181487454</v>
      </c>
      <c r="S101" s="11" t="n">
        <v>1152816</v>
      </c>
      <c r="T101" s="11" t="n">
        <v>-548032404</v>
      </c>
      <c r="U101" s="11" t="n">
        <v>214082784</v>
      </c>
      <c r="V101" s="11" t="n">
        <v>3029658</v>
      </c>
      <c r="W101" s="11" t="n">
        <v>8445176</v>
      </c>
      <c r="X101" s="11" t="n">
        <v>84620</v>
      </c>
      <c r="Y101" s="11" t="n">
        <v>22413272</v>
      </c>
      <c r="Z101" s="11" t="n">
        <v>-10735300</v>
      </c>
      <c r="AA101" s="11" t="n">
        <v>-2061216</v>
      </c>
      <c r="AB101" s="11" t="n">
        <v>-28729034</v>
      </c>
      <c r="AC101" s="11" t="n">
        <v>641715364</v>
      </c>
      <c r="AD101" s="11" t="n">
        <v>160692014</v>
      </c>
      <c r="AE101" s="11" t="n">
        <v>398993924</v>
      </c>
      <c r="AF101" s="11" t="n">
        <v>82676028</v>
      </c>
      <c r="AG101" s="11" t="n">
        <v>-34909520</v>
      </c>
      <c r="AH101" s="11" t="n">
        <v>-3014014</v>
      </c>
      <c r="AI101" s="11" t="n">
        <v>1242205108</v>
      </c>
      <c r="AJ101" s="11" t="n">
        <v>1215542852</v>
      </c>
      <c r="AK101" s="11" t="n">
        <v>-467971126</v>
      </c>
      <c r="AL101" s="11" t="n">
        <v>29665104</v>
      </c>
      <c r="AM101" s="11" t="n">
        <v>-1364932</v>
      </c>
      <c r="AN101" s="11" t="n">
        <v>26811080</v>
      </c>
      <c r="AO101" s="11" t="n">
        <v>-3867000</v>
      </c>
      <c r="AP101" s="11" t="n">
        <v>183868048</v>
      </c>
      <c r="AQ101" s="11" t="n">
        <v>-4164404</v>
      </c>
      <c r="AR101" s="11" t="n">
        <v>65663448</v>
      </c>
      <c r="AS101" s="11" t="n">
        <v>-23579460</v>
      </c>
      <c r="AT101" s="11" t="n">
        <v>-414304392</v>
      </c>
      <c r="AU101" s="11" t="n">
        <v>-174195144</v>
      </c>
      <c r="AV101" s="11" t="n">
        <v>-899888304</v>
      </c>
      <c r="AW101" s="11" t="n">
        <v>277064796</v>
      </c>
      <c r="AX101" s="11" t="n">
        <v>-151167768</v>
      </c>
      <c r="AY101" s="11" t="n">
        <v>40373636</v>
      </c>
      <c r="AZ101" s="11" t="n">
        <v>4941252</v>
      </c>
      <c r="BA101" s="11" t="n">
        <v>187553552</v>
      </c>
      <c r="BB101" s="11" t="n">
        <v>-16058228</v>
      </c>
      <c r="BC101" s="11" t="n">
        <v>59148364</v>
      </c>
      <c r="BD101" s="11" t="n">
        <v>-211442880</v>
      </c>
      <c r="BE101" s="11" t="n">
        <v>1754599024</v>
      </c>
      <c r="BF101" s="11" t="n">
        <v>192248628</v>
      </c>
      <c r="BG101" s="11" t="n">
        <v>780434944</v>
      </c>
      <c r="BH101" s="11" t="n">
        <v>1196988528</v>
      </c>
      <c r="BI101" s="11" t="n">
        <v>-60570444</v>
      </c>
      <c r="BJ101" s="11" t="n">
        <v>405284928</v>
      </c>
      <c r="BK101" s="11" t="n">
        <v>1590955648</v>
      </c>
      <c r="BL101" s="11" t="n">
        <v>1054938032</v>
      </c>
      <c r="BM101" s="11" t="n">
        <v>-592059484</v>
      </c>
      <c r="BN101" s="11" t="n">
        <v>1906068</v>
      </c>
      <c r="BO101" s="11" t="n">
        <v>-58214544</v>
      </c>
      <c r="BP101" s="11" t="n">
        <v>11612040</v>
      </c>
      <c r="BQ101" s="11" t="n">
        <v>-198115680</v>
      </c>
      <c r="BR101" s="11" t="n">
        <v>82126116</v>
      </c>
      <c r="BS101" s="11" t="n">
        <v>11022432</v>
      </c>
      <c r="BT101" s="11" t="n">
        <v>955842</v>
      </c>
      <c r="BU101" s="11" t="n">
        <v>-285820</v>
      </c>
      <c r="BV101" s="11" t="n">
        <v>-2698476</v>
      </c>
      <c r="BW101" s="11" t="n">
        <v>-3511160</v>
      </c>
      <c r="BX101" s="11" t="n">
        <v>-4726222</v>
      </c>
      <c r="BY101" s="11" t="n">
        <v>2906300</v>
      </c>
      <c r="BZ101" s="11" t="n">
        <v>181765728</v>
      </c>
      <c r="CA101" s="11" t="n">
        <v>66052726</v>
      </c>
      <c r="CB101" s="11" t="n">
        <v>138819368</v>
      </c>
      <c r="CC101" s="11" t="n">
        <v>-46147480</v>
      </c>
      <c r="CD101" s="11" t="n">
        <v>-9075460</v>
      </c>
      <c r="CE101" s="11" t="n">
        <v>-27139980</v>
      </c>
      <c r="CF101" s="11" t="n">
        <v>481216412</v>
      </c>
      <c r="CG101" s="11" t="n">
        <v>506845744</v>
      </c>
      <c r="CH101" s="11" t="n">
        <v>-183332774</v>
      </c>
      <c r="CI101" s="11" t="n">
        <v>72892374</v>
      </c>
      <c r="CJ101" s="11" t="n">
        <v>1962648</v>
      </c>
      <c r="CK101" s="11" t="n">
        <v>215293668</v>
      </c>
      <c r="CL101" s="11" t="n">
        <v>-83080572</v>
      </c>
      <c r="CM101" s="11" t="n">
        <v>951726</v>
      </c>
      <c r="CN101" s="11" t="n">
        <v>-504013404</v>
      </c>
      <c r="CO101" s="11" t="n">
        <v>1000960896</v>
      </c>
      <c r="CP101" s="11" t="n">
        <v>-603268062</v>
      </c>
      <c r="CQ101" s="11" t="n">
        <v>-450590184</v>
      </c>
      <c r="CR101" s="11" t="n">
        <v>1515596520</v>
      </c>
      <c r="CS101" s="11" t="n">
        <v>-590702736</v>
      </c>
      <c r="CT101" s="11" t="n">
        <v>-5551572</v>
      </c>
      <c r="CU101" s="11" t="n">
        <v>-640936596</v>
      </c>
      <c r="CV101" s="11" t="n">
        <v>-1343924592</v>
      </c>
      <c r="CW101" s="11" t="n">
        <v>521445990</v>
      </c>
      <c r="CX101" s="11" t="n">
        <v>11914622</v>
      </c>
      <c r="CY101" s="11" t="n">
        <v>211159860</v>
      </c>
      <c r="CZ101" s="11" t="n">
        <v>92612062</v>
      </c>
      <c r="DA101" s="11" t="n">
        <v>181218740</v>
      </c>
      <c r="DB101" s="11" t="n">
        <v>-29505284</v>
      </c>
      <c r="DC101" s="11" t="n">
        <v>16073540</v>
      </c>
      <c r="DD101" s="11" t="n">
        <v>4723802</v>
      </c>
      <c r="DE101" s="11" t="n">
        <v>514211164</v>
      </c>
      <c r="DF101" s="11" t="n">
        <v>532487540</v>
      </c>
      <c r="DG101" s="11" t="n">
        <v>-207756958</v>
      </c>
      <c r="DH101" s="11" t="n">
        <v>-1623674248</v>
      </c>
      <c r="DI101" s="11" t="n">
        <v>-541757766</v>
      </c>
      <c r="DJ101" s="11" t="n">
        <v>-1179383488</v>
      </c>
      <c r="DK101" s="11" t="n">
        <v>3019342628</v>
      </c>
      <c r="DL101" s="11" t="n">
        <v>3793804720</v>
      </c>
      <c r="DM101" s="11" t="n">
        <v>-927304028</v>
      </c>
      <c r="DN101" s="11" t="n">
        <v>3532039012</v>
      </c>
      <c r="DO101" s="11" t="n">
        <v>3564356504</v>
      </c>
      <c r="DP101" s="11" t="n">
        <v>-1376267854</v>
      </c>
      <c r="DQ101" s="11" t="n">
        <v>1624619436</v>
      </c>
      <c r="DR101" s="11" t="n">
        <v>513794</v>
      </c>
      <c r="DS101" s="11" t="n">
        <v>-28846</v>
      </c>
      <c r="DT101" s="11" t="n">
        <v>638557</v>
      </c>
      <c r="DU101" s="11" t="n">
        <v>-88014</v>
      </c>
      <c r="DV101" s="11" t="n">
        <v>3840058</v>
      </c>
      <c r="DW101" s="11" t="n">
        <v>-245784</v>
      </c>
      <c r="DX101" s="11" t="n">
        <v>1308083</v>
      </c>
      <c r="DY101" s="11" t="n">
        <v>512822</v>
      </c>
      <c r="DZ101" s="11" t="n">
        <v>-38001893</v>
      </c>
      <c r="EA101" s="11" t="n">
        <v>706008</v>
      </c>
      <c r="EB101" s="11" t="n">
        <v>-131585934</v>
      </c>
      <c r="EC101" s="11" t="n">
        <v>35529926</v>
      </c>
      <c r="ED101" s="11" t="n">
        <v>-32844563</v>
      </c>
      <c r="EE101" s="11" t="n">
        <v>1496196</v>
      </c>
      <c r="EF101" s="11" t="n">
        <v>48210</v>
      </c>
      <c r="EG101" s="11" t="n">
        <v>3554852</v>
      </c>
      <c r="EH101" s="11" t="n">
        <v>-1749442</v>
      </c>
      <c r="EI101" s="11" t="n">
        <v>538388</v>
      </c>
      <c r="EJ101" s="11" t="n">
        <v>-5632359</v>
      </c>
      <c r="EK101" s="11" t="n">
        <v>120484774</v>
      </c>
      <c r="EL101" s="11" t="n">
        <v>25978555</v>
      </c>
      <c r="EM101" s="11" t="n">
        <v>55930012</v>
      </c>
      <c r="EN101" s="11" t="n">
        <v>17264298</v>
      </c>
      <c r="EO101" s="11" t="n">
        <v>-5748618</v>
      </c>
      <c r="EP101" s="11" t="n">
        <v>3828897</v>
      </c>
      <c r="EQ101" s="11" t="n">
        <v>202601158</v>
      </c>
      <c r="ER101" s="11" t="n">
        <v>89530622</v>
      </c>
      <c r="ES101" s="11" t="n">
        <v>-74744789</v>
      </c>
      <c r="ET101" s="11" t="n">
        <v>-25556</v>
      </c>
      <c r="EU101" s="11" t="n">
        <v>951598</v>
      </c>
      <c r="EV101" s="11" t="n">
        <v>-35584</v>
      </c>
      <c r="EW101" s="11" t="n">
        <v>3943700</v>
      </c>
      <c r="EX101" s="11" t="n">
        <v>-531414</v>
      </c>
      <c r="EY101" s="11" t="n">
        <v>2112632</v>
      </c>
      <c r="EZ101" s="11" t="n">
        <v>-21664</v>
      </c>
      <c r="FA101" s="11" t="n">
        <v>-2380</v>
      </c>
      <c r="FB101" s="11" t="n">
        <v>-30408</v>
      </c>
      <c r="FC101" s="11" t="n">
        <v>17610</v>
      </c>
      <c r="FD101" s="11" t="n">
        <v>-53546</v>
      </c>
      <c r="FE101" s="11" t="n">
        <v>118786</v>
      </c>
      <c r="FF101" s="11" t="n">
        <v>-2210836</v>
      </c>
      <c r="FG101" s="11" t="n">
        <v>-205239</v>
      </c>
      <c r="FH101" s="11" t="n">
        <v>202935</v>
      </c>
      <c r="FI101" s="11" t="n">
        <v>-409612</v>
      </c>
      <c r="FJ101" s="11" t="n">
        <v>74010</v>
      </c>
      <c r="FK101" s="11" t="n">
        <v>-271304</v>
      </c>
      <c r="FL101" s="11" t="n">
        <v>-2085198</v>
      </c>
      <c r="FM101" s="11" t="n">
        <v>5749274</v>
      </c>
      <c r="FN101" s="11" t="n">
        <v>342321</v>
      </c>
      <c r="FO101" s="11" t="n">
        <v>-940408</v>
      </c>
      <c r="FP101" s="11" t="n">
        <v>-400</v>
      </c>
      <c r="FQ101" s="11" t="n">
        <v>-2608816</v>
      </c>
      <c r="FR101" s="11" t="n">
        <v>1236842</v>
      </c>
      <c r="FS101" s="11" t="n">
        <v>474954</v>
      </c>
      <c r="FT101" s="11" t="n">
        <v>1324312</v>
      </c>
      <c r="FU101" s="11" t="n">
        <v>-47978672</v>
      </c>
      <c r="FV101" s="11" t="n">
        <v>-26499859</v>
      </c>
      <c r="FW101" s="11" t="n">
        <v>-95425783</v>
      </c>
      <c r="FX101" s="11" t="n">
        <v>-3694224</v>
      </c>
      <c r="FY101" s="11" t="n">
        <v>1730488</v>
      </c>
      <c r="FZ101" s="11" t="n">
        <v>628256</v>
      </c>
      <c r="GA101" s="11" t="n">
        <v>-136616546</v>
      </c>
      <c r="GB101" s="11" t="n">
        <v>-288955402</v>
      </c>
      <c r="GC101" s="11" t="n">
        <v>112121975</v>
      </c>
      <c r="GD101" s="11" t="n">
        <v>87240</v>
      </c>
      <c r="GE101" s="11" t="n">
        <v>-1092560</v>
      </c>
      <c r="GF101" s="11" t="n">
        <v>400468</v>
      </c>
      <c r="GG101" s="11" t="n">
        <v>2373004</v>
      </c>
      <c r="GH101" s="11" t="n">
        <v>-242480</v>
      </c>
      <c r="GI101" s="11" t="n">
        <v>114910</v>
      </c>
      <c r="GJ101" s="11" t="n">
        <v>45070</v>
      </c>
      <c r="GK101" s="11" t="n">
        <v>-326004</v>
      </c>
      <c r="GL101" s="11" t="n">
        <v>6031228</v>
      </c>
      <c r="GM101" s="11" t="n">
        <v>-2918762</v>
      </c>
      <c r="GN101" s="11" t="n">
        <v>-2912320</v>
      </c>
      <c r="GO101" s="11" t="n">
        <v>-3022297</v>
      </c>
      <c r="GP101" s="11" t="n">
        <v>-12194221</v>
      </c>
      <c r="GQ101" s="11" t="n">
        <v>51218842</v>
      </c>
      <c r="GR101" s="11" t="n">
        <v>231933346</v>
      </c>
      <c r="GS101" s="11" t="n">
        <v>26232549</v>
      </c>
      <c r="GT101" s="11" t="n">
        <v>12236374</v>
      </c>
      <c r="GU101" s="11" t="n">
        <v>35397902</v>
      </c>
      <c r="GV101" s="11" t="n">
        <v>-14500493</v>
      </c>
      <c r="GW101" s="11" t="n">
        <v>351947456</v>
      </c>
      <c r="GX101" s="11" t="n">
        <v>-429194</v>
      </c>
      <c r="GY101" s="11" t="n">
        <v>14361952</v>
      </c>
      <c r="GZ101" s="11" t="n">
        <v>-1734564</v>
      </c>
      <c r="HA101" s="11" t="n">
        <v>54044480</v>
      </c>
      <c r="HB101" s="11" t="n">
        <v>-14317690</v>
      </c>
      <c r="HC101" s="11" t="n">
        <v>14082480</v>
      </c>
      <c r="HD101" s="11" t="n">
        <v>-272911</v>
      </c>
      <c r="HE101" s="11" t="n">
        <v>23862</v>
      </c>
      <c r="HF101" s="11" t="n">
        <v>173538</v>
      </c>
      <c r="HG101" s="11" t="n">
        <v>598526</v>
      </c>
      <c r="HH101" s="11" t="n">
        <v>302063</v>
      </c>
      <c r="HI101" s="11" t="n">
        <v>304470</v>
      </c>
      <c r="HJ101" s="11" t="n">
        <v>-40172224</v>
      </c>
      <c r="HK101" s="11" t="n">
        <v>-10924073</v>
      </c>
      <c r="HL101" s="11" t="n">
        <v>-19062424</v>
      </c>
      <c r="HM101" s="11" t="n">
        <v>3706068</v>
      </c>
      <c r="HN101" s="11" t="n">
        <v>1622886</v>
      </c>
      <c r="HO101" s="11" t="n">
        <v>2003718</v>
      </c>
      <c r="HP101" s="11" t="n">
        <v>-81156050</v>
      </c>
      <c r="HQ101" s="11" t="n">
        <v>-32342000</v>
      </c>
      <c r="HR101" s="11" t="n">
        <v>29715175</v>
      </c>
      <c r="HS101" s="11" t="n">
        <v>-17409817</v>
      </c>
      <c r="HT101" s="11" t="n">
        <v>-1141524</v>
      </c>
      <c r="HU101" s="11" t="n">
        <v>-55977094</v>
      </c>
      <c r="HV101" s="11" t="n">
        <v>15389056</v>
      </c>
      <c r="HW101" s="11" t="n">
        <v>-13380623</v>
      </c>
      <c r="HX101" s="11" t="n">
        <v>108559194</v>
      </c>
      <c r="HY101" s="11" t="n">
        <v>-319119488</v>
      </c>
      <c r="HZ101" s="11" t="n">
        <v>65824497</v>
      </c>
      <c r="IA101" s="11" t="n">
        <v>-123490856</v>
      </c>
      <c r="IB101" s="11" t="n">
        <v>-369970044</v>
      </c>
      <c r="IC101" s="11" t="n">
        <v>100274676</v>
      </c>
      <c r="ID101" s="11" t="n">
        <v>-91532118</v>
      </c>
      <c r="IE101" s="11" t="n">
        <v>-70436330</v>
      </c>
      <c r="IF101" s="11" t="n">
        <v>-151790320</v>
      </c>
      <c r="IG101" s="11" t="n">
        <v>58566665</v>
      </c>
      <c r="IH101" s="11" t="n">
        <v>-1693797</v>
      </c>
      <c r="II101" s="11" t="n">
        <v>-42633470</v>
      </c>
      <c r="IJ101" s="11" t="n">
        <v>-14493179</v>
      </c>
      <c r="IK101" s="11" t="n">
        <v>-20761196</v>
      </c>
      <c r="IL101" s="11" t="n">
        <v>2650614</v>
      </c>
      <c r="IM101" s="11" t="n">
        <v>-2447484</v>
      </c>
      <c r="IN101" s="11" t="n">
        <v>-59469</v>
      </c>
      <c r="IO101" s="11" t="n">
        <v>-84284338</v>
      </c>
      <c r="IP101" s="11" t="n">
        <v>-33985942</v>
      </c>
      <c r="IQ101" s="11" t="n">
        <v>29490429</v>
      </c>
      <c r="IR101" s="11" t="n">
        <v>296888748</v>
      </c>
      <c r="IS101" s="11" t="n">
        <v>83968401</v>
      </c>
      <c r="IT101" s="11" t="n">
        <v>141471168</v>
      </c>
      <c r="IU101" s="11" t="n">
        <v>-426850126</v>
      </c>
      <c r="IV101" s="11" t="n">
        <v>-78143184</v>
      </c>
      <c r="IW101" s="11" t="n">
        <v>181298308</v>
      </c>
      <c r="IX101" s="11" t="n">
        <v>-560396718</v>
      </c>
      <c r="IY101" s="11" t="n">
        <v>-231811212</v>
      </c>
      <c r="IZ101" s="11" t="n">
        <v>201473319</v>
      </c>
      <c r="JA101" s="11" t="n">
        <v>185784950</v>
      </c>
      <c r="JB101" s="11" t="n">
        <v>80550</v>
      </c>
      <c r="JC101" s="11" t="n">
        <v>56552</v>
      </c>
      <c r="JD101" s="11" t="n">
        <v>606180</v>
      </c>
      <c r="JE101" s="11" t="n">
        <v>268246</v>
      </c>
      <c r="JF101" s="11" t="n">
        <v>1064312</v>
      </c>
      <c r="JG101" s="11" t="n">
        <v>-2217916</v>
      </c>
      <c r="JH101" s="11" t="n">
        <v>-10141440</v>
      </c>
      <c r="JI101" s="11" t="n">
        <v>-11663318</v>
      </c>
      <c r="JJ101" s="11" t="n">
        <v>-32971696</v>
      </c>
      <c r="JK101" s="11" t="n">
        <v>9570920</v>
      </c>
      <c r="JL101" s="11" t="n">
        <v>-802444</v>
      </c>
      <c r="JM101" s="11" t="n">
        <v>6156912</v>
      </c>
      <c r="JN101" s="11" t="n">
        <v>-53999620</v>
      </c>
      <c r="JO101" s="11" t="n">
        <v>-114129440</v>
      </c>
      <c r="JP101" s="11" t="n">
        <v>44306440</v>
      </c>
      <c r="JQ101" s="11" t="n">
        <v>40438</v>
      </c>
      <c r="JR101" s="11" t="n">
        <v>418020</v>
      </c>
      <c r="JS101" s="11" t="n">
        <v>282899</v>
      </c>
      <c r="JT101" s="11" t="n">
        <v>733453</v>
      </c>
      <c r="JU101" s="11" t="n">
        <v>-10836</v>
      </c>
      <c r="JV101" s="11" t="n">
        <v>63950</v>
      </c>
      <c r="JW101" s="11" t="n">
        <v>-19372</v>
      </c>
      <c r="JX101" s="11" t="n">
        <v>736878</v>
      </c>
      <c r="JY101" s="11" t="n">
        <v>-3714</v>
      </c>
      <c r="JZ101" s="11" t="n">
        <v>-1295431</v>
      </c>
      <c r="KA101" s="11" t="n">
        <v>-6418792</v>
      </c>
      <c r="KB101" s="11" t="n">
        <v>-1934264</v>
      </c>
      <c r="KC101" s="11" t="n">
        <v>-3642802</v>
      </c>
      <c r="KD101" s="11" t="n">
        <v>24909956</v>
      </c>
      <c r="KE101" s="11" t="n">
        <v>78765472</v>
      </c>
      <c r="KF101" s="11" t="n">
        <v>9598563</v>
      </c>
      <c r="KG101" s="11" t="n">
        <v>10669208</v>
      </c>
      <c r="KH101" s="11" t="n">
        <v>-2098804</v>
      </c>
      <c r="KI101" s="11" t="n">
        <v>-6687466</v>
      </c>
      <c r="KJ101" s="11" t="n">
        <v>139067650</v>
      </c>
      <c r="KK101" s="11" t="n">
        <v>2079736</v>
      </c>
      <c r="KL101" s="11" t="n">
        <v>14083440</v>
      </c>
      <c r="KM101" s="11" t="n">
        <v>13769303</v>
      </c>
      <c r="KN101" s="11" t="n">
        <v>40661491</v>
      </c>
      <c r="KO101" s="11" t="n">
        <v>-5763472</v>
      </c>
      <c r="KP101" s="11" t="n">
        <v>2741164</v>
      </c>
      <c r="KQ101" s="11" t="n">
        <v>1067668</v>
      </c>
      <c r="KR101" s="11" t="n">
        <v>56720666</v>
      </c>
      <c r="KS101" s="11" t="n">
        <v>119913202</v>
      </c>
      <c r="KT101" s="11" t="n">
        <v>-46524545</v>
      </c>
      <c r="KU101" s="11" t="n">
        <v>-125938784</v>
      </c>
      <c r="KV101" s="11" t="n">
        <v>-77995470</v>
      </c>
      <c r="KW101" s="11" t="n">
        <v>-268297310</v>
      </c>
      <c r="KX101" s="11" t="n">
        <v>305637232</v>
      </c>
      <c r="KY101" s="11" t="n">
        <v>645423104</v>
      </c>
      <c r="KZ101" s="11" t="n">
        <v>-251404435</v>
      </c>
      <c r="LA101" s="11" t="n">
        <v>382136756</v>
      </c>
      <c r="LB101" s="11" t="n">
        <v>808172212</v>
      </c>
      <c r="LC101" s="11" t="n">
        <v>-313584830</v>
      </c>
      <c r="LD101" s="11" t="n">
        <v>-2919090</v>
      </c>
      <c r="LE101" s="11" t="n">
        <v>-3722720</v>
      </c>
      <c r="LF101" s="11" t="n">
        <v>-391709</v>
      </c>
      <c r="LG101" s="11" t="n">
        <v>1475863</v>
      </c>
      <c r="LH101" s="11" t="n">
        <v>21994450</v>
      </c>
      <c r="LI101" s="11" t="n">
        <v>82778090</v>
      </c>
      <c r="LJ101" s="11" t="n">
        <v>17429653</v>
      </c>
      <c r="LK101" s="11" t="n">
        <v>5992198</v>
      </c>
      <c r="LL101" s="11" t="n">
        <v>-2178866</v>
      </c>
      <c r="LM101" s="11" t="n">
        <v>2146329</v>
      </c>
      <c r="LN101" s="11" t="n">
        <v>146115116</v>
      </c>
      <c r="LO101" s="11" t="n">
        <v>-115891604</v>
      </c>
      <c r="LP101" s="11" t="n">
        <v>-569622372</v>
      </c>
      <c r="LQ101" s="11" t="n">
        <v>-105881275</v>
      </c>
      <c r="LR101" s="11" t="n">
        <v>788467882</v>
      </c>
      <c r="LS101" s="11" t="n">
        <v>984710726</v>
      </c>
    </row>
    <row r="102" customFormat="false" ht="15" hidden="false" customHeight="true" outlineLevel="0" collapsed="false">
      <c r="A102" s="7" t="s">
        <v>168</v>
      </c>
      <c r="B102" s="11" t="n">
        <v>-10897049</v>
      </c>
      <c r="C102" s="11" t="n">
        <v>586240997</v>
      </c>
      <c r="D102" s="11" t="n">
        <v>-10974936</v>
      </c>
      <c r="E102" s="11" t="n">
        <v>-243101612</v>
      </c>
      <c r="F102" s="11" t="n">
        <v>-40805839</v>
      </c>
      <c r="G102" s="11" t="n">
        <v>363406790</v>
      </c>
      <c r="H102" s="11" t="n">
        <v>523990279</v>
      </c>
      <c r="I102" s="11" t="n">
        <v>319755356</v>
      </c>
      <c r="J102" s="11" t="n">
        <v>-23639024</v>
      </c>
      <c r="K102" s="11" t="n">
        <v>-30510</v>
      </c>
      <c r="L102" s="11" t="n">
        <v>3022336</v>
      </c>
      <c r="M102" s="11" t="n">
        <v>2820</v>
      </c>
      <c r="N102" s="11" t="n">
        <v>-2538348</v>
      </c>
      <c r="O102" s="11" t="n">
        <v>-3713975</v>
      </c>
      <c r="P102" s="11" t="n">
        <v>19734229</v>
      </c>
      <c r="Q102" s="11" t="n">
        <v>25449366</v>
      </c>
      <c r="R102" s="11" t="n">
        <v>364765504</v>
      </c>
      <c r="S102" s="11" t="n">
        <v>88368604</v>
      </c>
      <c r="T102" s="11" t="n">
        <v>-651781796</v>
      </c>
      <c r="U102" s="11" t="n">
        <v>-936889829</v>
      </c>
      <c r="V102" s="11" t="n">
        <v>-1755311793</v>
      </c>
      <c r="W102" s="11" t="n">
        <v>3724584</v>
      </c>
      <c r="X102" s="11" t="n">
        <v>117090</v>
      </c>
      <c r="Y102" s="11" t="n">
        <v>-3573972</v>
      </c>
      <c r="Z102" s="11" t="n">
        <v>-5207610</v>
      </c>
      <c r="AA102" s="11" t="n">
        <v>18980016</v>
      </c>
      <c r="AB102" s="11" t="n">
        <v>-11254736</v>
      </c>
      <c r="AC102" s="11" t="n">
        <v>44164336</v>
      </c>
      <c r="AD102" s="11" t="n">
        <v>62475756</v>
      </c>
      <c r="AE102" s="11" t="n">
        <v>528935036</v>
      </c>
      <c r="AF102" s="11" t="n">
        <v>-9411228</v>
      </c>
      <c r="AG102" s="11" t="n">
        <v>-13772005</v>
      </c>
      <c r="AH102" s="11" t="n">
        <v>73980899</v>
      </c>
      <c r="AI102" s="11" t="n">
        <v>1799942</v>
      </c>
      <c r="AJ102" s="11" t="n">
        <v>-732602302</v>
      </c>
      <c r="AK102" s="11" t="n">
        <v>-1057910959</v>
      </c>
      <c r="AL102" s="11" t="n">
        <v>-248225720</v>
      </c>
      <c r="AM102" s="11" t="n">
        <v>-525669</v>
      </c>
      <c r="AN102" s="11" t="n">
        <v>76382992</v>
      </c>
      <c r="AO102" s="11" t="n">
        <v>-15895178</v>
      </c>
      <c r="AP102" s="11" t="n">
        <v>-114413952</v>
      </c>
      <c r="AQ102" s="11" t="n">
        <v>-209567493</v>
      </c>
      <c r="AR102" s="11" t="n">
        <v>-102605200</v>
      </c>
      <c r="AS102" s="11" t="n">
        <v>278279937</v>
      </c>
      <c r="AT102" s="11" t="n">
        <v>1428389584</v>
      </c>
      <c r="AU102" s="11" t="n">
        <v>1784654154</v>
      </c>
      <c r="AV102" s="11" t="n">
        <v>-2122846544</v>
      </c>
      <c r="AW102" s="11" t="n">
        <v>-661721191</v>
      </c>
      <c r="AX102" s="11" t="n">
        <v>-1763792080</v>
      </c>
      <c r="AY102" s="11" t="n">
        <v>88656060</v>
      </c>
      <c r="AZ102" s="11" t="n">
        <v>-14040333</v>
      </c>
      <c r="BA102" s="11" t="n">
        <v>-132762318</v>
      </c>
      <c r="BB102" s="11" t="n">
        <v>-236342451</v>
      </c>
      <c r="BC102" s="11" t="n">
        <v>-118763436</v>
      </c>
      <c r="BD102" s="11" t="n">
        <v>-640633576</v>
      </c>
      <c r="BE102" s="11" t="n">
        <v>-5149856</v>
      </c>
      <c r="BF102" s="11" t="n">
        <v>-1002312652</v>
      </c>
      <c r="BG102" s="11" t="n">
        <v>-47684352</v>
      </c>
      <c r="BH102" s="11" t="n">
        <v>-958532252</v>
      </c>
      <c r="BI102" s="11" t="n">
        <v>-1549088761</v>
      </c>
      <c r="BJ102" s="11" t="n">
        <v>-850639432</v>
      </c>
      <c r="BK102" s="11" t="n">
        <v>1487233038</v>
      </c>
      <c r="BL102" s="11" t="n">
        <v>64508512</v>
      </c>
      <c r="BM102" s="11" t="n">
        <v>-1215576892</v>
      </c>
      <c r="BN102" s="11" t="n">
        <v>-445344</v>
      </c>
      <c r="BO102" s="11" t="n">
        <v>96851712</v>
      </c>
      <c r="BP102" s="11" t="n">
        <v>-34545728</v>
      </c>
      <c r="BQ102" s="11" t="n">
        <v>-190377312</v>
      </c>
      <c r="BR102" s="11" t="n">
        <v>-370014568</v>
      </c>
      <c r="BS102" s="11" t="n">
        <v>-672111320</v>
      </c>
      <c r="BT102" s="11" t="n">
        <v>68064</v>
      </c>
      <c r="BU102" s="11" t="n">
        <v>-44640</v>
      </c>
      <c r="BV102" s="11" t="n">
        <v>-197892</v>
      </c>
      <c r="BW102" s="11" t="n">
        <v>-407595</v>
      </c>
      <c r="BX102" s="11" t="n">
        <v>-1239249</v>
      </c>
      <c r="BY102" s="11" t="n">
        <v>4428352</v>
      </c>
      <c r="BZ102" s="11" t="n">
        <v>13940544</v>
      </c>
      <c r="CA102" s="11" t="n">
        <v>32091152</v>
      </c>
      <c r="CB102" s="11" t="n">
        <v>166785232</v>
      </c>
      <c r="CC102" s="11" t="n">
        <v>3732216</v>
      </c>
      <c r="CD102" s="11" t="n">
        <v>5471690</v>
      </c>
      <c r="CE102" s="11" t="n">
        <v>-28759138</v>
      </c>
      <c r="CF102" s="11" t="n">
        <v>-9821436</v>
      </c>
      <c r="CG102" s="11" t="n">
        <v>-231100992</v>
      </c>
      <c r="CH102" s="11" t="n">
        <v>-414490753</v>
      </c>
      <c r="CI102" s="11" t="n">
        <v>-111140832</v>
      </c>
      <c r="CJ102" s="11" t="n">
        <v>35526528</v>
      </c>
      <c r="CK102" s="11" t="n">
        <v>217236084</v>
      </c>
      <c r="CL102" s="11" t="n">
        <v>416001711</v>
      </c>
      <c r="CM102" s="11" t="n">
        <v>756652413</v>
      </c>
      <c r="CN102" s="11" t="n">
        <v>895119040</v>
      </c>
      <c r="CO102" s="11" t="n">
        <v>267223104</v>
      </c>
      <c r="CP102" s="11" t="n">
        <v>1871023376</v>
      </c>
      <c r="CQ102" s="11" t="n">
        <v>3179406736</v>
      </c>
      <c r="CR102" s="11" t="n">
        <v>1664182664</v>
      </c>
      <c r="CS102" s="11" t="n">
        <v>2752364566</v>
      </c>
      <c r="CT102" s="11" t="n">
        <v>5077708066</v>
      </c>
      <c r="CU102" s="11" t="n">
        <v>-2656886020</v>
      </c>
      <c r="CV102" s="11" t="n">
        <v>-4395206096</v>
      </c>
      <c r="CW102" s="11" t="n">
        <v>837457381</v>
      </c>
      <c r="CX102" s="11" t="n">
        <v>5710752</v>
      </c>
      <c r="CY102" s="11" t="n">
        <v>16185072</v>
      </c>
      <c r="CZ102" s="11" t="n">
        <v>38140644</v>
      </c>
      <c r="DA102" s="11" t="n">
        <v>193626444</v>
      </c>
      <c r="DB102" s="11" t="n">
        <v>5988636</v>
      </c>
      <c r="DC102" s="11" t="n">
        <v>9183645</v>
      </c>
      <c r="DD102" s="11" t="n">
        <v>-23014233</v>
      </c>
      <c r="DE102" s="11" t="n">
        <v>-13968822</v>
      </c>
      <c r="DF102" s="11" t="n">
        <v>-268273830</v>
      </c>
      <c r="DG102" s="11" t="n">
        <v>-465083091</v>
      </c>
      <c r="DH102" s="11" t="n">
        <v>-116622496</v>
      </c>
      <c r="DI102" s="11" t="n">
        <v>-211042744</v>
      </c>
      <c r="DJ102" s="11" t="n">
        <v>-1396083784</v>
      </c>
      <c r="DK102" s="11" t="n">
        <v>180766928</v>
      </c>
      <c r="DL102" s="11" t="n">
        <v>-2542112</v>
      </c>
      <c r="DM102" s="11" t="n">
        <v>-2168554780</v>
      </c>
      <c r="DN102" s="11" t="n">
        <v>-33767632</v>
      </c>
      <c r="DO102" s="11" t="n">
        <v>-1934003596</v>
      </c>
      <c r="DP102" s="11" t="n">
        <v>-3095586141</v>
      </c>
      <c r="DQ102" s="11" t="n">
        <v>2998475782</v>
      </c>
      <c r="DR102" s="11" t="n">
        <v>-1140811</v>
      </c>
      <c r="DS102" s="11" t="n">
        <v>-54801</v>
      </c>
      <c r="DT102" s="11" t="n">
        <v>362612</v>
      </c>
      <c r="DU102" s="11" t="n">
        <v>-284237</v>
      </c>
      <c r="DV102" s="11" t="n">
        <v>4659804</v>
      </c>
      <c r="DW102" s="11" t="n">
        <v>-890</v>
      </c>
      <c r="DX102" s="11" t="n">
        <v>2211543</v>
      </c>
      <c r="DY102" s="11" t="n">
        <v>4097157</v>
      </c>
      <c r="DZ102" s="11" t="n">
        <v>5942432</v>
      </c>
      <c r="EA102" s="11" t="n">
        <v>19563382</v>
      </c>
      <c r="EB102" s="11" t="n">
        <v>-288733822</v>
      </c>
      <c r="EC102" s="11" t="n">
        <v>-54808611</v>
      </c>
      <c r="ED102" s="11" t="n">
        <v>-152452063</v>
      </c>
      <c r="EE102" s="11" t="n">
        <v>1587756</v>
      </c>
      <c r="EF102" s="11" t="n">
        <v>-81057</v>
      </c>
      <c r="EG102" s="11" t="n">
        <v>2865546</v>
      </c>
      <c r="EH102" s="11" t="n">
        <v>-2636031</v>
      </c>
      <c r="EI102" s="11" t="n">
        <v>619308</v>
      </c>
      <c r="EJ102" s="11" t="n">
        <v>-7698888</v>
      </c>
      <c r="EK102" s="11" t="n">
        <v>116048072</v>
      </c>
      <c r="EL102" s="11" t="n">
        <v>17416532</v>
      </c>
      <c r="EM102" s="11" t="n">
        <v>59977412</v>
      </c>
      <c r="EN102" s="11" t="n">
        <v>7970374</v>
      </c>
      <c r="EO102" s="11" t="n">
        <v>-13671017</v>
      </c>
      <c r="EP102" s="11" t="n">
        <v>-58955</v>
      </c>
      <c r="EQ102" s="11" t="n">
        <v>224098784</v>
      </c>
      <c r="ER102" s="11" t="n">
        <v>62981046</v>
      </c>
      <c r="ES102" s="11" t="n">
        <v>-106369313</v>
      </c>
      <c r="ET102" s="11" t="n">
        <v>-115686</v>
      </c>
      <c r="EU102" s="11" t="n">
        <v>470208</v>
      </c>
      <c r="EV102" s="11" t="n">
        <v>-616892</v>
      </c>
      <c r="EW102" s="11" t="n">
        <v>10374276</v>
      </c>
      <c r="EX102" s="11" t="n">
        <v>386885</v>
      </c>
      <c r="EY102" s="11" t="n">
        <v>2731537</v>
      </c>
      <c r="EZ102" s="11" t="n">
        <v>-14184</v>
      </c>
      <c r="FA102" s="11" t="n">
        <v>-810</v>
      </c>
      <c r="FB102" s="11" t="n">
        <v>25812</v>
      </c>
      <c r="FC102" s="11" t="n">
        <v>18675</v>
      </c>
      <c r="FD102" s="11" t="n">
        <v>-93051</v>
      </c>
      <c r="FE102" s="11" t="n">
        <v>78928</v>
      </c>
      <c r="FF102" s="11" t="n">
        <v>-1376880</v>
      </c>
      <c r="FG102" s="11" t="n">
        <v>-123340</v>
      </c>
      <c r="FH102" s="11" t="n">
        <v>43300</v>
      </c>
      <c r="FI102" s="11" t="n">
        <v>65004</v>
      </c>
      <c r="FJ102" s="11" t="n">
        <v>96875</v>
      </c>
      <c r="FK102" s="11" t="n">
        <v>-515317</v>
      </c>
      <c r="FL102" s="11" t="n">
        <v>-1588380</v>
      </c>
      <c r="FM102" s="11" t="n">
        <v>8953920</v>
      </c>
      <c r="FN102" s="11" t="n">
        <v>752135</v>
      </c>
      <c r="FO102" s="11" t="n">
        <v>-2291328</v>
      </c>
      <c r="FP102" s="11" t="n">
        <v>231672</v>
      </c>
      <c r="FQ102" s="11" t="n">
        <v>-7979040</v>
      </c>
      <c r="FR102" s="11" t="n">
        <v>4168491</v>
      </c>
      <c r="FS102" s="11" t="n">
        <v>5649519</v>
      </c>
      <c r="FT102" s="11" t="n">
        <v>11276800</v>
      </c>
      <c r="FU102" s="11" t="n">
        <v>-173046528</v>
      </c>
      <c r="FV102" s="11" t="n">
        <v>-24605728</v>
      </c>
      <c r="FW102" s="11" t="n">
        <v>-77064608</v>
      </c>
      <c r="FX102" s="11" t="n">
        <v>-21772528</v>
      </c>
      <c r="FY102" s="11" t="n">
        <v>23003122</v>
      </c>
      <c r="FZ102" s="11" t="n">
        <v>35596042</v>
      </c>
      <c r="GA102" s="11" t="n">
        <v>-400498306</v>
      </c>
      <c r="GB102" s="11" t="n">
        <v>-695025434</v>
      </c>
      <c r="GC102" s="11" t="n">
        <v>79531432</v>
      </c>
      <c r="GD102" s="11" t="n">
        <v>44448</v>
      </c>
      <c r="GE102" s="11" t="n">
        <v>-1489536</v>
      </c>
      <c r="GF102" s="11" t="n">
        <v>141204</v>
      </c>
      <c r="GG102" s="11" t="n">
        <v>2535684</v>
      </c>
      <c r="GH102" s="11" t="n">
        <v>-4176</v>
      </c>
      <c r="GI102" s="11" t="n">
        <v>66585</v>
      </c>
      <c r="GJ102" s="11" t="n">
        <v>-146787</v>
      </c>
      <c r="GK102" s="11" t="n">
        <v>-2218122</v>
      </c>
      <c r="GL102" s="11" t="n">
        <v>5157342</v>
      </c>
      <c r="GM102" s="11" t="n">
        <v>-4264881</v>
      </c>
      <c r="GN102" s="11" t="n">
        <v>3973952</v>
      </c>
      <c r="GO102" s="11" t="n">
        <v>-1172248</v>
      </c>
      <c r="GP102" s="11" t="n">
        <v>-13974328</v>
      </c>
      <c r="GQ102" s="11" t="n">
        <v>26659640</v>
      </c>
      <c r="GR102" s="11" t="n">
        <v>241598680</v>
      </c>
      <c r="GS102" s="11" t="n">
        <v>22480640</v>
      </c>
      <c r="GT102" s="11" t="n">
        <v>-5843014</v>
      </c>
      <c r="GU102" s="11" t="n">
        <v>14436674</v>
      </c>
      <c r="GV102" s="11" t="n">
        <v>-24805422</v>
      </c>
      <c r="GW102" s="11" t="n">
        <v>452079190</v>
      </c>
      <c r="GX102" s="11" t="n">
        <v>-1193289</v>
      </c>
      <c r="GY102" s="11" t="n">
        <v>263472</v>
      </c>
      <c r="GZ102" s="11" t="n">
        <v>-4810618</v>
      </c>
      <c r="HA102" s="11" t="n">
        <v>118124448</v>
      </c>
      <c r="HB102" s="11" t="n">
        <v>21919327</v>
      </c>
      <c r="HC102" s="11" t="n">
        <v>61118840</v>
      </c>
      <c r="HD102" s="11" t="n">
        <v>-366636</v>
      </c>
      <c r="HE102" s="11" t="n">
        <v>66225</v>
      </c>
      <c r="HF102" s="11" t="n">
        <v>800172</v>
      </c>
      <c r="HG102" s="11" t="n">
        <v>1053867</v>
      </c>
      <c r="HH102" s="11" t="n">
        <v>622683</v>
      </c>
      <c r="HI102" s="11" t="n">
        <v>1463432</v>
      </c>
      <c r="HJ102" s="11" t="n">
        <v>-36470208</v>
      </c>
      <c r="HK102" s="11" t="n">
        <v>-6967364</v>
      </c>
      <c r="HL102" s="11" t="n">
        <v>-18916144</v>
      </c>
      <c r="HM102" s="11" t="n">
        <v>9781464</v>
      </c>
      <c r="HN102" s="11" t="n">
        <v>5465029</v>
      </c>
      <c r="HO102" s="11" t="n">
        <v>5902246</v>
      </c>
      <c r="HP102" s="11" t="n">
        <v>-89624748</v>
      </c>
      <c r="HQ102" s="11" t="n">
        <v>-20655936</v>
      </c>
      <c r="HR102" s="11" t="n">
        <v>42539851</v>
      </c>
      <c r="HS102" s="11" t="n">
        <v>-7162032</v>
      </c>
      <c r="HT102" s="11" t="n">
        <v>-3186252</v>
      </c>
      <c r="HU102" s="11" t="n">
        <v>-122221398</v>
      </c>
      <c r="HV102" s="11" t="n">
        <v>-21392160</v>
      </c>
      <c r="HW102" s="11" t="n">
        <v>-60039843</v>
      </c>
      <c r="HX102" s="11" t="n">
        <v>29576480</v>
      </c>
      <c r="HY102" s="11" t="n">
        <v>-681988320</v>
      </c>
      <c r="HZ102" s="11" t="n">
        <v>-126834896</v>
      </c>
      <c r="IA102" s="11" t="n">
        <v>-353574256</v>
      </c>
      <c r="IB102" s="11" t="n">
        <v>-808131740</v>
      </c>
      <c r="IC102" s="11" t="n">
        <v>-144767956</v>
      </c>
      <c r="ID102" s="11" t="n">
        <v>-405240286</v>
      </c>
      <c r="IE102" s="11" t="n">
        <v>-127440794</v>
      </c>
      <c r="IF102" s="11" t="n">
        <v>-316651504</v>
      </c>
      <c r="IG102" s="11" t="n">
        <v>7180949</v>
      </c>
      <c r="IH102" s="11" t="n">
        <v>-1376448</v>
      </c>
      <c r="II102" s="11" t="n">
        <v>-42354888</v>
      </c>
      <c r="IJ102" s="11" t="n">
        <v>-12897936</v>
      </c>
      <c r="IK102" s="11" t="n">
        <v>-22184436</v>
      </c>
      <c r="IL102" s="11" t="n">
        <v>4646454</v>
      </c>
      <c r="IM102" s="11" t="n">
        <v>-1626756</v>
      </c>
      <c r="IN102" s="11" t="n">
        <v>1669431</v>
      </c>
      <c r="IO102" s="11" t="n">
        <v>-93596514</v>
      </c>
      <c r="IP102" s="11" t="n">
        <v>-23517342</v>
      </c>
      <c r="IQ102" s="11" t="n">
        <v>41862009</v>
      </c>
      <c r="IR102" s="11" t="n">
        <v>305978800</v>
      </c>
      <c r="IS102" s="11" t="n">
        <v>77639584</v>
      </c>
      <c r="IT102" s="11" t="n">
        <v>159565624</v>
      </c>
      <c r="IU102" s="11" t="n">
        <v>-478099496</v>
      </c>
      <c r="IV102" s="11" t="n">
        <v>-21492256</v>
      </c>
      <c r="IW102" s="11" t="n">
        <v>243871780</v>
      </c>
      <c r="IX102" s="11" t="n">
        <v>-623707982</v>
      </c>
      <c r="IY102" s="11" t="n">
        <v>-167535452</v>
      </c>
      <c r="IZ102" s="11" t="n">
        <v>282748251</v>
      </c>
      <c r="JA102" s="11" t="n">
        <v>217968446</v>
      </c>
      <c r="JB102" s="11" t="n">
        <v>-465120</v>
      </c>
      <c r="JC102" s="11" t="n">
        <v>157440</v>
      </c>
      <c r="JD102" s="11" t="n">
        <v>1127124</v>
      </c>
      <c r="JE102" s="11" t="n">
        <v>1818087</v>
      </c>
      <c r="JF102" s="11" t="n">
        <v>3340677</v>
      </c>
      <c r="JG102" s="11" t="n">
        <v>1840320</v>
      </c>
      <c r="JH102" s="11" t="n">
        <v>-46291392</v>
      </c>
      <c r="JI102" s="11" t="n">
        <v>-8945136</v>
      </c>
      <c r="JJ102" s="11" t="n">
        <v>-24560496</v>
      </c>
      <c r="JK102" s="11" t="n">
        <v>20128968</v>
      </c>
      <c r="JL102" s="11" t="n">
        <v>10221414</v>
      </c>
      <c r="JM102" s="11" t="n">
        <v>21531474</v>
      </c>
      <c r="JN102" s="11" t="n">
        <v>-159269652</v>
      </c>
      <c r="JO102" s="11" t="n">
        <v>-272965824</v>
      </c>
      <c r="JP102" s="11" t="n">
        <v>31755909</v>
      </c>
      <c r="JQ102" s="11" t="n">
        <v>22560</v>
      </c>
      <c r="JR102" s="11" t="n">
        <v>34416</v>
      </c>
      <c r="JS102" s="11" t="n">
        <v>147828</v>
      </c>
      <c r="JT102" s="11" t="n">
        <v>783708</v>
      </c>
      <c r="JU102" s="11" t="n">
        <v>43020</v>
      </c>
      <c r="JV102" s="11" t="n">
        <v>38145</v>
      </c>
      <c r="JW102" s="11" t="n">
        <v>-103245</v>
      </c>
      <c r="JX102" s="11" t="n">
        <v>-223704</v>
      </c>
      <c r="JY102" s="11" t="n">
        <v>-1651968</v>
      </c>
      <c r="JZ102" s="11" t="n">
        <v>-2001642</v>
      </c>
      <c r="KA102" s="11" t="n">
        <v>-2381472</v>
      </c>
      <c r="KB102" s="11" t="n">
        <v>-1018776</v>
      </c>
      <c r="KC102" s="11" t="n">
        <v>-4292136</v>
      </c>
      <c r="KD102" s="11" t="n">
        <v>14050800</v>
      </c>
      <c r="KE102" s="11" t="n">
        <v>76181760</v>
      </c>
      <c r="KF102" s="11" t="n">
        <v>7266180</v>
      </c>
      <c r="KG102" s="11" t="n">
        <v>2083932</v>
      </c>
      <c r="KH102" s="11" t="n">
        <v>-19083456</v>
      </c>
      <c r="KI102" s="11" t="n">
        <v>-11919639</v>
      </c>
      <c r="KJ102" s="11" t="n">
        <v>179256960</v>
      </c>
      <c r="KK102" s="11" t="n">
        <v>2186880</v>
      </c>
      <c r="KL102" s="11" t="n">
        <v>54404352</v>
      </c>
      <c r="KM102" s="11" t="n">
        <v>19250256</v>
      </c>
      <c r="KN102" s="11" t="n">
        <v>43452816</v>
      </c>
      <c r="KO102" s="11" t="n">
        <v>-13116048</v>
      </c>
      <c r="KP102" s="11" t="n">
        <v>2032116</v>
      </c>
      <c r="KQ102" s="11" t="n">
        <v>998556</v>
      </c>
      <c r="KR102" s="11" t="n">
        <v>166009674</v>
      </c>
      <c r="KS102" s="11" t="n">
        <v>285454626</v>
      </c>
      <c r="KT102" s="11" t="n">
        <v>-31587789</v>
      </c>
      <c r="KU102" s="11" t="n">
        <v>-432910080</v>
      </c>
      <c r="KV102" s="11" t="n">
        <v>-118224480</v>
      </c>
      <c r="KW102" s="11" t="n">
        <v>-287405280</v>
      </c>
      <c r="KX102" s="11" t="n">
        <v>869596704</v>
      </c>
      <c r="KY102" s="11" t="n">
        <v>1451869344</v>
      </c>
      <c r="KZ102" s="11" t="n">
        <v>-180823200</v>
      </c>
      <c r="LA102" s="11" t="n">
        <v>1111337364</v>
      </c>
      <c r="LB102" s="11" t="n">
        <v>1921416084</v>
      </c>
      <c r="LC102" s="11" t="n">
        <v>-213083070</v>
      </c>
      <c r="LD102" s="11" t="n">
        <v>-132453474</v>
      </c>
      <c r="LE102" s="11" t="n">
        <v>-2476992</v>
      </c>
      <c r="LF102" s="11" t="n">
        <v>-238656</v>
      </c>
      <c r="LG102" s="11" t="n">
        <v>1577184</v>
      </c>
      <c r="LH102" s="11" t="n">
        <v>15866808</v>
      </c>
      <c r="LI102" s="11" t="n">
        <v>88453848</v>
      </c>
      <c r="LJ102" s="11" t="n">
        <v>18625380</v>
      </c>
      <c r="LK102" s="11" t="n">
        <v>3733062</v>
      </c>
      <c r="LL102" s="11" t="n">
        <v>-8328306</v>
      </c>
      <c r="LM102" s="11" t="n">
        <v>1574541</v>
      </c>
      <c r="LN102" s="11" t="n">
        <v>186656772</v>
      </c>
      <c r="LO102" s="11" t="n">
        <v>-86664336</v>
      </c>
      <c r="LP102" s="11" t="n">
        <v>-637748496</v>
      </c>
      <c r="LQ102" s="11" t="n">
        <v>-116628600</v>
      </c>
      <c r="LR102" s="11" t="n">
        <v>990410520</v>
      </c>
      <c r="LS102" s="11" t="n">
        <v>1252536054</v>
      </c>
    </row>
    <row r="103" customFormat="false" ht="15" hidden="false" customHeight="true" outlineLevel="0" collapsed="false">
      <c r="A103" s="7" t="s">
        <v>169</v>
      </c>
      <c r="B103" s="11" t="n">
        <v>-593664</v>
      </c>
      <c r="C103" s="11" t="n">
        <v>-125105262</v>
      </c>
      <c r="D103" s="11" t="n">
        <v>-616374</v>
      </c>
      <c r="E103" s="11" t="n">
        <v>29193162</v>
      </c>
      <c r="F103" s="11" t="n">
        <v>2553176</v>
      </c>
      <c r="G103" s="11" t="n">
        <v>-68003200</v>
      </c>
      <c r="H103" s="11" t="n">
        <v>29779286</v>
      </c>
      <c r="I103" s="11" t="n">
        <v>-13434736</v>
      </c>
      <c r="J103" s="11" t="n">
        <v>-3046398</v>
      </c>
      <c r="K103" s="11" t="n">
        <v>1530</v>
      </c>
      <c r="L103" s="11" t="n">
        <v>-1951878</v>
      </c>
      <c r="M103" s="11" t="n">
        <v>106392</v>
      </c>
      <c r="N103" s="11" t="n">
        <v>-981888</v>
      </c>
      <c r="O103" s="11" t="n">
        <v>-440154</v>
      </c>
      <c r="P103" s="11" t="n">
        <v>1356048</v>
      </c>
      <c r="Q103" s="11" t="n">
        <v>3485358</v>
      </c>
      <c r="R103" s="11" t="n">
        <v>-561132558</v>
      </c>
      <c r="S103" s="11" t="n">
        <v>9318754</v>
      </c>
      <c r="T103" s="11" t="n">
        <v>142042396</v>
      </c>
      <c r="U103" s="11" t="n">
        <v>-245568434</v>
      </c>
      <c r="V103" s="11" t="n">
        <v>354706186</v>
      </c>
      <c r="W103" s="11" t="n">
        <v>-1951308</v>
      </c>
      <c r="X103" s="11" t="n">
        <v>117042</v>
      </c>
      <c r="Y103" s="11" t="n">
        <v>-1194708</v>
      </c>
      <c r="Z103" s="11" t="n">
        <v>-380244</v>
      </c>
      <c r="AA103" s="11" t="n">
        <v>1373298</v>
      </c>
      <c r="AB103" s="11" t="n">
        <v>-13626238</v>
      </c>
      <c r="AC103" s="11" t="n">
        <v>271868204</v>
      </c>
      <c r="AD103" s="11" t="n">
        <v>-76265440</v>
      </c>
      <c r="AE103" s="11" t="n">
        <v>-22511662</v>
      </c>
      <c r="AF103" s="11" t="n">
        <v>-7964208</v>
      </c>
      <c r="AG103" s="11" t="n">
        <v>7229794</v>
      </c>
      <c r="AH103" s="11" t="n">
        <v>-8239640</v>
      </c>
      <c r="AI103" s="11" t="n">
        <v>-99672212</v>
      </c>
      <c r="AJ103" s="11" t="n">
        <v>177553312</v>
      </c>
      <c r="AK103" s="11" t="n">
        <v>-58061106</v>
      </c>
      <c r="AL103" s="11" t="n">
        <v>47163441</v>
      </c>
      <c r="AM103" s="11" t="n">
        <v>-1683</v>
      </c>
      <c r="AN103" s="11" t="n">
        <v>-15484755</v>
      </c>
      <c r="AO103" s="11" t="n">
        <v>-2610420</v>
      </c>
      <c r="AP103" s="11" t="n">
        <v>25895232</v>
      </c>
      <c r="AQ103" s="11" t="n">
        <v>-12042141</v>
      </c>
      <c r="AR103" s="11" t="n">
        <v>6344712</v>
      </c>
      <c r="AS103" s="11" t="n">
        <v>-49322295</v>
      </c>
      <c r="AT103" s="11" t="n">
        <v>-943925112</v>
      </c>
      <c r="AU103" s="11" t="n">
        <v>-347268341</v>
      </c>
      <c r="AV103" s="11" t="n">
        <v>54517156</v>
      </c>
      <c r="AW103" s="11" t="n">
        <v>-171884444</v>
      </c>
      <c r="AX103" s="11" t="n">
        <v>269729137</v>
      </c>
      <c r="AY103" s="11" t="n">
        <v>-16159869</v>
      </c>
      <c r="AZ103" s="11" t="n">
        <v>-2717517</v>
      </c>
      <c r="BA103" s="11" t="n">
        <v>27078612</v>
      </c>
      <c r="BB103" s="11" t="n">
        <v>-12587223</v>
      </c>
      <c r="BC103" s="11" t="n">
        <v>6625509</v>
      </c>
      <c r="BD103" s="11" t="n">
        <v>61770815</v>
      </c>
      <c r="BE103" s="11" t="n">
        <v>500365844</v>
      </c>
      <c r="BF103" s="11" t="n">
        <v>-184577092</v>
      </c>
      <c r="BG103" s="11" t="n">
        <v>38424749</v>
      </c>
      <c r="BH103" s="11" t="n">
        <v>187651312</v>
      </c>
      <c r="BI103" s="11" t="n">
        <v>-79153761</v>
      </c>
      <c r="BJ103" s="11" t="n">
        <v>31787572</v>
      </c>
      <c r="BK103" s="11" t="n">
        <v>-80453932</v>
      </c>
      <c r="BL103" s="11" t="n">
        <v>140761632</v>
      </c>
      <c r="BM103" s="11" t="n">
        <v>-45746429</v>
      </c>
      <c r="BN103" s="11" t="n">
        <v>112914</v>
      </c>
      <c r="BO103" s="11" t="n">
        <v>-234526617</v>
      </c>
      <c r="BP103" s="11" t="n">
        <v>-4943142</v>
      </c>
      <c r="BQ103" s="11" t="n">
        <v>54876102</v>
      </c>
      <c r="BR103" s="11" t="n">
        <v>-96762363</v>
      </c>
      <c r="BS103" s="11" t="n">
        <v>140288796</v>
      </c>
      <c r="BT103" s="11" t="n">
        <v>45441</v>
      </c>
      <c r="BU103" s="11" t="n">
        <v>6426</v>
      </c>
      <c r="BV103" s="11" t="n">
        <v>-63954</v>
      </c>
      <c r="BW103" s="11" t="n">
        <v>32283</v>
      </c>
      <c r="BX103" s="11" t="n">
        <v>-20196</v>
      </c>
      <c r="BY103" s="11" t="n">
        <v>-11357730</v>
      </c>
      <c r="BZ103" s="11" t="n">
        <v>110750574</v>
      </c>
      <c r="CA103" s="11" t="n">
        <v>-28112052</v>
      </c>
      <c r="CB103" s="11" t="n">
        <v>-14509836</v>
      </c>
      <c r="CC103" s="11" t="n">
        <v>-323256</v>
      </c>
      <c r="CD103" s="11" t="n">
        <v>4093518</v>
      </c>
      <c r="CE103" s="11" t="n">
        <v>-7099776</v>
      </c>
      <c r="CF103" s="11" t="n">
        <v>-39116274</v>
      </c>
      <c r="CG103" s="11" t="n">
        <v>69643728</v>
      </c>
      <c r="CH103" s="11" t="n">
        <v>-22802580</v>
      </c>
      <c r="CI103" s="11" t="n">
        <v>247521663</v>
      </c>
      <c r="CJ103" s="11" t="n">
        <v>6000804</v>
      </c>
      <c r="CK103" s="11" t="n">
        <v>-57518514</v>
      </c>
      <c r="CL103" s="11" t="n">
        <v>101603061</v>
      </c>
      <c r="CM103" s="11" t="n">
        <v>-147356118</v>
      </c>
      <c r="CN103" s="11" t="n">
        <v>-1627907373</v>
      </c>
      <c r="CO103" s="11" t="n">
        <v>-827191692</v>
      </c>
      <c r="CP103" s="11" t="n">
        <v>1081874988</v>
      </c>
      <c r="CQ103" s="11" t="n">
        <v>-1466463303</v>
      </c>
      <c r="CR103" s="11" t="n">
        <v>-398343430</v>
      </c>
      <c r="CS103" s="11" t="n">
        <v>694454335</v>
      </c>
      <c r="CT103" s="11" t="n">
        <v>-1004688102</v>
      </c>
      <c r="CU103" s="11" t="n">
        <v>88143260</v>
      </c>
      <c r="CV103" s="11" t="n">
        <v>-151675478</v>
      </c>
      <c r="CW103" s="11" t="n">
        <v>42112427</v>
      </c>
      <c r="CX103" s="11" t="n">
        <v>-11671641</v>
      </c>
      <c r="CY103" s="11" t="n">
        <v>117047502</v>
      </c>
      <c r="CZ103" s="11" t="n">
        <v>-29879352</v>
      </c>
      <c r="DA103" s="11" t="n">
        <v>-15029685</v>
      </c>
      <c r="DB103" s="11" t="n">
        <v>125418</v>
      </c>
      <c r="DC103" s="11" t="n">
        <v>4066611</v>
      </c>
      <c r="DD103" s="11" t="n">
        <v>-7312806</v>
      </c>
      <c r="DE103" s="11" t="n">
        <v>-41102538</v>
      </c>
      <c r="DF103" s="11" t="n">
        <v>73174002</v>
      </c>
      <c r="DG103" s="11" t="n">
        <v>-23957367</v>
      </c>
      <c r="DH103" s="11" t="n">
        <v>-808806686</v>
      </c>
      <c r="DI103" s="11" t="n">
        <v>247526108</v>
      </c>
      <c r="DJ103" s="11" t="n">
        <v>29698014</v>
      </c>
      <c r="DK103" s="11" t="n">
        <v>-411740984</v>
      </c>
      <c r="DL103" s="11" t="n">
        <v>743685602</v>
      </c>
      <c r="DM103" s="11" t="n">
        <v>-242714972</v>
      </c>
      <c r="DN103" s="11" t="n">
        <v>-284462690</v>
      </c>
      <c r="DO103" s="11" t="n">
        <v>506434504</v>
      </c>
      <c r="DP103" s="11" t="n">
        <v>-165433522</v>
      </c>
      <c r="DQ103" s="11" t="n">
        <v>-3747454</v>
      </c>
      <c r="DR103" s="11" t="n">
        <v>255507</v>
      </c>
      <c r="DS103" s="11" t="n">
        <v>-57</v>
      </c>
      <c r="DT103" s="11" t="n">
        <v>-373113</v>
      </c>
      <c r="DU103" s="11" t="n">
        <v>-13276</v>
      </c>
      <c r="DV103" s="11" t="n">
        <v>132032</v>
      </c>
      <c r="DW103" s="11" t="n">
        <v>-5719</v>
      </c>
      <c r="DX103" s="11" t="n">
        <v>133400</v>
      </c>
      <c r="DY103" s="11" t="n">
        <v>-277293</v>
      </c>
      <c r="DZ103" s="11" t="n">
        <v>-66063198</v>
      </c>
      <c r="EA103" s="11" t="n">
        <v>-1698845</v>
      </c>
      <c r="EB103" s="11" t="n">
        <v>-1444244</v>
      </c>
      <c r="EC103" s="11" t="n">
        <v>11611516</v>
      </c>
      <c r="ED103" s="11" t="n">
        <v>22329757</v>
      </c>
      <c r="EE103" s="11" t="n">
        <v>-390189</v>
      </c>
      <c r="EF103" s="11" t="n">
        <v>-14029</v>
      </c>
      <c r="EG103" s="11" t="n">
        <v>143612</v>
      </c>
      <c r="EH103" s="11" t="n">
        <v>-8797</v>
      </c>
      <c r="EI103" s="11" t="n">
        <v>139793</v>
      </c>
      <c r="EJ103" s="11" t="n">
        <v>-951809</v>
      </c>
      <c r="EK103" s="11" t="n">
        <v>36246844</v>
      </c>
      <c r="EL103" s="11" t="n">
        <v>-18434810</v>
      </c>
      <c r="EM103" s="11" t="n">
        <v>1883737</v>
      </c>
      <c r="EN103" s="11" t="n">
        <v>952912</v>
      </c>
      <c r="EO103" s="11" t="n">
        <v>-641353</v>
      </c>
      <c r="EP103" s="11" t="n">
        <v>-273276</v>
      </c>
      <c r="EQ103" s="11" t="n">
        <v>5967868</v>
      </c>
      <c r="ER103" s="11" t="n">
        <v>12292832</v>
      </c>
      <c r="ES103" s="11" t="n">
        <v>-6562169</v>
      </c>
      <c r="ET103" s="11" t="n">
        <v>366</v>
      </c>
      <c r="EU103" s="11" t="n">
        <v>-2754705</v>
      </c>
      <c r="EV103" s="11" t="n">
        <v>-22336</v>
      </c>
      <c r="EW103" s="11" t="n">
        <v>254930</v>
      </c>
      <c r="EX103" s="11" t="n">
        <v>-218785</v>
      </c>
      <c r="EY103" s="11" t="n">
        <v>1268174</v>
      </c>
      <c r="EZ103" s="11" t="n">
        <v>1149</v>
      </c>
      <c r="FA103" s="11" t="n">
        <v>24</v>
      </c>
      <c r="FB103" s="11" t="n">
        <v>-246</v>
      </c>
      <c r="FC103" s="11" t="n">
        <v>57</v>
      </c>
      <c r="FD103" s="11" t="n">
        <v>-474</v>
      </c>
      <c r="FE103" s="11" t="n">
        <v>-110516</v>
      </c>
      <c r="FF103" s="11" t="n">
        <v>1051210</v>
      </c>
      <c r="FG103" s="11" t="n">
        <v>257830</v>
      </c>
      <c r="FH103" s="11" t="n">
        <v>-413666</v>
      </c>
      <c r="FI103" s="11" t="n">
        <v>-1704</v>
      </c>
      <c r="FJ103" s="11" t="n">
        <v>10868</v>
      </c>
      <c r="FK103" s="11" t="n">
        <v>-54232</v>
      </c>
      <c r="FL103" s="11" t="n">
        <v>-107350</v>
      </c>
      <c r="FM103" s="11" t="n">
        <v>522224</v>
      </c>
      <c r="FN103" s="11" t="n">
        <v>85842</v>
      </c>
      <c r="FO103" s="11" t="n">
        <v>3084219</v>
      </c>
      <c r="FP103" s="11" t="n">
        <v>26674</v>
      </c>
      <c r="FQ103" s="11" t="n">
        <v>-274598</v>
      </c>
      <c r="FR103" s="11" t="n">
        <v>220807</v>
      </c>
      <c r="FS103" s="11" t="n">
        <v>-1408292</v>
      </c>
      <c r="FT103" s="11" t="n">
        <v>-12540671</v>
      </c>
      <c r="FU103" s="11" t="n">
        <v>-81484880</v>
      </c>
      <c r="FV103" s="11" t="n">
        <v>181756030</v>
      </c>
      <c r="FW103" s="11" t="n">
        <v>-87151181</v>
      </c>
      <c r="FX103" s="11" t="n">
        <v>-1821262</v>
      </c>
      <c r="FY103" s="11" t="n">
        <v>2469743</v>
      </c>
      <c r="FZ103" s="11" t="n">
        <v>-6479954</v>
      </c>
      <c r="GA103" s="11" t="n">
        <v>-10348620</v>
      </c>
      <c r="GB103" s="11" t="n">
        <v>-29447638</v>
      </c>
      <c r="GC103" s="11" t="n">
        <v>76752647</v>
      </c>
      <c r="GD103" s="11" t="n">
        <v>-118505</v>
      </c>
      <c r="GE103" s="11" t="n">
        <v>1210942</v>
      </c>
      <c r="GF103" s="11" t="n">
        <v>212860</v>
      </c>
      <c r="GG103" s="11" t="n">
        <v>-426797</v>
      </c>
      <c r="GH103" s="11" t="n">
        <v>-78</v>
      </c>
      <c r="GI103" s="11" t="n">
        <v>10325</v>
      </c>
      <c r="GJ103" s="11" t="n">
        <v>-57802</v>
      </c>
      <c r="GK103" s="11" t="n">
        <v>-105646</v>
      </c>
      <c r="GL103" s="11" t="n">
        <v>590930</v>
      </c>
      <c r="GM103" s="11" t="n">
        <v>66639</v>
      </c>
      <c r="GN103" s="11" t="n">
        <v>-8054678</v>
      </c>
      <c r="GO103" s="11" t="n">
        <v>6118110</v>
      </c>
      <c r="GP103" s="11" t="n">
        <v>-1613222</v>
      </c>
      <c r="GQ103" s="11" t="n">
        <v>-76985740</v>
      </c>
      <c r="GR103" s="11" t="n">
        <v>45493698</v>
      </c>
      <c r="GS103" s="11" t="n">
        <v>-19136750</v>
      </c>
      <c r="GT103" s="11" t="n">
        <v>-697754</v>
      </c>
      <c r="GU103" s="11" t="n">
        <v>3927688</v>
      </c>
      <c r="GV103" s="11" t="n">
        <v>-2843614</v>
      </c>
      <c r="GW103" s="11" t="n">
        <v>33599426</v>
      </c>
      <c r="GX103" s="11" t="n">
        <v>3804</v>
      </c>
      <c r="GY103" s="11" t="n">
        <v>22977357</v>
      </c>
      <c r="GZ103" s="11" t="n">
        <v>-68791</v>
      </c>
      <c r="HA103" s="11" t="n">
        <v>655808</v>
      </c>
      <c r="HB103" s="11" t="n">
        <v>-4728472</v>
      </c>
      <c r="HC103" s="11" t="n">
        <v>-7867219</v>
      </c>
      <c r="HD103" s="11" t="n">
        <v>429</v>
      </c>
      <c r="HE103" s="11" t="n">
        <v>213</v>
      </c>
      <c r="HF103" s="11" t="n">
        <v>-2112</v>
      </c>
      <c r="HG103" s="11" t="n">
        <v>1140</v>
      </c>
      <c r="HH103" s="11" t="n">
        <v>-231</v>
      </c>
      <c r="HI103" s="11" t="n">
        <v>1294345</v>
      </c>
      <c r="HJ103" s="11" t="n">
        <v>-12831104</v>
      </c>
      <c r="HK103" s="11" t="n">
        <v>7419217</v>
      </c>
      <c r="HL103" s="11" t="n">
        <v>-508079</v>
      </c>
      <c r="HM103" s="11" t="n">
        <v>1472</v>
      </c>
      <c r="HN103" s="11" t="n">
        <v>244149</v>
      </c>
      <c r="HO103" s="11" t="n">
        <v>444692</v>
      </c>
      <c r="HP103" s="11" t="n">
        <v>-2428736</v>
      </c>
      <c r="HQ103" s="11" t="n">
        <v>-4407744</v>
      </c>
      <c r="HR103" s="11" t="n">
        <v>2644823</v>
      </c>
      <c r="HS103" s="11" t="n">
        <v>-23952987</v>
      </c>
      <c r="HT103" s="11" t="n">
        <v>99949</v>
      </c>
      <c r="HU103" s="11" t="n">
        <v>-690224</v>
      </c>
      <c r="HV103" s="11" t="n">
        <v>4958776</v>
      </c>
      <c r="HW103" s="11" t="n">
        <v>8205577</v>
      </c>
      <c r="HX103" s="11" t="n">
        <v>170560969</v>
      </c>
      <c r="HY103" s="11" t="n">
        <v>-39685268</v>
      </c>
      <c r="HZ103" s="11" t="n">
        <v>178374892</v>
      </c>
      <c r="IA103" s="11" t="n">
        <v>26045659</v>
      </c>
      <c r="IB103" s="11" t="n">
        <v>-4749252</v>
      </c>
      <c r="IC103" s="11" t="n">
        <v>34565428</v>
      </c>
      <c r="ID103" s="11" t="n">
        <v>58320406</v>
      </c>
      <c r="IE103" s="11" t="n">
        <v>-3075680</v>
      </c>
      <c r="IF103" s="11" t="n">
        <v>-12844460</v>
      </c>
      <c r="IG103" s="11" t="n">
        <v>55713900</v>
      </c>
      <c r="IH103" s="11" t="n">
        <v>1352488</v>
      </c>
      <c r="II103" s="11" t="n">
        <v>-13376660</v>
      </c>
      <c r="IJ103" s="11" t="n">
        <v>7737571</v>
      </c>
      <c r="IK103" s="11" t="n">
        <v>-529166</v>
      </c>
      <c r="IL103" s="11" t="n">
        <v>16844</v>
      </c>
      <c r="IM103" s="11" t="n">
        <v>247707</v>
      </c>
      <c r="IN103" s="11" t="n">
        <v>465530</v>
      </c>
      <c r="IO103" s="11" t="n">
        <v>-2546288</v>
      </c>
      <c r="IP103" s="11" t="n">
        <v>-4597692</v>
      </c>
      <c r="IQ103" s="11" t="n">
        <v>2760209</v>
      </c>
      <c r="IR103" s="11" t="n">
        <v>93009788</v>
      </c>
      <c r="IS103" s="11" t="n">
        <v>-45024769</v>
      </c>
      <c r="IT103" s="11" t="n">
        <v>5238658</v>
      </c>
      <c r="IU103" s="11" t="n">
        <v>-86794716</v>
      </c>
      <c r="IV103" s="11" t="n">
        <v>-15422044</v>
      </c>
      <c r="IW103" s="11" t="n">
        <v>12354203</v>
      </c>
      <c r="IX103" s="11" t="n">
        <v>-17595404</v>
      </c>
      <c r="IY103" s="11" t="n">
        <v>-31948976</v>
      </c>
      <c r="IZ103" s="11" t="n">
        <v>16457102</v>
      </c>
      <c r="JA103" s="11" t="n">
        <v>26896580</v>
      </c>
      <c r="JB103" s="11" t="n">
        <v>73926</v>
      </c>
      <c r="JC103" s="11" t="n">
        <v>234</v>
      </c>
      <c r="JD103" s="11" t="n">
        <v>-2856</v>
      </c>
      <c r="JE103" s="11" t="n">
        <v>-3516</v>
      </c>
      <c r="JF103" s="11" t="n">
        <v>-30150</v>
      </c>
      <c r="JG103" s="11" t="n">
        <v>2750301</v>
      </c>
      <c r="JH103" s="11" t="n">
        <v>-29995950</v>
      </c>
      <c r="JI103" s="11" t="n">
        <v>70654215</v>
      </c>
      <c r="JJ103" s="11" t="n">
        <v>-29225889</v>
      </c>
      <c r="JK103" s="11" t="n">
        <v>11306</v>
      </c>
      <c r="JL103" s="11" t="n">
        <v>354451</v>
      </c>
      <c r="JM103" s="11" t="n">
        <v>1029174</v>
      </c>
      <c r="JN103" s="11" t="n">
        <v>-4156240</v>
      </c>
      <c r="JO103" s="11" t="n">
        <v>-11104466</v>
      </c>
      <c r="JP103" s="11" t="n">
        <v>30205649</v>
      </c>
      <c r="JQ103" s="11" t="n">
        <v>-4113</v>
      </c>
      <c r="JR103" s="11" t="n">
        <v>40722</v>
      </c>
      <c r="JS103" s="11" t="n">
        <v>-22551</v>
      </c>
      <c r="JT103" s="11" t="n">
        <v>1089</v>
      </c>
      <c r="JU103" s="11" t="n">
        <v>-30</v>
      </c>
      <c r="JV103" s="11" t="n">
        <v>-267</v>
      </c>
      <c r="JW103" s="11" t="n">
        <v>-1674</v>
      </c>
      <c r="JX103" s="11" t="n">
        <v>2808</v>
      </c>
      <c r="JY103" s="11" t="n">
        <v>16566</v>
      </c>
      <c r="JZ103" s="11" t="n">
        <v>-9249</v>
      </c>
      <c r="KA103" s="11" t="n">
        <v>-153878</v>
      </c>
      <c r="KB103" s="11" t="n">
        <v>3091994</v>
      </c>
      <c r="KC103" s="11" t="n">
        <v>-1585518</v>
      </c>
      <c r="KD103" s="11" t="n">
        <v>-29769530</v>
      </c>
      <c r="KE103" s="11" t="n">
        <v>15657158</v>
      </c>
      <c r="KF103" s="11" t="n">
        <v>-7874504</v>
      </c>
      <c r="KG103" s="11" t="n">
        <v>32542</v>
      </c>
      <c r="KH103" s="11" t="n">
        <v>51064</v>
      </c>
      <c r="KI103" s="11" t="n">
        <v>-1361374</v>
      </c>
      <c r="KJ103" s="11" t="n">
        <v>13190102</v>
      </c>
      <c r="KK103" s="11" t="n">
        <v>-3415833</v>
      </c>
      <c r="KL103" s="11" t="n">
        <v>31397274</v>
      </c>
      <c r="KM103" s="11" t="n">
        <v>-74228121</v>
      </c>
      <c r="KN103" s="11" t="n">
        <v>30383037</v>
      </c>
      <c r="KO103" s="11" t="n">
        <v>-32582</v>
      </c>
      <c r="KP103" s="11" t="n">
        <v>-397417</v>
      </c>
      <c r="KQ103" s="11" t="n">
        <v>-1296942</v>
      </c>
      <c r="KR103" s="11" t="n">
        <v>4360960</v>
      </c>
      <c r="KS103" s="11" t="n">
        <v>11631278</v>
      </c>
      <c r="KT103" s="11" t="n">
        <v>-31718267</v>
      </c>
      <c r="KU103" s="11" t="n">
        <v>-217909826</v>
      </c>
      <c r="KV103" s="11" t="n">
        <v>503115599</v>
      </c>
      <c r="KW103" s="11" t="n">
        <v>-220061400</v>
      </c>
      <c r="KX103" s="11" t="n">
        <v>110830540</v>
      </c>
      <c r="KY103" s="11" t="n">
        <v>84478886</v>
      </c>
      <c r="KZ103" s="11" t="n">
        <v>-306971789</v>
      </c>
      <c r="LA103" s="11" t="n">
        <v>30151820</v>
      </c>
      <c r="LB103" s="11" t="n">
        <v>80638124</v>
      </c>
      <c r="LC103" s="11" t="n">
        <v>-216628826</v>
      </c>
      <c r="LD103" s="11" t="n">
        <v>-29323940</v>
      </c>
      <c r="LE103" s="11" t="n">
        <v>134764</v>
      </c>
      <c r="LF103" s="11" t="n">
        <v>3087815</v>
      </c>
      <c r="LG103" s="11" t="n">
        <v>-1640094</v>
      </c>
      <c r="LH103" s="11" t="n">
        <v>-31310738</v>
      </c>
      <c r="LI103" s="11" t="n">
        <v>16273928</v>
      </c>
      <c r="LJ103" s="11" t="n">
        <v>-8174843</v>
      </c>
      <c r="LK103" s="11" t="n">
        <v>13774</v>
      </c>
      <c r="LL103" s="11" t="n">
        <v>-66812</v>
      </c>
      <c r="LM103" s="11" t="n">
        <v>-1363216</v>
      </c>
      <c r="LN103" s="11" t="n">
        <v>13859606</v>
      </c>
      <c r="LO103" s="11" t="n">
        <v>216833522</v>
      </c>
      <c r="LP103" s="11" t="n">
        <v>-113310268</v>
      </c>
      <c r="LQ103" s="11" t="n">
        <v>42639082</v>
      </c>
      <c r="LR103" s="11" t="n">
        <v>141692062</v>
      </c>
      <c r="LS103" s="11" t="n">
        <v>95918388</v>
      </c>
    </row>
    <row r="104" customFormat="false" ht="15" hidden="false" customHeight="true" outlineLevel="0" collapsed="false">
      <c r="A104" s="7" t="s">
        <v>170</v>
      </c>
      <c r="B104" s="11" t="n">
        <v>-3151145</v>
      </c>
      <c r="C104" s="11" t="n">
        <v>37975554</v>
      </c>
      <c r="D104" s="11" t="n">
        <v>-2391697</v>
      </c>
      <c r="E104" s="11" t="n">
        <v>-167723148</v>
      </c>
      <c r="F104" s="11" t="n">
        <v>-3685201</v>
      </c>
      <c r="G104" s="11" t="n">
        <v>-40407592</v>
      </c>
      <c r="H104" s="11" t="n">
        <v>146314824</v>
      </c>
      <c r="I104" s="11" t="n">
        <v>67787219</v>
      </c>
      <c r="J104" s="11" t="n">
        <v>-27988439</v>
      </c>
      <c r="K104" s="11" t="n">
        <v>-6693</v>
      </c>
      <c r="L104" s="11" t="n">
        <v>-4928362</v>
      </c>
      <c r="M104" s="11" t="n">
        <v>854906</v>
      </c>
      <c r="N104" s="11" t="n">
        <v>-10608118</v>
      </c>
      <c r="O104" s="11" t="n">
        <v>-2138474</v>
      </c>
      <c r="P104" s="11" t="n">
        <v>4856206</v>
      </c>
      <c r="Q104" s="11" t="n">
        <v>21323689</v>
      </c>
      <c r="R104" s="11" t="n">
        <v>1549108776</v>
      </c>
      <c r="S104" s="11" t="n">
        <v>22429147</v>
      </c>
      <c r="T104" s="11" t="n">
        <v>486741988</v>
      </c>
      <c r="U104" s="11" t="n">
        <v>-1273795332</v>
      </c>
      <c r="V104" s="11" t="n">
        <v>-660609257</v>
      </c>
      <c r="W104" s="11" t="n">
        <v>-3384350</v>
      </c>
      <c r="X104" s="11" t="n">
        <v>656695</v>
      </c>
      <c r="Y104" s="11" t="n">
        <v>-7965662</v>
      </c>
      <c r="Z104" s="11" t="n">
        <v>-1933858</v>
      </c>
      <c r="AA104" s="11" t="n">
        <v>3541847</v>
      </c>
      <c r="AB104" s="11" t="n">
        <v>51266930</v>
      </c>
      <c r="AC104" s="11" t="n">
        <v>-501431608</v>
      </c>
      <c r="AD104" s="11" t="n">
        <v>-342657672</v>
      </c>
      <c r="AE104" s="11" t="n">
        <v>152458298</v>
      </c>
      <c r="AF104" s="11" t="n">
        <v>-23368566</v>
      </c>
      <c r="AG104" s="11" t="n">
        <v>37194326</v>
      </c>
      <c r="AH104" s="11" t="n">
        <v>24069916</v>
      </c>
      <c r="AI104" s="11" t="n">
        <v>-519980992</v>
      </c>
      <c r="AJ104" s="11" t="n">
        <v>-165929282</v>
      </c>
      <c r="AK104" s="11" t="n">
        <v>-271487390</v>
      </c>
      <c r="AL104" s="11" t="n">
        <v>-35069978</v>
      </c>
      <c r="AM104" s="11" t="n">
        <v>-366696</v>
      </c>
      <c r="AN104" s="11" t="n">
        <v>48993551</v>
      </c>
      <c r="AO104" s="11" t="n">
        <v>-6848118</v>
      </c>
      <c r="AP104" s="11" t="n">
        <v>7130234</v>
      </c>
      <c r="AQ104" s="11" t="n">
        <v>-59141223</v>
      </c>
      <c r="AR104" s="11" t="n">
        <v>-22873243</v>
      </c>
      <c r="AS104" s="11" t="n">
        <v>31037050</v>
      </c>
      <c r="AT104" s="11" t="n">
        <v>1276199562</v>
      </c>
      <c r="AU104" s="11" t="n">
        <v>123542710</v>
      </c>
      <c r="AV104" s="11" t="n">
        <v>363778492</v>
      </c>
      <c r="AW104" s="11" t="n">
        <v>-915647154</v>
      </c>
      <c r="AX104" s="11" t="n">
        <v>-478769528</v>
      </c>
      <c r="AY104" s="11" t="n">
        <v>56703559</v>
      </c>
      <c r="AZ104" s="11" t="n">
        <v>-4768830</v>
      </c>
      <c r="BA104" s="11" t="n">
        <v>10113994</v>
      </c>
      <c r="BB104" s="11" t="n">
        <v>-61914303</v>
      </c>
      <c r="BC104" s="11" t="n">
        <v>-25248971</v>
      </c>
      <c r="BD104" s="11" t="n">
        <v>-421795567</v>
      </c>
      <c r="BE104" s="11" t="n">
        <v>-248736928</v>
      </c>
      <c r="BF104" s="11" t="n">
        <v>-872974524</v>
      </c>
      <c r="BG104" s="11" t="n">
        <v>-163507471</v>
      </c>
      <c r="BH104" s="11" t="n">
        <v>96153082</v>
      </c>
      <c r="BI104" s="11" t="n">
        <v>-387138159</v>
      </c>
      <c r="BJ104" s="11" t="n">
        <v>-174066053</v>
      </c>
      <c r="BK104" s="11" t="n">
        <v>-427303560</v>
      </c>
      <c r="BL104" s="11" t="n">
        <v>-139921818</v>
      </c>
      <c r="BM104" s="11" t="n">
        <v>-210185349</v>
      </c>
      <c r="BN104" s="11" t="n">
        <v>-3182502</v>
      </c>
      <c r="BO104" s="11" t="n">
        <v>490009365</v>
      </c>
      <c r="BP104" s="11" t="n">
        <v>-70339406</v>
      </c>
      <c r="BQ104" s="11" t="n">
        <v>181391394</v>
      </c>
      <c r="BR104" s="11" t="n">
        <v>-501492085</v>
      </c>
      <c r="BS104" s="11" t="n">
        <v>-257206001</v>
      </c>
      <c r="BT104" s="11" t="n">
        <v>677571</v>
      </c>
      <c r="BU104" s="11" t="n">
        <v>-114030</v>
      </c>
      <c r="BV104" s="11" t="n">
        <v>1249602</v>
      </c>
      <c r="BW104" s="11" t="n">
        <v>123237</v>
      </c>
      <c r="BX104" s="11" t="n">
        <v>-613695</v>
      </c>
      <c r="BY104" s="11" t="n">
        <v>2581562</v>
      </c>
      <c r="BZ104" s="11" t="n">
        <v>-153781878</v>
      </c>
      <c r="CA104" s="11" t="n">
        <v>-125745020</v>
      </c>
      <c r="CB104" s="11" t="n">
        <v>39730052</v>
      </c>
      <c r="CC104" s="11" t="n">
        <v>21119296</v>
      </c>
      <c r="CD104" s="11" t="n">
        <v>20692386</v>
      </c>
      <c r="CE104" s="11" t="n">
        <v>-4348070</v>
      </c>
      <c r="CF104" s="11" t="n">
        <v>-203933774</v>
      </c>
      <c r="CG104" s="11" t="n">
        <v>-66012886</v>
      </c>
      <c r="CH104" s="11" t="n">
        <v>-106664656</v>
      </c>
      <c r="CI104" s="11" t="n">
        <v>-549471483</v>
      </c>
      <c r="CJ104" s="11" t="n">
        <v>51039460</v>
      </c>
      <c r="CK104" s="11" t="n">
        <v>-193543878</v>
      </c>
      <c r="CL104" s="11" t="n">
        <v>526914611</v>
      </c>
      <c r="CM104" s="11" t="n">
        <v>271075177</v>
      </c>
      <c r="CN104" s="11" t="n">
        <v>4285836849</v>
      </c>
      <c r="CO104" s="11" t="n">
        <v>-1518014916</v>
      </c>
      <c r="CP104" s="11" t="n">
        <v>5455615020</v>
      </c>
      <c r="CQ104" s="11" t="n">
        <v>2670222189</v>
      </c>
      <c r="CR104" s="11" t="n">
        <v>-1368622114</v>
      </c>
      <c r="CS104" s="11" t="n">
        <v>3603132233</v>
      </c>
      <c r="CT104" s="11" t="n">
        <v>1866333951</v>
      </c>
      <c r="CU104" s="11" t="n">
        <v>465968948</v>
      </c>
      <c r="CV104" s="11" t="n">
        <v>191655070</v>
      </c>
      <c r="CW104" s="11" t="n">
        <v>130857967</v>
      </c>
      <c r="CX104" s="11" t="n">
        <v>8821165</v>
      </c>
      <c r="CY104" s="11" t="n">
        <v>-174542214</v>
      </c>
      <c r="CZ104" s="11" t="n">
        <v>-133460176</v>
      </c>
      <c r="DA104" s="11" t="n">
        <v>48243559</v>
      </c>
      <c r="DB104" s="11" t="n">
        <v>13105790</v>
      </c>
      <c r="DC104" s="11" t="n">
        <v>20855925</v>
      </c>
      <c r="DD104" s="11" t="n">
        <v>-129445</v>
      </c>
      <c r="DE104" s="11" t="n">
        <v>-214386454</v>
      </c>
      <c r="DF104" s="11" t="n">
        <v>-69115172</v>
      </c>
      <c r="DG104" s="11" t="n">
        <v>-112104047</v>
      </c>
      <c r="DH104" s="11" t="n">
        <v>1337046262</v>
      </c>
      <c r="DI104" s="11" t="n">
        <v>1128563428</v>
      </c>
      <c r="DJ104" s="11" t="n">
        <v>-333428682</v>
      </c>
      <c r="DK104" s="11" t="n">
        <v>-2101709912</v>
      </c>
      <c r="DL104" s="11" t="n">
        <v>-714927094</v>
      </c>
      <c r="DM104" s="11" t="n">
        <v>-1127568268</v>
      </c>
      <c r="DN104" s="11" t="n">
        <v>-1484454862</v>
      </c>
      <c r="DO104" s="11" t="n">
        <v>-475761686</v>
      </c>
      <c r="DP104" s="11" t="n">
        <v>-771766166</v>
      </c>
      <c r="DQ104" s="11" t="n">
        <v>-45895158</v>
      </c>
      <c r="DR104" s="11" t="n">
        <v>-711152</v>
      </c>
      <c r="DS104" s="11" t="n">
        <v>-2894</v>
      </c>
      <c r="DT104" s="11" t="n">
        <v>-1030226</v>
      </c>
      <c r="DU104" s="11" t="n">
        <v>-19707</v>
      </c>
      <c r="DV104" s="11" t="n">
        <v>-243154</v>
      </c>
      <c r="DW104" s="11" t="n">
        <v>4253</v>
      </c>
      <c r="DX104" s="11" t="n">
        <v>298458</v>
      </c>
      <c r="DY104" s="11" t="n">
        <v>574636</v>
      </c>
      <c r="DZ104" s="11" t="n">
        <v>50267460</v>
      </c>
      <c r="EA104" s="11" t="n">
        <v>1069174</v>
      </c>
      <c r="EB104" s="11" t="n">
        <v>12049540</v>
      </c>
      <c r="EC104" s="11" t="n">
        <v>-33071658</v>
      </c>
      <c r="ED104" s="11" t="n">
        <v>-18895076</v>
      </c>
      <c r="EE104" s="11" t="n">
        <v>-627898</v>
      </c>
      <c r="EF104" s="11" t="n">
        <v>-11573</v>
      </c>
      <c r="EG104" s="11" t="n">
        <v>-147442</v>
      </c>
      <c r="EH104" s="11" t="n">
        <v>-131147</v>
      </c>
      <c r="EI104" s="11" t="n">
        <v>164272</v>
      </c>
      <c r="EJ104" s="11" t="n">
        <v>155902</v>
      </c>
      <c r="EK104" s="11" t="n">
        <v>268600</v>
      </c>
      <c r="EL104" s="11" t="n">
        <v>-47609364</v>
      </c>
      <c r="EM104" s="11" t="n">
        <v>-6276398</v>
      </c>
      <c r="EN104" s="11" t="n">
        <v>-31658</v>
      </c>
      <c r="EO104" s="11" t="n">
        <v>-910067</v>
      </c>
      <c r="EP104" s="11" t="n">
        <v>-74895</v>
      </c>
      <c r="EQ104" s="11" t="n">
        <v>-11235656</v>
      </c>
      <c r="ER104" s="11" t="n">
        <v>-1403542</v>
      </c>
      <c r="ES104" s="11" t="n">
        <v>-13766593</v>
      </c>
      <c r="ET104" s="11" t="n">
        <v>-24194</v>
      </c>
      <c r="EU104" s="11" t="n">
        <v>-8038222</v>
      </c>
      <c r="EV104" s="11" t="n">
        <v>-367973</v>
      </c>
      <c r="EW104" s="11" t="n">
        <v>234354</v>
      </c>
      <c r="EX104" s="11" t="n">
        <v>520387</v>
      </c>
      <c r="EY104" s="11" t="n">
        <v>1554950</v>
      </c>
      <c r="EZ104" s="11" t="n">
        <v>2338</v>
      </c>
      <c r="FA104" s="11" t="n">
        <v>-827</v>
      </c>
      <c r="FB104" s="11" t="n">
        <v>9226</v>
      </c>
      <c r="FC104" s="11" t="n">
        <v>1973</v>
      </c>
      <c r="FD104" s="11" t="n">
        <v>-3826</v>
      </c>
      <c r="FE104" s="11" t="n">
        <v>-310322</v>
      </c>
      <c r="FF104" s="11" t="n">
        <v>3087896</v>
      </c>
      <c r="FG104" s="11" t="n">
        <v>705798</v>
      </c>
      <c r="FH104" s="11" t="n">
        <v>-1120888</v>
      </c>
      <c r="FI104" s="11" t="n">
        <v>132310</v>
      </c>
      <c r="FJ104" s="11" t="n">
        <v>12220</v>
      </c>
      <c r="FK104" s="11" t="n">
        <v>-111342</v>
      </c>
      <c r="FL104" s="11" t="n">
        <v>179330</v>
      </c>
      <c r="FM104" s="11" t="n">
        <v>630016</v>
      </c>
      <c r="FN104" s="11" t="n">
        <v>209098</v>
      </c>
      <c r="FO104" s="11" t="n">
        <v>4785026</v>
      </c>
      <c r="FP104" s="11" t="n">
        <v>260961</v>
      </c>
      <c r="FQ104" s="11" t="n">
        <v>-599302</v>
      </c>
      <c r="FR104" s="11" t="n">
        <v>704635</v>
      </c>
      <c r="FS104" s="11" t="n">
        <v>-613628</v>
      </c>
      <c r="FT104" s="11" t="n">
        <v>13925026</v>
      </c>
      <c r="FU104" s="11" t="n">
        <v>-152762360</v>
      </c>
      <c r="FV104" s="11" t="n">
        <v>337028928</v>
      </c>
      <c r="FW104" s="11" t="n">
        <v>103661986</v>
      </c>
      <c r="FX104" s="11" t="n">
        <v>-6587158</v>
      </c>
      <c r="FY104" s="11" t="n">
        <v>16329973</v>
      </c>
      <c r="FZ104" s="11" t="n">
        <v>7439149</v>
      </c>
      <c r="GA104" s="11" t="n">
        <v>-19715756</v>
      </c>
      <c r="GB104" s="11" t="n">
        <v>-32573302</v>
      </c>
      <c r="GC104" s="11" t="n">
        <v>58485419</v>
      </c>
      <c r="GD104" s="11" t="n">
        <v>-188780</v>
      </c>
      <c r="GE104" s="11" t="n">
        <v>1882608</v>
      </c>
      <c r="GF104" s="11" t="n">
        <v>322122</v>
      </c>
      <c r="GG104" s="11" t="n">
        <v>-697398</v>
      </c>
      <c r="GH104" s="11" t="n">
        <v>79028</v>
      </c>
      <c r="GI104" s="11" t="n">
        <v>45367</v>
      </c>
      <c r="GJ104" s="11" t="n">
        <v>-62243</v>
      </c>
      <c r="GK104" s="11" t="n">
        <v>-317574</v>
      </c>
      <c r="GL104" s="11" t="n">
        <v>328770</v>
      </c>
      <c r="GM104" s="11" t="n">
        <v>-61389</v>
      </c>
      <c r="GN104" s="11" t="n">
        <v>-548192</v>
      </c>
      <c r="GO104" s="11" t="n">
        <v>14233962</v>
      </c>
      <c r="GP104" s="11" t="n">
        <v>2060182</v>
      </c>
      <c r="GQ104" s="11" t="n">
        <v>-142883544</v>
      </c>
      <c r="GR104" s="11" t="n">
        <v>-18520008</v>
      </c>
      <c r="GS104" s="11" t="n">
        <v>-56098986</v>
      </c>
      <c r="GT104" s="11" t="n">
        <v>-6090430</v>
      </c>
      <c r="GU104" s="11" t="n">
        <v>-681698</v>
      </c>
      <c r="GV104" s="11" t="n">
        <v>-5188202</v>
      </c>
      <c r="GW104" s="11" t="n">
        <v>28076634</v>
      </c>
      <c r="GX104" s="11" t="n">
        <v>50548</v>
      </c>
      <c r="GY104" s="11" t="n">
        <v>-22522564</v>
      </c>
      <c r="GZ104" s="11" t="n">
        <v>1326162</v>
      </c>
      <c r="HA104" s="11" t="n">
        <v>-4315284</v>
      </c>
      <c r="HB104" s="11" t="n">
        <v>13394354</v>
      </c>
      <c r="HC104" s="11" t="n">
        <v>8483668</v>
      </c>
      <c r="HD104" s="11" t="n">
        <v>-164882</v>
      </c>
      <c r="HE104" s="11" t="n">
        <v>3996</v>
      </c>
      <c r="HF104" s="11" t="n">
        <v>-34844</v>
      </c>
      <c r="HG104" s="11" t="n">
        <v>54810</v>
      </c>
      <c r="HH104" s="11" t="n">
        <v>55738</v>
      </c>
      <c r="HI104" s="11" t="n">
        <v>2545305</v>
      </c>
      <c r="HJ104" s="11" t="n">
        <v>1449386</v>
      </c>
      <c r="HK104" s="11" t="n">
        <v>19269331</v>
      </c>
      <c r="HL104" s="11" t="n">
        <v>2837728</v>
      </c>
      <c r="HM104" s="11" t="n">
        <v>-573018</v>
      </c>
      <c r="HN104" s="11" t="n">
        <v>379107</v>
      </c>
      <c r="HO104" s="11" t="n">
        <v>791661</v>
      </c>
      <c r="HP104" s="11" t="n">
        <v>4553932</v>
      </c>
      <c r="HQ104" s="11" t="n">
        <v>1089650</v>
      </c>
      <c r="HR104" s="11" t="n">
        <v>5570639</v>
      </c>
      <c r="HS104" s="11" t="n">
        <v>21771992</v>
      </c>
      <c r="HT104" s="11" t="n">
        <v>-995590</v>
      </c>
      <c r="HU104" s="11" t="n">
        <v>4343372</v>
      </c>
      <c r="HV104" s="11" t="n">
        <v>-13173814</v>
      </c>
      <c r="HW104" s="11" t="n">
        <v>-8198148</v>
      </c>
      <c r="HX104" s="11" t="n">
        <v>-127600478</v>
      </c>
      <c r="HY104" s="11" t="n">
        <v>-76591460</v>
      </c>
      <c r="HZ104" s="11" t="n">
        <v>100623186</v>
      </c>
      <c r="IA104" s="11" t="n">
        <v>-1247108</v>
      </c>
      <c r="IB104" s="11" t="n">
        <v>28957848</v>
      </c>
      <c r="IC104" s="11" t="n">
        <v>-81809896</v>
      </c>
      <c r="ID104" s="11" t="n">
        <v>-47990372</v>
      </c>
      <c r="IE104" s="11" t="n">
        <v>-26270344</v>
      </c>
      <c r="IF104" s="11" t="n">
        <v>-29088968</v>
      </c>
      <c r="IG104" s="11" t="n">
        <v>38643820</v>
      </c>
      <c r="IH104" s="11" t="n">
        <v>1526351</v>
      </c>
      <c r="II104" s="11" t="n">
        <v>840378</v>
      </c>
      <c r="IJ104" s="11" t="n">
        <v>19363811</v>
      </c>
      <c r="IK104" s="11" t="n">
        <v>2734030</v>
      </c>
      <c r="IL104" s="11" t="n">
        <v>-342926</v>
      </c>
      <c r="IM104" s="11" t="n">
        <v>38097</v>
      </c>
      <c r="IN104" s="11" t="n">
        <v>449719</v>
      </c>
      <c r="IO104" s="11" t="n">
        <v>4371452</v>
      </c>
      <c r="IP104" s="11" t="n">
        <v>861862</v>
      </c>
      <c r="IQ104" s="11" t="n">
        <v>5637049</v>
      </c>
      <c r="IR104" s="11" t="n">
        <v>444278</v>
      </c>
      <c r="IS104" s="11" t="n">
        <v>-120541007</v>
      </c>
      <c r="IT104" s="11" t="n">
        <v>-15936071</v>
      </c>
      <c r="IU104" s="11" t="n">
        <v>-72003704</v>
      </c>
      <c r="IV104" s="11" t="n">
        <v>-9569878</v>
      </c>
      <c r="IW104" s="11" t="n">
        <v>13744979</v>
      </c>
      <c r="IX104" s="11" t="n">
        <v>27070916</v>
      </c>
      <c r="IY104" s="11" t="n">
        <v>3449464</v>
      </c>
      <c r="IZ104" s="11" t="n">
        <v>35118046</v>
      </c>
      <c r="JA104" s="11" t="n">
        <v>24064164</v>
      </c>
      <c r="JB104" s="11" t="n">
        <v>-1337586</v>
      </c>
      <c r="JC104" s="11" t="n">
        <v>18962</v>
      </c>
      <c r="JD104" s="11" t="n">
        <v>-130152</v>
      </c>
      <c r="JE104" s="11" t="n">
        <v>492676</v>
      </c>
      <c r="JF104" s="11" t="n">
        <v>399146</v>
      </c>
      <c r="JG104" s="11" t="n">
        <v>26643643</v>
      </c>
      <c r="JH104" s="11" t="n">
        <v>-56198202</v>
      </c>
      <c r="JI104" s="11" t="n">
        <v>134916785</v>
      </c>
      <c r="JJ104" s="11" t="n">
        <v>46645648</v>
      </c>
      <c r="JK104" s="11" t="n">
        <v>-1795842</v>
      </c>
      <c r="JL104" s="11" t="n">
        <v>7901093</v>
      </c>
      <c r="JM104" s="11" t="n">
        <v>7289407</v>
      </c>
      <c r="JN104" s="11" t="n">
        <v>-7571712</v>
      </c>
      <c r="JO104" s="11" t="n">
        <v>-12231186</v>
      </c>
      <c r="JP104" s="11" t="n">
        <v>23079117</v>
      </c>
      <c r="JQ104" s="11" t="n">
        <v>43889</v>
      </c>
      <c r="JR104" s="11" t="n">
        <v>-497490</v>
      </c>
      <c r="JS104" s="11" t="n">
        <v>-156689</v>
      </c>
      <c r="JT104" s="11" t="n">
        <v>172952</v>
      </c>
      <c r="JU104" s="11" t="n">
        <v>2782</v>
      </c>
      <c r="JV104" s="11" t="n">
        <v>18387</v>
      </c>
      <c r="JW104" s="11" t="n">
        <v>10645</v>
      </c>
      <c r="JX104" s="11" t="n">
        <v>-198488</v>
      </c>
      <c r="JY104" s="11" t="n">
        <v>-131626</v>
      </c>
      <c r="JZ104" s="11" t="n">
        <v>-110461</v>
      </c>
      <c r="KA104" s="11" t="n">
        <v>8065622</v>
      </c>
      <c r="KB104" s="11" t="n">
        <v>7548022</v>
      </c>
      <c r="KC104" s="11" t="n">
        <v>-1914524</v>
      </c>
      <c r="KD104" s="11" t="n">
        <v>-56762998</v>
      </c>
      <c r="KE104" s="11" t="n">
        <v>-10082456</v>
      </c>
      <c r="KF104" s="11" t="n">
        <v>-22909172</v>
      </c>
      <c r="KG104" s="11" t="n">
        <v>-2900590</v>
      </c>
      <c r="KH104" s="11" t="n">
        <v>-2077622</v>
      </c>
      <c r="KI104" s="11" t="n">
        <v>-2632802</v>
      </c>
      <c r="KJ104" s="11" t="n">
        <v>10995678</v>
      </c>
      <c r="KK104" s="11" t="n">
        <v>-18177707</v>
      </c>
      <c r="KL104" s="11" t="n">
        <v>58874046</v>
      </c>
      <c r="KM104" s="11" t="n">
        <v>-136396519</v>
      </c>
      <c r="KN104" s="11" t="n">
        <v>-45017102</v>
      </c>
      <c r="KO104" s="11" t="n">
        <v>934142</v>
      </c>
      <c r="KP104" s="11" t="n">
        <v>-4761839</v>
      </c>
      <c r="KQ104" s="11" t="n">
        <v>-4786193</v>
      </c>
      <c r="KR104" s="11" t="n">
        <v>8413328</v>
      </c>
      <c r="KS104" s="11" t="n">
        <v>13188142</v>
      </c>
      <c r="KT104" s="11" t="n">
        <v>-24120527</v>
      </c>
      <c r="KU104" s="11" t="n">
        <v>-408993974</v>
      </c>
      <c r="KV104" s="11" t="n">
        <v>883399177</v>
      </c>
      <c r="KW104" s="11" t="n">
        <v>262793325</v>
      </c>
      <c r="KX104" s="11" t="n">
        <v>207730852</v>
      </c>
      <c r="KY104" s="11" t="n">
        <v>161737514</v>
      </c>
      <c r="KZ104" s="11" t="n">
        <v>-215867497</v>
      </c>
      <c r="LA104" s="11" t="n">
        <v>61742836</v>
      </c>
      <c r="LB104" s="11" t="n">
        <v>94183376</v>
      </c>
      <c r="LC104" s="11" t="n">
        <v>-163757698</v>
      </c>
      <c r="LD104" s="11" t="n">
        <v>-23420052</v>
      </c>
      <c r="LE104" s="11" t="n">
        <v>4829076</v>
      </c>
      <c r="LF104" s="11" t="n">
        <v>6604849</v>
      </c>
      <c r="LG104" s="11" t="n">
        <v>-873301</v>
      </c>
      <c r="LH104" s="11" t="n">
        <v>-57626814</v>
      </c>
      <c r="LI104" s="11" t="n">
        <v>-9130758</v>
      </c>
      <c r="LJ104" s="11" t="n">
        <v>-22909731</v>
      </c>
      <c r="LK104" s="11" t="n">
        <v>-1604446</v>
      </c>
      <c r="LL104" s="11" t="n">
        <v>-1226618</v>
      </c>
      <c r="LM104" s="11" t="n">
        <v>-1967828</v>
      </c>
      <c r="LN104" s="11" t="n">
        <v>11603934</v>
      </c>
      <c r="LO104" s="11" t="n">
        <v>383290654</v>
      </c>
      <c r="LP104" s="11" t="n">
        <v>50164418</v>
      </c>
      <c r="LQ104" s="11" t="n">
        <v>137926286</v>
      </c>
      <c r="LR104" s="11" t="n">
        <v>126094230</v>
      </c>
      <c r="LS104" s="11" t="n">
        <v>80691444</v>
      </c>
    </row>
    <row r="105" customFormat="false" ht="15" hidden="false" customHeight="true" outlineLevel="0" collapsed="false">
      <c r="A105" s="7" t="s">
        <v>171</v>
      </c>
      <c r="B105" s="11" t="n">
        <v>-2879151</v>
      </c>
      <c r="C105" s="11" t="n">
        <v>676464794</v>
      </c>
      <c r="D105" s="11" t="n">
        <v>-2354093</v>
      </c>
      <c r="E105" s="11" t="n">
        <v>31112282</v>
      </c>
      <c r="F105" s="11" t="n">
        <v>-29660095</v>
      </c>
      <c r="G105" s="11" t="n">
        <v>274058780</v>
      </c>
      <c r="H105" s="11" t="n">
        <v>165790660</v>
      </c>
      <c r="I105" s="11" t="n">
        <v>90366495</v>
      </c>
      <c r="J105" s="11" t="n">
        <v>-36376389</v>
      </c>
      <c r="K105" s="11" t="n">
        <v>-3273</v>
      </c>
      <c r="L105" s="11" t="n">
        <v>-7606536</v>
      </c>
      <c r="M105" s="11" t="n">
        <v>1223742</v>
      </c>
      <c r="N105" s="11" t="n">
        <v>-14927622</v>
      </c>
      <c r="O105" s="11" t="n">
        <v>-2494362</v>
      </c>
      <c r="P105" s="11" t="n">
        <v>3958428</v>
      </c>
      <c r="Q105" s="11" t="n">
        <v>30511589</v>
      </c>
      <c r="R105" s="11" t="n">
        <v>1394091986</v>
      </c>
      <c r="S105" s="11" t="n">
        <v>87216257</v>
      </c>
      <c r="T105" s="11" t="n">
        <v>44715248</v>
      </c>
      <c r="U105" s="11" t="n">
        <v>-1508610512</v>
      </c>
      <c r="V105" s="11" t="n">
        <v>-2071771837</v>
      </c>
      <c r="W105" s="11" t="n">
        <v>-6254734</v>
      </c>
      <c r="X105" s="11" t="n">
        <v>1034291</v>
      </c>
      <c r="Y105" s="11" t="n">
        <v>-12516886</v>
      </c>
      <c r="Z105" s="11" t="n">
        <v>-2227946</v>
      </c>
      <c r="AA105" s="11" t="n">
        <v>3133819</v>
      </c>
      <c r="AB105" s="11" t="n">
        <v>65136276</v>
      </c>
      <c r="AC105" s="11" t="n">
        <v>-562737276</v>
      </c>
      <c r="AD105" s="11" t="n">
        <v>-411054276</v>
      </c>
      <c r="AE105" s="11" t="n">
        <v>-281517616</v>
      </c>
      <c r="AF105" s="11" t="n">
        <v>-37294830</v>
      </c>
      <c r="AG105" s="11" t="n">
        <v>44770830</v>
      </c>
      <c r="AH105" s="11" t="n">
        <v>79187450</v>
      </c>
      <c r="AI105" s="11" t="n">
        <v>-622148160</v>
      </c>
      <c r="AJ105" s="11" t="n">
        <v>-845318230</v>
      </c>
      <c r="AK105" s="11" t="n">
        <v>-306228170</v>
      </c>
      <c r="AL105" s="11" t="n">
        <v>-292954800</v>
      </c>
      <c r="AM105" s="11" t="n">
        <v>-266403</v>
      </c>
      <c r="AN105" s="11" t="n">
        <v>-30186648</v>
      </c>
      <c r="AO105" s="11" t="n">
        <v>4432458</v>
      </c>
      <c r="AP105" s="11" t="n">
        <v>-119914272</v>
      </c>
      <c r="AQ105" s="11" t="n">
        <v>-67088811</v>
      </c>
      <c r="AR105" s="11" t="n">
        <v>-32457360</v>
      </c>
      <c r="AS105" s="11" t="n">
        <v>302122082</v>
      </c>
      <c r="AT105" s="11" t="n">
        <v>3926752112</v>
      </c>
      <c r="AU105" s="11" t="n">
        <v>1976508148</v>
      </c>
      <c r="AV105" s="11" t="n">
        <v>288608768</v>
      </c>
      <c r="AW105" s="11" t="n">
        <v>-1106559166</v>
      </c>
      <c r="AX105" s="11" t="n">
        <v>-1568878160</v>
      </c>
      <c r="AY105" s="11" t="n">
        <v>-27560410</v>
      </c>
      <c r="AZ105" s="11" t="n">
        <v>6368529</v>
      </c>
      <c r="BA105" s="11" t="n">
        <v>-123404236</v>
      </c>
      <c r="BB105" s="11" t="n">
        <v>-70194453</v>
      </c>
      <c r="BC105" s="11" t="n">
        <v>-34899715</v>
      </c>
      <c r="BD105" s="11" t="n">
        <v>263075804</v>
      </c>
      <c r="BE105" s="11" t="n">
        <v>-1577586336</v>
      </c>
      <c r="BF105" s="11" t="n">
        <v>-1013277278</v>
      </c>
      <c r="BG105" s="11" t="n">
        <v>-596717240</v>
      </c>
      <c r="BH105" s="11" t="n">
        <v>-813404600</v>
      </c>
      <c r="BI105" s="11" t="n">
        <v>-435892515</v>
      </c>
      <c r="BJ105" s="11" t="n">
        <v>-195245990</v>
      </c>
      <c r="BK105" s="11" t="n">
        <v>-519037940</v>
      </c>
      <c r="BL105" s="11" t="n">
        <v>-674159840</v>
      </c>
      <c r="BM105" s="11" t="n">
        <v>-236685595</v>
      </c>
      <c r="BN105" s="11" t="n">
        <v>-3032817</v>
      </c>
      <c r="BO105" s="11" t="n">
        <v>392577528</v>
      </c>
      <c r="BP105" s="11" t="n">
        <v>-68514738</v>
      </c>
      <c r="BQ105" s="11" t="n">
        <v>3844992</v>
      </c>
      <c r="BR105" s="11" t="n">
        <v>-593825529</v>
      </c>
      <c r="BS105" s="11" t="n">
        <v>-812851440</v>
      </c>
      <c r="BT105" s="11" t="n">
        <v>669504</v>
      </c>
      <c r="BU105" s="11" t="n">
        <v>-108192</v>
      </c>
      <c r="BV105" s="11" t="n">
        <v>1244910</v>
      </c>
      <c r="BW105" s="11" t="n">
        <v>154533</v>
      </c>
      <c r="BX105" s="11" t="n">
        <v>-403164</v>
      </c>
      <c r="BY105" s="11" t="n">
        <v>-1120128</v>
      </c>
      <c r="BZ105" s="11" t="n">
        <v>-160296336</v>
      </c>
      <c r="CA105" s="11" t="n">
        <v>-151092120</v>
      </c>
      <c r="CB105" s="11" t="n">
        <v>-127252704</v>
      </c>
      <c r="CC105" s="11" t="n">
        <v>27986748</v>
      </c>
      <c r="CD105" s="11" t="n">
        <v>24675066</v>
      </c>
      <c r="CE105" s="11" t="n">
        <v>19889544</v>
      </c>
      <c r="CF105" s="11" t="n">
        <v>-243949278</v>
      </c>
      <c r="CG105" s="11" t="n">
        <v>-333147936</v>
      </c>
      <c r="CH105" s="11" t="n">
        <v>-120357228</v>
      </c>
      <c r="CI105" s="11" t="n">
        <v>-445513986</v>
      </c>
      <c r="CJ105" s="11" t="n">
        <v>50196917</v>
      </c>
      <c r="CK105" s="11" t="n">
        <v>-6953136</v>
      </c>
      <c r="CL105" s="11" t="n">
        <v>623863465</v>
      </c>
      <c r="CM105" s="11" t="n">
        <v>854529401</v>
      </c>
      <c r="CN105" s="11" t="n">
        <v>3567011276</v>
      </c>
      <c r="CO105" s="11" t="n">
        <v>335215488</v>
      </c>
      <c r="CP105" s="11" t="n">
        <v>6476751322</v>
      </c>
      <c r="CQ105" s="11" t="n">
        <v>8793028136</v>
      </c>
      <c r="CR105" s="11" t="n">
        <v>-93439712</v>
      </c>
      <c r="CS105" s="11" t="n">
        <v>4265219781</v>
      </c>
      <c r="CT105" s="11" t="n">
        <v>5851069074</v>
      </c>
      <c r="CU105" s="11" t="n">
        <v>570492592</v>
      </c>
      <c r="CV105" s="11" t="n">
        <v>780201344</v>
      </c>
      <c r="CW105" s="11" t="n">
        <v>109817937</v>
      </c>
      <c r="CX105" s="11" t="n">
        <v>4812032</v>
      </c>
      <c r="CY105" s="11" t="n">
        <v>-181339548</v>
      </c>
      <c r="CZ105" s="11" t="n">
        <v>-160420394</v>
      </c>
      <c r="DA105" s="11" t="n">
        <v>-129416200</v>
      </c>
      <c r="DB105" s="11" t="n">
        <v>20356774</v>
      </c>
      <c r="DC105" s="11" t="n">
        <v>24813273</v>
      </c>
      <c r="DD105" s="11" t="n">
        <v>23811412</v>
      </c>
      <c r="DE105" s="11" t="n">
        <v>-256437614</v>
      </c>
      <c r="DF105" s="11" t="n">
        <v>-349842718</v>
      </c>
      <c r="DG105" s="11" t="n">
        <v>-126473929</v>
      </c>
      <c r="DH105" s="11" t="n">
        <v>1455517224</v>
      </c>
      <c r="DI105" s="11" t="n">
        <v>1354363068</v>
      </c>
      <c r="DJ105" s="11" t="n">
        <v>1131146032</v>
      </c>
      <c r="DK105" s="11" t="n">
        <v>-2515556844</v>
      </c>
      <c r="DL105" s="11" t="n">
        <v>-3481689648</v>
      </c>
      <c r="DM105" s="11" t="n">
        <v>-1284773344</v>
      </c>
      <c r="DN105" s="11" t="n">
        <v>-1775899110</v>
      </c>
      <c r="DO105" s="11" t="n">
        <v>-2417156860</v>
      </c>
      <c r="DP105" s="11" t="n">
        <v>-869042790</v>
      </c>
      <c r="DQ105" s="11" t="n">
        <v>-70513810</v>
      </c>
      <c r="DR105" s="11" t="n">
        <v>-2539678</v>
      </c>
      <c r="DS105" s="11" t="n">
        <v>-2147</v>
      </c>
      <c r="DT105" s="11" t="n">
        <v>-1484209</v>
      </c>
      <c r="DU105" s="11" t="n">
        <v>59423</v>
      </c>
      <c r="DV105" s="11" t="n">
        <v>-1137952</v>
      </c>
      <c r="DW105" s="11" t="n">
        <v>-90659</v>
      </c>
      <c r="DX105" s="11" t="n">
        <v>188973</v>
      </c>
      <c r="DY105" s="11" t="n">
        <v>2580972</v>
      </c>
      <c r="DZ105" s="11" t="n">
        <v>321275250</v>
      </c>
      <c r="EA105" s="11" t="n">
        <v>12201348</v>
      </c>
      <c r="EB105" s="11" t="n">
        <v>25619848</v>
      </c>
      <c r="EC105" s="11" t="n">
        <v>-124942134</v>
      </c>
      <c r="ED105" s="11" t="n">
        <v>-124111372</v>
      </c>
      <c r="EE105" s="11" t="n">
        <v>-1236741</v>
      </c>
      <c r="EF105" s="11" t="n">
        <v>70704</v>
      </c>
      <c r="EG105" s="11" t="n">
        <v>-1134796</v>
      </c>
      <c r="EH105" s="11" t="n">
        <v>-197757</v>
      </c>
      <c r="EI105" s="11" t="n">
        <v>87124</v>
      </c>
      <c r="EJ105" s="11" t="n">
        <v>14647719</v>
      </c>
      <c r="EK105" s="11" t="n">
        <v>-128981156</v>
      </c>
      <c r="EL105" s="11" t="n">
        <v>-84485802</v>
      </c>
      <c r="EM105" s="11" t="n">
        <v>-48626191</v>
      </c>
      <c r="EN105" s="11" t="n">
        <v>-6066500</v>
      </c>
      <c r="EO105" s="11" t="n">
        <v>2487825</v>
      </c>
      <c r="EP105" s="11" t="n">
        <v>3811820</v>
      </c>
      <c r="EQ105" s="11" t="n">
        <v>-56897300</v>
      </c>
      <c r="ER105" s="11" t="n">
        <v>-53704180</v>
      </c>
      <c r="ES105" s="11" t="n">
        <v>-13727135</v>
      </c>
      <c r="ET105" s="11" t="n">
        <v>-24239</v>
      </c>
      <c r="EU105" s="11" t="n">
        <v>-12042443</v>
      </c>
      <c r="EV105" s="11" t="n">
        <v>-328679</v>
      </c>
      <c r="EW105" s="11" t="n">
        <v>-1209812</v>
      </c>
      <c r="EX105" s="11" t="n">
        <v>1054835</v>
      </c>
      <c r="EY105" s="11" t="n">
        <v>-1104137</v>
      </c>
      <c r="EZ105" s="11" t="n">
        <v>3985</v>
      </c>
      <c r="FA105" s="11" t="n">
        <v>-845</v>
      </c>
      <c r="FB105" s="11" t="n">
        <v>9838</v>
      </c>
      <c r="FC105" s="11" t="n">
        <v>1757</v>
      </c>
      <c r="FD105" s="11" t="n">
        <v>-2737</v>
      </c>
      <c r="FE105" s="11" t="n">
        <v>-473850</v>
      </c>
      <c r="FF105" s="11" t="n">
        <v>4688826</v>
      </c>
      <c r="FG105" s="11" t="n">
        <v>1046334</v>
      </c>
      <c r="FH105" s="11" t="n">
        <v>-1541324</v>
      </c>
      <c r="FI105" s="11" t="n">
        <v>175578</v>
      </c>
      <c r="FJ105" s="11" t="n">
        <v>-12948</v>
      </c>
      <c r="FK105" s="11" t="n">
        <v>1378</v>
      </c>
      <c r="FL105" s="11" t="n">
        <v>515826</v>
      </c>
      <c r="FM105" s="11" t="n">
        <v>-584750</v>
      </c>
      <c r="FN105" s="11" t="n">
        <v>39074</v>
      </c>
      <c r="FO105" s="11" t="n">
        <v>9171957</v>
      </c>
      <c r="FP105" s="11" t="n">
        <v>217572</v>
      </c>
      <c r="FQ105" s="11" t="n">
        <v>984964</v>
      </c>
      <c r="FR105" s="11" t="n">
        <v>120477</v>
      </c>
      <c r="FS105" s="11" t="n">
        <v>2306624</v>
      </c>
      <c r="FT105" s="11" t="n">
        <v>-16276713</v>
      </c>
      <c r="FU105" s="11" t="n">
        <v>31561912</v>
      </c>
      <c r="FV105" s="11" t="n">
        <v>459001554</v>
      </c>
      <c r="FW105" s="11" t="n">
        <v>728177357</v>
      </c>
      <c r="FX105" s="11" t="n">
        <v>2496628</v>
      </c>
      <c r="FY105" s="11" t="n">
        <v>11101977</v>
      </c>
      <c r="FZ105" s="11" t="n">
        <v>21366788</v>
      </c>
      <c r="GA105" s="11" t="n">
        <v>48876976</v>
      </c>
      <c r="GB105" s="11" t="n">
        <v>70260580</v>
      </c>
      <c r="GC105" s="11" t="n">
        <v>-105867851</v>
      </c>
      <c r="GD105" s="11" t="n">
        <v>-355515</v>
      </c>
      <c r="GE105" s="11" t="n">
        <v>3560734</v>
      </c>
      <c r="GF105" s="11" t="n">
        <v>645036</v>
      </c>
      <c r="GG105" s="11" t="n">
        <v>-1414891</v>
      </c>
      <c r="GH105" s="11" t="n">
        <v>122644</v>
      </c>
      <c r="GI105" s="11" t="n">
        <v>19971</v>
      </c>
      <c r="GJ105" s="11" t="n">
        <v>55844</v>
      </c>
      <c r="GK105" s="11" t="n">
        <v>22498</v>
      </c>
      <c r="GL105" s="11" t="n">
        <v>-1047420</v>
      </c>
      <c r="GM105" s="11" t="n">
        <v>-180803</v>
      </c>
      <c r="GN105" s="11" t="n">
        <v>-5095566</v>
      </c>
      <c r="GO105" s="11" t="n">
        <v>16646706</v>
      </c>
      <c r="GP105" s="11" t="n">
        <v>30735834</v>
      </c>
      <c r="GQ105" s="11" t="n">
        <v>-175973772</v>
      </c>
      <c r="GR105" s="11" t="n">
        <v>-287561590</v>
      </c>
      <c r="GS105" s="11" t="n">
        <v>-122017338</v>
      </c>
      <c r="GT105" s="11" t="n">
        <v>-6028950</v>
      </c>
      <c r="GU105" s="11" t="n">
        <v>-11403520</v>
      </c>
      <c r="GV105" s="11" t="n">
        <v>888270</v>
      </c>
      <c r="GW105" s="11" t="n">
        <v>-53581090</v>
      </c>
      <c r="GX105" s="11" t="n">
        <v>16534</v>
      </c>
      <c r="GY105" s="11" t="n">
        <v>-124391456</v>
      </c>
      <c r="GZ105" s="11" t="n">
        <v>2136476</v>
      </c>
      <c r="HA105" s="11" t="n">
        <v>-10011584</v>
      </c>
      <c r="HB105" s="11" t="n">
        <v>49953958</v>
      </c>
      <c r="HC105" s="11" t="n">
        <v>47858480</v>
      </c>
      <c r="HD105" s="11" t="n">
        <v>-114821</v>
      </c>
      <c r="HE105" s="11" t="n">
        <v>2193</v>
      </c>
      <c r="HF105" s="11" t="n">
        <v>-15872</v>
      </c>
      <c r="HG105" s="11" t="n">
        <v>41640</v>
      </c>
      <c r="HH105" s="11" t="n">
        <v>41689</v>
      </c>
      <c r="HI105" s="11" t="n">
        <v>-1661918</v>
      </c>
      <c r="HJ105" s="11" t="n">
        <v>49885152</v>
      </c>
      <c r="HK105" s="11" t="n">
        <v>33633917</v>
      </c>
      <c r="HL105" s="11" t="n">
        <v>18713144</v>
      </c>
      <c r="HM105" s="11" t="n">
        <v>-723040</v>
      </c>
      <c r="HN105" s="11" t="n">
        <v>-1245081</v>
      </c>
      <c r="HO105" s="11" t="n">
        <v>-960814</v>
      </c>
      <c r="HP105" s="11" t="n">
        <v>22740224</v>
      </c>
      <c r="HQ105" s="11" t="n">
        <v>20698976</v>
      </c>
      <c r="HR105" s="11" t="n">
        <v>5425393</v>
      </c>
      <c r="HS105" s="11" t="n">
        <v>128505594</v>
      </c>
      <c r="HT105" s="11" t="n">
        <v>-2091780</v>
      </c>
      <c r="HU105" s="11" t="n">
        <v>10341160</v>
      </c>
      <c r="HV105" s="11" t="n">
        <v>-51579594</v>
      </c>
      <c r="HW105" s="11" t="n">
        <v>-49444636</v>
      </c>
      <c r="HX105" s="11" t="n">
        <v>-867881796</v>
      </c>
      <c r="HY105" s="11" t="n">
        <v>11648704</v>
      </c>
      <c r="HZ105" s="11" t="n">
        <v>-199724682</v>
      </c>
      <c r="IA105" s="11" t="n">
        <v>24668144</v>
      </c>
      <c r="IB105" s="11" t="n">
        <v>69650960</v>
      </c>
      <c r="IC105" s="11" t="n">
        <v>-345099456</v>
      </c>
      <c r="ID105" s="11" t="n">
        <v>-334333304</v>
      </c>
      <c r="IE105" s="11" t="n">
        <v>-11396776</v>
      </c>
      <c r="IF105" s="11" t="n">
        <v>6467136</v>
      </c>
      <c r="IG105" s="11" t="n">
        <v>-86748652</v>
      </c>
      <c r="IH105" s="11" t="n">
        <v>-2517993</v>
      </c>
      <c r="II105" s="11" t="n">
        <v>51545812</v>
      </c>
      <c r="IJ105" s="11" t="n">
        <v>34561971</v>
      </c>
      <c r="IK105" s="11" t="n">
        <v>19354835</v>
      </c>
      <c r="IL105" s="11" t="n">
        <v>-636420</v>
      </c>
      <c r="IM105" s="11" t="n">
        <v>-1573263</v>
      </c>
      <c r="IN105" s="11" t="n">
        <v>-1283892</v>
      </c>
      <c r="IO105" s="11" t="n">
        <v>23470752</v>
      </c>
      <c r="IP105" s="11" t="n">
        <v>21390628</v>
      </c>
      <c r="IQ105" s="11" t="n">
        <v>5529639</v>
      </c>
      <c r="IR105" s="11" t="n">
        <v>-347894120</v>
      </c>
      <c r="IS105" s="11" t="n">
        <v>-237332943</v>
      </c>
      <c r="IT105" s="11" t="n">
        <v>-130232422</v>
      </c>
      <c r="IU105" s="11" t="n">
        <v>83245972</v>
      </c>
      <c r="IV105" s="11" t="n">
        <v>-8140352</v>
      </c>
      <c r="IW105" s="11" t="n">
        <v>-36716051</v>
      </c>
      <c r="IX105" s="11" t="n">
        <v>157381500</v>
      </c>
      <c r="IY105" s="11" t="n">
        <v>144470600</v>
      </c>
      <c r="IZ105" s="11" t="n">
        <v>39642690</v>
      </c>
      <c r="JA105" s="11" t="n">
        <v>-38252260</v>
      </c>
      <c r="JB105" s="11" t="n">
        <v>-1265607</v>
      </c>
      <c r="JC105" s="11" t="n">
        <v>18251</v>
      </c>
      <c r="JD105" s="11" t="n">
        <v>-103428</v>
      </c>
      <c r="JE105" s="11" t="n">
        <v>483634</v>
      </c>
      <c r="JF105" s="11" t="n">
        <v>449579</v>
      </c>
      <c r="JG105" s="11" t="n">
        <v>26229014</v>
      </c>
      <c r="JH105" s="11" t="n">
        <v>11783520</v>
      </c>
      <c r="JI105" s="11" t="n">
        <v>185202703</v>
      </c>
      <c r="JJ105" s="11" t="n">
        <v>281011304</v>
      </c>
      <c r="JK105" s="11" t="n">
        <v>-2313416</v>
      </c>
      <c r="JL105" s="11" t="n">
        <v>7352289</v>
      </c>
      <c r="JM105" s="11" t="n">
        <v>5264886</v>
      </c>
      <c r="JN105" s="11" t="n">
        <v>19638052</v>
      </c>
      <c r="JO105" s="11" t="n">
        <v>27150656</v>
      </c>
      <c r="JP105" s="11" t="n">
        <v>-41595357</v>
      </c>
      <c r="JQ105" s="11" t="n">
        <v>41120</v>
      </c>
      <c r="JR105" s="11" t="n">
        <v>-496674</v>
      </c>
      <c r="JS105" s="11" t="n">
        <v>-171251</v>
      </c>
      <c r="JT105" s="11" t="n">
        <v>68996</v>
      </c>
      <c r="JU105" s="11" t="n">
        <v>3802</v>
      </c>
      <c r="JV105" s="11" t="n">
        <v>18183</v>
      </c>
      <c r="JW105" s="11" t="n">
        <v>13612</v>
      </c>
      <c r="JX105" s="11" t="n">
        <v>-203792</v>
      </c>
      <c r="JY105" s="11" t="n">
        <v>-170794</v>
      </c>
      <c r="JZ105" s="11" t="n">
        <v>-87199</v>
      </c>
      <c r="KA105" s="11" t="n">
        <v>10676148</v>
      </c>
      <c r="KB105" s="11" t="n">
        <v>9566382</v>
      </c>
      <c r="KC105" s="11" t="n">
        <v>7700248</v>
      </c>
      <c r="KD105" s="11" t="n">
        <v>-71086386</v>
      </c>
      <c r="KE105" s="11" t="n">
        <v>-110922288</v>
      </c>
      <c r="KF105" s="11" t="n">
        <v>-48120556</v>
      </c>
      <c r="KG105" s="11" t="n">
        <v>-3836406</v>
      </c>
      <c r="KH105" s="11" t="n">
        <v>-2822164</v>
      </c>
      <c r="KI105" s="11" t="n">
        <v>238230</v>
      </c>
      <c r="KJ105" s="11" t="n">
        <v>-21068038</v>
      </c>
      <c r="KK105" s="11" t="n">
        <v>-18266349</v>
      </c>
      <c r="KL105" s="11" t="n">
        <v>-12291768</v>
      </c>
      <c r="KM105" s="11" t="n">
        <v>-189296043</v>
      </c>
      <c r="KN105" s="11" t="n">
        <v>-290556489</v>
      </c>
      <c r="KO105" s="11" t="n">
        <v>1670020</v>
      </c>
      <c r="KP105" s="11" t="n">
        <v>-4250439</v>
      </c>
      <c r="KQ105" s="11" t="n">
        <v>-2298676</v>
      </c>
      <c r="KR105" s="11" t="n">
        <v>-20166788</v>
      </c>
      <c r="KS105" s="11" t="n">
        <v>-28111252</v>
      </c>
      <c r="KT105" s="11" t="n">
        <v>43788847</v>
      </c>
      <c r="KU105" s="11" t="n">
        <v>84670096</v>
      </c>
      <c r="KV105" s="11" t="n">
        <v>1250049465</v>
      </c>
      <c r="KW105" s="11" t="n">
        <v>1965823250</v>
      </c>
      <c r="KX105" s="11" t="n">
        <v>-36263192</v>
      </c>
      <c r="KY105" s="11" t="n">
        <v>-23978656</v>
      </c>
      <c r="KZ105" s="11" t="n">
        <v>487923385</v>
      </c>
      <c r="LA105" s="11" t="n">
        <v>-133989156</v>
      </c>
      <c r="LB105" s="11" t="n">
        <v>-190382504</v>
      </c>
      <c r="LC105" s="11" t="n">
        <v>300123090</v>
      </c>
      <c r="LD105" s="11" t="n">
        <v>43592692</v>
      </c>
      <c r="LE105" s="11" t="n">
        <v>7567798</v>
      </c>
      <c r="LF105" s="11" t="n">
        <v>8621937</v>
      </c>
      <c r="LG105" s="11" t="n">
        <v>8444468</v>
      </c>
      <c r="LH105" s="11" t="n">
        <v>-72624002</v>
      </c>
      <c r="LI105" s="11" t="n">
        <v>-114695902</v>
      </c>
      <c r="LJ105" s="11" t="n">
        <v>-49635281</v>
      </c>
      <c r="LK105" s="11" t="n">
        <v>-2549238</v>
      </c>
      <c r="LL105" s="11" t="n">
        <v>-1724392</v>
      </c>
      <c r="LM105" s="11" t="n">
        <v>879960</v>
      </c>
      <c r="LN105" s="11" t="n">
        <v>-22087654</v>
      </c>
      <c r="LO105" s="11" t="n">
        <v>477933582</v>
      </c>
      <c r="LP105" s="11" t="n">
        <v>775303228</v>
      </c>
      <c r="LQ105" s="11" t="n">
        <v>349998870</v>
      </c>
      <c r="LR105" s="11" t="n">
        <v>-196701854</v>
      </c>
      <c r="LS105" s="11" t="n">
        <v>-152261940</v>
      </c>
    </row>
    <row r="106" customFormat="false" ht="15" hidden="false" customHeight="true" outlineLevel="0" collapsed="false">
      <c r="A106" s="7" t="s">
        <v>172</v>
      </c>
      <c r="B106" s="11" t="n">
        <v>-3478201</v>
      </c>
      <c r="C106" s="11" t="n">
        <v>175564083</v>
      </c>
      <c r="D106" s="11" t="n">
        <v>-2472404</v>
      </c>
      <c r="E106" s="11" t="n">
        <v>-246560319</v>
      </c>
      <c r="F106" s="11" t="n">
        <v>-7349205</v>
      </c>
      <c r="G106" s="11" t="n">
        <v>16422552</v>
      </c>
      <c r="H106" s="11" t="n">
        <v>159263435</v>
      </c>
      <c r="I106" s="11" t="n">
        <v>101303307</v>
      </c>
      <c r="J106" s="11" t="n">
        <v>-7538158</v>
      </c>
      <c r="K106" s="11" t="n">
        <v>21888</v>
      </c>
      <c r="L106" s="11" t="n">
        <v>-16174805</v>
      </c>
      <c r="M106" s="11" t="n">
        <v>370182</v>
      </c>
      <c r="N106" s="11" t="n">
        <v>-1045014</v>
      </c>
      <c r="O106" s="11" t="n">
        <v>-2751407</v>
      </c>
      <c r="P106" s="11" t="n">
        <v>9987766</v>
      </c>
      <c r="Q106" s="11" t="n">
        <v>4253528</v>
      </c>
      <c r="R106" s="11" t="n">
        <v>1350791817</v>
      </c>
      <c r="S106" s="11" t="n">
        <v>-2757516</v>
      </c>
      <c r="T106" s="11" t="n">
        <v>17155746</v>
      </c>
      <c r="U106" s="11" t="n">
        <v>-206286149</v>
      </c>
      <c r="V106" s="11" t="n">
        <v>-723688284</v>
      </c>
      <c r="W106" s="11" t="n">
        <v>-13049092</v>
      </c>
      <c r="X106" s="11" t="n">
        <v>216888</v>
      </c>
      <c r="Y106" s="11" t="n">
        <v>-639480</v>
      </c>
      <c r="Z106" s="11" t="n">
        <v>-953548</v>
      </c>
      <c r="AA106" s="11" t="n">
        <v>7737080</v>
      </c>
      <c r="AB106" s="11" t="n">
        <v>60417483</v>
      </c>
      <c r="AC106" s="11" t="n">
        <v>-150448626</v>
      </c>
      <c r="AD106" s="11" t="n">
        <v>-935668408</v>
      </c>
      <c r="AE106" s="11" t="n">
        <v>236911419</v>
      </c>
      <c r="AF106" s="11" t="n">
        <v>-460206</v>
      </c>
      <c r="AG106" s="11" t="n">
        <v>11136735</v>
      </c>
      <c r="AH106" s="11" t="n">
        <v>31885104</v>
      </c>
      <c r="AI106" s="11" t="n">
        <v>-34859226</v>
      </c>
      <c r="AJ106" s="11" t="n">
        <v>-77594130</v>
      </c>
      <c r="AK106" s="11" t="n">
        <v>-537465359</v>
      </c>
      <c r="AL106" s="11" t="n">
        <v>-76058806</v>
      </c>
      <c r="AM106" s="11" t="n">
        <v>-451572</v>
      </c>
      <c r="AN106" s="11" t="n">
        <v>71245555</v>
      </c>
      <c r="AO106" s="11" t="n">
        <v>-6641830</v>
      </c>
      <c r="AP106" s="11" t="n">
        <v>-9183462</v>
      </c>
      <c r="AQ106" s="11" t="n">
        <v>-64654219</v>
      </c>
      <c r="AR106" s="11" t="n">
        <v>-32647467</v>
      </c>
      <c r="AS106" s="11" t="n">
        <v>76858100</v>
      </c>
      <c r="AT106" s="11" t="n">
        <v>1795446249</v>
      </c>
      <c r="AU106" s="11" t="n">
        <v>495957120</v>
      </c>
      <c r="AV106" s="11" t="n">
        <v>104423634</v>
      </c>
      <c r="AW106" s="11" t="n">
        <v>-219201833</v>
      </c>
      <c r="AX106" s="11" t="n">
        <v>-567329481</v>
      </c>
      <c r="AY106" s="11" t="n">
        <v>82654088</v>
      </c>
      <c r="AZ106" s="11" t="n">
        <v>-3767060</v>
      </c>
      <c r="BA106" s="11" t="n">
        <v>-8659992</v>
      </c>
      <c r="BB106" s="11" t="n">
        <v>-66635096</v>
      </c>
      <c r="BC106" s="11" t="n">
        <v>-36358872</v>
      </c>
      <c r="BD106" s="11" t="n">
        <v>-621358545</v>
      </c>
      <c r="BE106" s="11" t="n">
        <v>-314600418</v>
      </c>
      <c r="BF106" s="11" t="n">
        <v>-1320899236</v>
      </c>
      <c r="BG106" s="11" t="n">
        <v>-239249988</v>
      </c>
      <c r="BH106" s="11" t="n">
        <v>-50763870</v>
      </c>
      <c r="BI106" s="11" t="n">
        <v>-440732945</v>
      </c>
      <c r="BJ106" s="11" t="n">
        <v>-262426545</v>
      </c>
      <c r="BK106" s="11" t="n">
        <v>-115232682</v>
      </c>
      <c r="BL106" s="11" t="n">
        <v>-113323050</v>
      </c>
      <c r="BM106" s="11" t="n">
        <v>-388171488</v>
      </c>
      <c r="BN106" s="11" t="n">
        <v>-1457304</v>
      </c>
      <c r="BO106" s="11" t="n">
        <v>508106520</v>
      </c>
      <c r="BP106" s="11" t="n">
        <v>-22489432</v>
      </c>
      <c r="BQ106" s="11" t="n">
        <v>2948688</v>
      </c>
      <c r="BR106" s="11" t="n">
        <v>-79956560</v>
      </c>
      <c r="BS106" s="11" t="n">
        <v>-289160782</v>
      </c>
      <c r="BT106" s="11" t="n">
        <v>1651620</v>
      </c>
      <c r="BU106" s="11" t="n">
        <v>-6264</v>
      </c>
      <c r="BV106" s="11" t="n">
        <v>193464</v>
      </c>
      <c r="BW106" s="11" t="n">
        <v>764076</v>
      </c>
      <c r="BX106" s="11" t="n">
        <v>-1091256</v>
      </c>
      <c r="BY106" s="11" t="n">
        <v>-23304140</v>
      </c>
      <c r="BZ106" s="11" t="n">
        <v>-64111680</v>
      </c>
      <c r="CA106" s="11" t="n">
        <v>-357022180</v>
      </c>
      <c r="CB106" s="11" t="n">
        <v>52762195</v>
      </c>
      <c r="CC106" s="11" t="n">
        <v>2972904</v>
      </c>
      <c r="CD106" s="11" t="n">
        <v>12135068</v>
      </c>
      <c r="CE106" s="11" t="n">
        <v>-15597586</v>
      </c>
      <c r="CF106" s="11" t="n">
        <v>-12160632</v>
      </c>
      <c r="CG106" s="11" t="n">
        <v>-36179430</v>
      </c>
      <c r="CH106" s="11" t="n">
        <v>-211482223</v>
      </c>
      <c r="CI106" s="11" t="n">
        <v>-547847316</v>
      </c>
      <c r="CJ106" s="11" t="n">
        <v>13223120</v>
      </c>
      <c r="CK106" s="11" t="n">
        <v>-4980456</v>
      </c>
      <c r="CL106" s="11" t="n">
        <v>84996772</v>
      </c>
      <c r="CM106" s="11" t="n">
        <v>303069704</v>
      </c>
      <c r="CN106" s="11" t="n">
        <v>3844099428</v>
      </c>
      <c r="CO106" s="11" t="n">
        <v>627989328</v>
      </c>
      <c r="CP106" s="11" t="n">
        <v>423091380</v>
      </c>
      <c r="CQ106" s="11" t="n">
        <v>3035925033</v>
      </c>
      <c r="CR106" s="11" t="n">
        <v>-50104008</v>
      </c>
      <c r="CS106" s="11" t="n">
        <v>586187876</v>
      </c>
      <c r="CT106" s="11" t="n">
        <v>2053283172</v>
      </c>
      <c r="CU106" s="11" t="n">
        <v>101276856</v>
      </c>
      <c r="CV106" s="11" t="n">
        <v>375003810</v>
      </c>
      <c r="CW106" s="11" t="n">
        <v>-236959541</v>
      </c>
      <c r="CX106" s="11" t="n">
        <v>-12631444</v>
      </c>
      <c r="CY106" s="11" t="n">
        <v>-67084776</v>
      </c>
      <c r="CZ106" s="11" t="n">
        <v>-383570864</v>
      </c>
      <c r="DA106" s="11" t="n">
        <v>66757304</v>
      </c>
      <c r="DB106" s="11" t="n">
        <v>1734024</v>
      </c>
      <c r="DC106" s="11" t="n">
        <v>7298332</v>
      </c>
      <c r="DD106" s="11" t="n">
        <v>-8599016</v>
      </c>
      <c r="DE106" s="11" t="n">
        <v>-13895016</v>
      </c>
      <c r="DF106" s="11" t="n">
        <v>-36504480</v>
      </c>
      <c r="DG106" s="11" t="n">
        <v>-222548984</v>
      </c>
      <c r="DH106" s="11" t="n">
        <v>456236856</v>
      </c>
      <c r="DI106" s="11" t="n">
        <v>2681660092</v>
      </c>
      <c r="DJ106" s="11" t="n">
        <v>-538416129</v>
      </c>
      <c r="DK106" s="11" t="n">
        <v>387873432</v>
      </c>
      <c r="DL106" s="11" t="n">
        <v>-448276770</v>
      </c>
      <c r="DM106" s="11" t="n">
        <v>-2177133652</v>
      </c>
      <c r="DN106" s="11" t="n">
        <v>-104524464</v>
      </c>
      <c r="DO106" s="11" t="n">
        <v>-236676150</v>
      </c>
      <c r="DP106" s="11" t="n">
        <v>-1514482301</v>
      </c>
      <c r="DQ106" s="11" t="n">
        <v>-303912930</v>
      </c>
      <c r="DR106" s="11" t="n">
        <v>-558901</v>
      </c>
      <c r="DS106" s="11" t="n">
        <v>-2911</v>
      </c>
      <c r="DT106" s="11" t="n">
        <v>-1241059</v>
      </c>
      <c r="DU106" s="11" t="n">
        <v>-27303</v>
      </c>
      <c r="DV106" s="11" t="n">
        <v>-165170</v>
      </c>
      <c r="DW106" s="11" t="n">
        <v>910</v>
      </c>
      <c r="DX106" s="11" t="n">
        <v>374226</v>
      </c>
      <c r="DY106" s="11" t="n">
        <v>544217</v>
      </c>
      <c r="DZ106" s="11" t="n">
        <v>102262116</v>
      </c>
      <c r="EA106" s="11" t="n">
        <v>2559054</v>
      </c>
      <c r="EB106" s="11" t="n">
        <v>5698158</v>
      </c>
      <c r="EC106" s="11" t="n">
        <v>-25637465</v>
      </c>
      <c r="ED106" s="11" t="n">
        <v>-35167365</v>
      </c>
      <c r="EE106" s="11" t="n">
        <v>-675827</v>
      </c>
      <c r="EF106" s="11" t="n">
        <v>-13257</v>
      </c>
      <c r="EG106" s="11" t="n">
        <v>-131152</v>
      </c>
      <c r="EH106" s="11" t="n">
        <v>-132645</v>
      </c>
      <c r="EI106" s="11" t="n">
        <v>181227</v>
      </c>
      <c r="EJ106" s="11" t="n">
        <v>686838</v>
      </c>
      <c r="EK106" s="11" t="n">
        <v>-17568198</v>
      </c>
      <c r="EL106" s="11" t="n">
        <v>-56762375</v>
      </c>
      <c r="EM106" s="11" t="n">
        <v>-9618219</v>
      </c>
      <c r="EN106" s="11" t="n">
        <v>-477906</v>
      </c>
      <c r="EO106" s="11" t="n">
        <v>-1248255</v>
      </c>
      <c r="EP106" s="11" t="n">
        <v>-4491</v>
      </c>
      <c r="EQ106" s="11" t="n">
        <v>-7567270</v>
      </c>
      <c r="ER106" s="11" t="n">
        <v>-6577542</v>
      </c>
      <c r="ES106" s="11" t="n">
        <v>-17108940</v>
      </c>
      <c r="ET106" s="11" t="n">
        <v>-9826</v>
      </c>
      <c r="EU106" s="11" t="n">
        <v>-90617</v>
      </c>
      <c r="EV106" s="11" t="n">
        <v>-118656</v>
      </c>
      <c r="EW106" s="11" t="n">
        <v>-190046</v>
      </c>
      <c r="EX106" s="11" t="n">
        <v>444087</v>
      </c>
      <c r="EY106" s="11" t="n">
        <v>-793858</v>
      </c>
      <c r="EZ106" s="11" t="n">
        <v>21347</v>
      </c>
      <c r="FA106" s="11" t="n">
        <v>-138</v>
      </c>
      <c r="FB106" s="11" t="n">
        <v>1914</v>
      </c>
      <c r="FC106" s="11" t="n">
        <v>2297</v>
      </c>
      <c r="FD106" s="11" t="n">
        <v>-10714</v>
      </c>
      <c r="FE106" s="11" t="n">
        <v>-259053</v>
      </c>
      <c r="FF106" s="11" t="n">
        <v>-395224</v>
      </c>
      <c r="FG106" s="11" t="n">
        <v>985963</v>
      </c>
      <c r="FH106" s="11" t="n">
        <v>-1823464</v>
      </c>
      <c r="FI106" s="11" t="n">
        <v>25782</v>
      </c>
      <c r="FJ106" s="11" t="n">
        <v>21501</v>
      </c>
      <c r="FK106" s="11" t="n">
        <v>-118230</v>
      </c>
      <c r="FL106" s="11" t="n">
        <v>130930</v>
      </c>
      <c r="FM106" s="11" t="n">
        <v>-361856</v>
      </c>
      <c r="FN106" s="11" t="n">
        <v>298642</v>
      </c>
      <c r="FO106" s="11" t="n">
        <v>-1709627</v>
      </c>
      <c r="FP106" s="11" t="n">
        <v>70548</v>
      </c>
      <c r="FQ106" s="11" t="n">
        <v>84874</v>
      </c>
      <c r="FR106" s="11" t="n">
        <v>18311</v>
      </c>
      <c r="FS106" s="11" t="n">
        <v>1391276</v>
      </c>
      <c r="FT106" s="11" t="n">
        <v>21295578</v>
      </c>
      <c r="FU106" s="11" t="n">
        <v>33848850</v>
      </c>
      <c r="FV106" s="11" t="n">
        <v>-77097887</v>
      </c>
      <c r="FW106" s="11" t="n">
        <v>150954033</v>
      </c>
      <c r="FX106" s="11" t="n">
        <v>-339564</v>
      </c>
      <c r="FY106" s="11" t="n">
        <v>3409542</v>
      </c>
      <c r="FZ106" s="11" t="n">
        <v>11100972</v>
      </c>
      <c r="GA106" s="11" t="n">
        <v>4190044</v>
      </c>
      <c r="GB106" s="11" t="n">
        <v>20051754</v>
      </c>
      <c r="GC106" s="11" t="n">
        <v>-64358225</v>
      </c>
      <c r="GD106" s="11" t="n">
        <v>-129255</v>
      </c>
      <c r="GE106" s="11" t="n">
        <v>-517406</v>
      </c>
      <c r="GF106" s="11" t="n">
        <v>-439436</v>
      </c>
      <c r="GG106" s="11" t="n">
        <v>-1158419</v>
      </c>
      <c r="GH106" s="11" t="n">
        <v>14934</v>
      </c>
      <c r="GI106" s="11" t="n">
        <v>16749</v>
      </c>
      <c r="GJ106" s="11" t="n">
        <v>-57384</v>
      </c>
      <c r="GK106" s="11" t="n">
        <v>16274</v>
      </c>
      <c r="GL106" s="11" t="n">
        <v>-363550</v>
      </c>
      <c r="GM106" s="11" t="n">
        <v>-345201</v>
      </c>
      <c r="GN106" s="11" t="n">
        <v>3885834</v>
      </c>
      <c r="GO106" s="11" t="n">
        <v>11302659</v>
      </c>
      <c r="GP106" s="11" t="n">
        <v>3016821</v>
      </c>
      <c r="GQ106" s="11" t="n">
        <v>32033486</v>
      </c>
      <c r="GR106" s="11" t="n">
        <v>-22749624</v>
      </c>
      <c r="GS106" s="11" t="n">
        <v>-91041083</v>
      </c>
      <c r="GT106" s="11" t="n">
        <v>-802368</v>
      </c>
      <c r="GU106" s="11" t="n">
        <v>-2073714</v>
      </c>
      <c r="GV106" s="11" t="n">
        <v>-5408847</v>
      </c>
      <c r="GW106" s="11" t="n">
        <v>-21792454</v>
      </c>
      <c r="GX106" s="11" t="n">
        <v>8906</v>
      </c>
      <c r="GY106" s="11" t="n">
        <v>-38586809</v>
      </c>
      <c r="GZ106" s="11" t="n">
        <v>470212</v>
      </c>
      <c r="HA106" s="11" t="n">
        <v>-2136158</v>
      </c>
      <c r="HB106" s="11" t="n">
        <v>10408979</v>
      </c>
      <c r="HC106" s="11" t="n">
        <v>13429323</v>
      </c>
      <c r="HD106" s="11" t="n">
        <v>-220753</v>
      </c>
      <c r="HE106" s="11" t="n">
        <v>2014</v>
      </c>
      <c r="HF106" s="11" t="n">
        <v>-13758</v>
      </c>
      <c r="HG106" s="11" t="n">
        <v>54229</v>
      </c>
      <c r="HH106" s="11" t="n">
        <v>75909</v>
      </c>
      <c r="HI106" s="11" t="n">
        <v>2929135</v>
      </c>
      <c r="HJ106" s="11" t="n">
        <v>6660008</v>
      </c>
      <c r="HK106" s="11" t="n">
        <v>23050671</v>
      </c>
      <c r="HL106" s="11" t="n">
        <v>3983523</v>
      </c>
      <c r="HM106" s="11" t="n">
        <v>-243314</v>
      </c>
      <c r="HN106" s="11" t="n">
        <v>509257</v>
      </c>
      <c r="HO106" s="11" t="n">
        <v>970881</v>
      </c>
      <c r="HP106" s="11" t="n">
        <v>3072650</v>
      </c>
      <c r="HQ106" s="11" t="n">
        <v>2538402</v>
      </c>
      <c r="HR106" s="11" t="n">
        <v>6947724</v>
      </c>
      <c r="HS106" s="11" t="n">
        <v>39202549</v>
      </c>
      <c r="HT106" s="11" t="n">
        <v>-417080</v>
      </c>
      <c r="HU106" s="11" t="n">
        <v>2170834</v>
      </c>
      <c r="HV106" s="11" t="n">
        <v>-10544033</v>
      </c>
      <c r="HW106" s="11" t="n">
        <v>-13636881</v>
      </c>
      <c r="HX106" s="11" t="n">
        <v>-262713078</v>
      </c>
      <c r="HY106" s="11" t="n">
        <v>-2550894</v>
      </c>
      <c r="HZ106" s="11" t="n">
        <v>-134507279</v>
      </c>
      <c r="IA106" s="11" t="n">
        <v>-29190483</v>
      </c>
      <c r="IB106" s="11" t="n">
        <v>14574828</v>
      </c>
      <c r="IC106" s="11" t="n">
        <v>-69229046</v>
      </c>
      <c r="ID106" s="11" t="n">
        <v>-91076022</v>
      </c>
      <c r="IE106" s="11" t="n">
        <v>-8134412</v>
      </c>
      <c r="IF106" s="11" t="n">
        <v>-2503764</v>
      </c>
      <c r="IG106" s="11" t="n">
        <v>-38938140</v>
      </c>
      <c r="IH106" s="11" t="n">
        <v>1472909</v>
      </c>
      <c r="II106" s="11" t="n">
        <v>6751690</v>
      </c>
      <c r="IJ106" s="11" t="n">
        <v>22648988</v>
      </c>
      <c r="IK106" s="11" t="n">
        <v>3880092</v>
      </c>
      <c r="IL106" s="11" t="n">
        <v>-153394</v>
      </c>
      <c r="IM106" s="11" t="n">
        <v>155193</v>
      </c>
      <c r="IN106" s="11" t="n">
        <v>471081</v>
      </c>
      <c r="IO106" s="11" t="n">
        <v>3070138</v>
      </c>
      <c r="IP106" s="11" t="n">
        <v>2563482</v>
      </c>
      <c r="IQ106" s="11" t="n">
        <v>6835008</v>
      </c>
      <c r="IR106" s="11" t="n">
        <v>-45150126</v>
      </c>
      <c r="IS106" s="11" t="n">
        <v>-146726897</v>
      </c>
      <c r="IT106" s="11" t="n">
        <v>-24905421</v>
      </c>
      <c r="IU106" s="11" t="n">
        <v>21691862</v>
      </c>
      <c r="IV106" s="11" t="n">
        <v>4774878</v>
      </c>
      <c r="IW106" s="11" t="n">
        <v>3551664</v>
      </c>
      <c r="IX106" s="11" t="n">
        <v>20037904</v>
      </c>
      <c r="IY106" s="11" t="n">
        <v>17034120</v>
      </c>
      <c r="IZ106" s="11" t="n">
        <v>44303556</v>
      </c>
      <c r="JA106" s="11" t="n">
        <v>-6064728</v>
      </c>
      <c r="JB106" s="11" t="n">
        <v>-679836</v>
      </c>
      <c r="JC106" s="11" t="n">
        <v>6376</v>
      </c>
      <c r="JD106" s="11" t="n">
        <v>-40584</v>
      </c>
      <c r="JE106" s="11" t="n">
        <v>190076</v>
      </c>
      <c r="JF106" s="11" t="n">
        <v>223450</v>
      </c>
      <c r="JG106" s="11" t="n">
        <v>8268308</v>
      </c>
      <c r="JH106" s="11" t="n">
        <v>12774528</v>
      </c>
      <c r="JI106" s="11" t="n">
        <v>-28972340</v>
      </c>
      <c r="JJ106" s="11" t="n">
        <v>56985713</v>
      </c>
      <c r="JK106" s="11" t="n">
        <v>-613400</v>
      </c>
      <c r="JL106" s="11" t="n">
        <v>2583468</v>
      </c>
      <c r="JM106" s="11" t="n">
        <v>2183192</v>
      </c>
      <c r="JN106" s="11" t="n">
        <v>1842088</v>
      </c>
      <c r="JO106" s="11" t="n">
        <v>7600622</v>
      </c>
      <c r="JP106" s="11" t="n">
        <v>-25455383</v>
      </c>
      <c r="JQ106" s="11" t="n">
        <v>-4304</v>
      </c>
      <c r="JR106" s="11" t="n">
        <v>-44256</v>
      </c>
      <c r="JS106" s="11" t="n">
        <v>-571864</v>
      </c>
      <c r="JT106" s="11" t="n">
        <v>255829</v>
      </c>
      <c r="JU106" s="11" t="n">
        <v>672</v>
      </c>
      <c r="JV106" s="11" t="n">
        <v>4160</v>
      </c>
      <c r="JW106" s="11" t="n">
        <v>-3814</v>
      </c>
      <c r="JX106" s="11" t="n">
        <v>-46512</v>
      </c>
      <c r="JY106" s="11" t="n">
        <v>726</v>
      </c>
      <c r="JZ106" s="11" t="n">
        <v>-259489</v>
      </c>
      <c r="KA106" s="11" t="n">
        <v>457376</v>
      </c>
      <c r="KB106" s="11" t="n">
        <v>7138552</v>
      </c>
      <c r="KC106" s="11" t="n">
        <v>-3472219</v>
      </c>
      <c r="KD106" s="11" t="n">
        <v>12631712</v>
      </c>
      <c r="KE106" s="11" t="n">
        <v>-8516840</v>
      </c>
      <c r="KF106" s="11" t="n">
        <v>-37032627</v>
      </c>
      <c r="KG106" s="11" t="n">
        <v>-672496</v>
      </c>
      <c r="KH106" s="11" t="n">
        <v>136826</v>
      </c>
      <c r="KI106" s="11" t="n">
        <v>-2969797</v>
      </c>
      <c r="KJ106" s="11" t="n">
        <v>-8743778</v>
      </c>
      <c r="KK106" s="11" t="n">
        <v>-3771676</v>
      </c>
      <c r="KL106" s="11" t="n">
        <v>-12933432</v>
      </c>
      <c r="KM106" s="11" t="n">
        <v>31804456</v>
      </c>
      <c r="KN106" s="11" t="n">
        <v>-57380761</v>
      </c>
      <c r="KO106" s="11" t="n">
        <v>346456</v>
      </c>
      <c r="KP106" s="11" t="n">
        <v>-1352812</v>
      </c>
      <c r="KQ106" s="11" t="n">
        <v>-701524</v>
      </c>
      <c r="KR106" s="11" t="n">
        <v>-1717448</v>
      </c>
      <c r="KS106" s="11" t="n">
        <v>-7676434</v>
      </c>
      <c r="KT106" s="11" t="n">
        <v>26496701</v>
      </c>
      <c r="KU106" s="11" t="n">
        <v>86427048</v>
      </c>
      <c r="KV106" s="11" t="n">
        <v>-226076228</v>
      </c>
      <c r="KW106" s="11" t="n">
        <v>381724650</v>
      </c>
      <c r="KX106" s="11" t="n">
        <v>-46445208</v>
      </c>
      <c r="KY106" s="11" t="n">
        <v>-5896578</v>
      </c>
      <c r="KZ106" s="11" t="n">
        <v>220560083</v>
      </c>
      <c r="LA106" s="11" t="n">
        <v>-10232608</v>
      </c>
      <c r="LB106" s="11" t="n">
        <v>-51139452</v>
      </c>
      <c r="LC106" s="11" t="n">
        <v>178965422</v>
      </c>
      <c r="LD106" s="11" t="n">
        <v>26783804</v>
      </c>
      <c r="LE106" s="11" t="n">
        <v>163648</v>
      </c>
      <c r="LF106" s="11" t="n">
        <v>3374008</v>
      </c>
      <c r="LG106" s="11" t="n">
        <v>-1782593</v>
      </c>
      <c r="LH106" s="11" t="n">
        <v>12949744</v>
      </c>
      <c r="LI106" s="11" t="n">
        <v>-8602354</v>
      </c>
      <c r="LJ106" s="11" t="n">
        <v>-36299180</v>
      </c>
      <c r="LK106" s="11" t="n">
        <v>-368624</v>
      </c>
      <c r="LL106" s="11" t="n">
        <v>133306</v>
      </c>
      <c r="LM106" s="11" t="n">
        <v>-1266933</v>
      </c>
      <c r="LN106" s="11" t="n">
        <v>-8828434</v>
      </c>
      <c r="LO106" s="11" t="n">
        <v>-87123728</v>
      </c>
      <c r="LP106" s="11" t="n">
        <v>57410214</v>
      </c>
      <c r="LQ106" s="11" t="n">
        <v>234627821</v>
      </c>
      <c r="LR106" s="11" t="n">
        <v>-36795902</v>
      </c>
      <c r="LS106" s="11" t="n">
        <v>-58348816</v>
      </c>
    </row>
    <row r="107" customFormat="false" ht="15" hidden="false" customHeight="true" outlineLevel="0" collapsed="false">
      <c r="A107" s="7" t="s">
        <v>173</v>
      </c>
      <c r="B107" s="11" t="n">
        <v>-6351519</v>
      </c>
      <c r="C107" s="11" t="n">
        <v>322187161</v>
      </c>
      <c r="D107" s="11" t="n">
        <v>-5772442</v>
      </c>
      <c r="E107" s="11" t="n">
        <v>169368733</v>
      </c>
      <c r="F107" s="11" t="n">
        <v>-27093755</v>
      </c>
      <c r="G107" s="11" t="n">
        <v>53937820</v>
      </c>
      <c r="H107" s="11" t="n">
        <v>346256465</v>
      </c>
      <c r="I107" s="11" t="n">
        <v>57534855</v>
      </c>
      <c r="J107" s="11" t="n">
        <v>-13747326</v>
      </c>
      <c r="K107" s="11" t="n">
        <v>25698</v>
      </c>
      <c r="L107" s="11" t="n">
        <v>-22505229</v>
      </c>
      <c r="M107" s="11" t="n">
        <v>520818</v>
      </c>
      <c r="N107" s="11" t="n">
        <v>-1636518</v>
      </c>
      <c r="O107" s="11" t="n">
        <v>-4395333</v>
      </c>
      <c r="P107" s="11" t="n">
        <v>16792212</v>
      </c>
      <c r="Q107" s="11" t="n">
        <v>11190406</v>
      </c>
      <c r="R107" s="11" t="n">
        <v>775015969</v>
      </c>
      <c r="S107" s="11" t="n">
        <v>32223128</v>
      </c>
      <c r="T107" s="11" t="n">
        <v>-33729838</v>
      </c>
      <c r="U107" s="11" t="n">
        <v>-526485183</v>
      </c>
      <c r="V107" s="11" t="n">
        <v>-976331098</v>
      </c>
      <c r="W107" s="11" t="n">
        <v>-19768136</v>
      </c>
      <c r="X107" s="11" t="n">
        <v>363714</v>
      </c>
      <c r="Y107" s="11" t="n">
        <v>-1269084</v>
      </c>
      <c r="Z107" s="11" t="n">
        <v>-2593664</v>
      </c>
      <c r="AA107" s="11" t="n">
        <v>15494026</v>
      </c>
      <c r="AB107" s="11" t="n">
        <v>82112779</v>
      </c>
      <c r="AC107" s="11" t="n">
        <v>-147477794</v>
      </c>
      <c r="AD107" s="11" t="n">
        <v>-1109679284</v>
      </c>
      <c r="AE107" s="11" t="n">
        <v>-651641089</v>
      </c>
      <c r="AF107" s="11" t="n">
        <v>-2558070</v>
      </c>
      <c r="AG107" s="11" t="n">
        <v>9643445</v>
      </c>
      <c r="AH107" s="11" t="n">
        <v>76348550</v>
      </c>
      <c r="AI107" s="11" t="n">
        <v>-51889990</v>
      </c>
      <c r="AJ107" s="11" t="n">
        <v>-157425670</v>
      </c>
      <c r="AK107" s="11" t="n">
        <v>-955251305</v>
      </c>
      <c r="AL107" s="11" t="n">
        <v>-139507464</v>
      </c>
      <c r="AM107" s="11" t="n">
        <v>-336843</v>
      </c>
      <c r="AN107" s="11" t="n">
        <v>-110219280</v>
      </c>
      <c r="AO107" s="11" t="n">
        <v>-6825270</v>
      </c>
      <c r="AP107" s="11" t="n">
        <v>-26058528</v>
      </c>
      <c r="AQ107" s="11" t="n">
        <v>-139562211</v>
      </c>
      <c r="AR107" s="11" t="n">
        <v>-10183248</v>
      </c>
      <c r="AS107" s="11" t="n">
        <v>143875069</v>
      </c>
      <c r="AT107" s="11" t="n">
        <v>1870896472</v>
      </c>
      <c r="AU107" s="11" t="n">
        <v>941317410</v>
      </c>
      <c r="AV107" s="11" t="n">
        <v>137131712</v>
      </c>
      <c r="AW107" s="11" t="n">
        <v>-525891331</v>
      </c>
      <c r="AX107" s="11" t="n">
        <v>-747164568</v>
      </c>
      <c r="AY107" s="11" t="n">
        <v>-109152641</v>
      </c>
      <c r="AZ107" s="11" t="n">
        <v>-4766125</v>
      </c>
      <c r="BA107" s="11" t="n">
        <v>-26543244</v>
      </c>
      <c r="BB107" s="11" t="n">
        <v>-145201303</v>
      </c>
      <c r="BC107" s="11" t="n">
        <v>-12306099</v>
      </c>
      <c r="BD107" s="11" t="n">
        <v>652165490</v>
      </c>
      <c r="BE107" s="11" t="n">
        <v>-241121504</v>
      </c>
      <c r="BF107" s="11" t="n">
        <v>-2287116423</v>
      </c>
      <c r="BG107" s="11" t="n">
        <v>-726869664</v>
      </c>
      <c r="BH107" s="11" t="n">
        <v>-169119160</v>
      </c>
      <c r="BI107" s="11" t="n">
        <v>-967415545</v>
      </c>
      <c r="BJ107" s="11" t="n">
        <v>-105265110</v>
      </c>
      <c r="BK107" s="11" t="n">
        <v>-235416500</v>
      </c>
      <c r="BL107" s="11" t="n">
        <v>-149572320</v>
      </c>
      <c r="BM107" s="11" t="n">
        <v>-709070715</v>
      </c>
      <c r="BN107" s="11" t="n">
        <v>-1293510</v>
      </c>
      <c r="BO107" s="11" t="n">
        <v>255754104</v>
      </c>
      <c r="BP107" s="11" t="n">
        <v>-26212188</v>
      </c>
      <c r="BQ107" s="11" t="n">
        <v>-20456304</v>
      </c>
      <c r="BR107" s="11" t="n">
        <v>-205529646</v>
      </c>
      <c r="BS107" s="11" t="n">
        <v>-390872064</v>
      </c>
      <c r="BT107" s="11" t="n">
        <v>1639473</v>
      </c>
      <c r="BU107" s="11" t="n">
        <v>-6</v>
      </c>
      <c r="BV107" s="11" t="n">
        <v>192222</v>
      </c>
      <c r="BW107" s="11" t="n">
        <v>797763</v>
      </c>
      <c r="BX107" s="11" t="n">
        <v>-849348</v>
      </c>
      <c r="BY107" s="11" t="n">
        <v>-33221730</v>
      </c>
      <c r="BZ107" s="11" t="n">
        <v>-63933888</v>
      </c>
      <c r="CA107" s="11" t="n">
        <v>-418235241</v>
      </c>
      <c r="CB107" s="11" t="n">
        <v>-327481008</v>
      </c>
      <c r="CC107" s="11" t="n">
        <v>3895356</v>
      </c>
      <c r="CD107" s="11" t="n">
        <v>16167132</v>
      </c>
      <c r="CE107" s="11" t="n">
        <v>-17209704</v>
      </c>
      <c r="CF107" s="11" t="n">
        <v>-17926446</v>
      </c>
      <c r="CG107" s="11" t="n">
        <v>-71517600</v>
      </c>
      <c r="CH107" s="11" t="n">
        <v>-376022964</v>
      </c>
      <c r="CI107" s="11" t="n">
        <v>-281107989</v>
      </c>
      <c r="CJ107" s="11" t="n">
        <v>18304948</v>
      </c>
      <c r="CK107" s="11" t="n">
        <v>19825254</v>
      </c>
      <c r="CL107" s="11" t="n">
        <v>216840281</v>
      </c>
      <c r="CM107" s="11" t="n">
        <v>410036914</v>
      </c>
      <c r="CN107" s="11" t="n">
        <v>2077208434</v>
      </c>
      <c r="CO107" s="11" t="n">
        <v>525732624</v>
      </c>
      <c r="CP107" s="11" t="n">
        <v>1792203917</v>
      </c>
      <c r="CQ107" s="11" t="n">
        <v>3872128024</v>
      </c>
      <c r="CR107" s="11" t="n">
        <v>112261756</v>
      </c>
      <c r="CS107" s="11" t="n">
        <v>1485607942</v>
      </c>
      <c r="CT107" s="11" t="n">
        <v>2777768916</v>
      </c>
      <c r="CU107" s="11" t="n">
        <v>279142234</v>
      </c>
      <c r="CV107" s="11" t="n">
        <v>493774160</v>
      </c>
      <c r="CW107" s="11" t="n">
        <v>-372680854</v>
      </c>
      <c r="CX107" s="11" t="n">
        <v>-23199497</v>
      </c>
      <c r="CY107" s="11" t="n">
        <v>-66901770</v>
      </c>
      <c r="CZ107" s="11" t="n">
        <v>-448207852</v>
      </c>
      <c r="DA107" s="11" t="n">
        <v>-335123765</v>
      </c>
      <c r="DB107" s="11" t="n">
        <v>2720298</v>
      </c>
      <c r="DC107" s="11" t="n">
        <v>11290451</v>
      </c>
      <c r="DD107" s="11" t="n">
        <v>-12017542</v>
      </c>
      <c r="DE107" s="11" t="n">
        <v>-19996458</v>
      </c>
      <c r="DF107" s="11" t="n">
        <v>-73951230</v>
      </c>
      <c r="DG107" s="11" t="n">
        <v>-395269567</v>
      </c>
      <c r="DH107" s="11" t="n">
        <v>450973268</v>
      </c>
      <c r="DI107" s="11" t="n">
        <v>3164061271</v>
      </c>
      <c r="DJ107" s="11" t="n">
        <v>2156788538</v>
      </c>
      <c r="DK107" s="11" t="n">
        <v>411713222</v>
      </c>
      <c r="DL107" s="11" t="n">
        <v>-294786080</v>
      </c>
      <c r="DM107" s="11" t="n">
        <v>-4037267187</v>
      </c>
      <c r="DN107" s="11" t="n">
        <v>-151533370</v>
      </c>
      <c r="DO107" s="11" t="n">
        <v>-486506140</v>
      </c>
      <c r="DP107" s="11" t="n">
        <v>-2688651160</v>
      </c>
      <c r="DQ107" s="11" t="n">
        <v>-543205010</v>
      </c>
      <c r="DR107" s="11" t="n">
        <v>-1024205</v>
      </c>
      <c r="DS107" s="11" t="n">
        <v>-2470</v>
      </c>
      <c r="DT107" s="11" t="n">
        <v>-3668372</v>
      </c>
      <c r="DU107" s="11" t="n">
        <v>-18917</v>
      </c>
      <c r="DV107" s="11" t="n">
        <v>-355808</v>
      </c>
      <c r="DW107" s="11" t="n">
        <v>-123760</v>
      </c>
      <c r="DX107" s="11" t="n">
        <v>971781</v>
      </c>
      <c r="DY107" s="11" t="n">
        <v>1056120</v>
      </c>
      <c r="DZ107" s="11" t="n">
        <v>158770533</v>
      </c>
      <c r="EA107" s="11" t="n">
        <v>5328548</v>
      </c>
      <c r="EB107" s="11" t="n">
        <v>9351052</v>
      </c>
      <c r="EC107" s="11" t="n">
        <v>-49557235</v>
      </c>
      <c r="ED107" s="11" t="n">
        <v>-58572264</v>
      </c>
      <c r="EE107" s="11" t="n">
        <v>-3399786</v>
      </c>
      <c r="EF107" s="11" t="n">
        <v>-6656</v>
      </c>
      <c r="EG107" s="11" t="n">
        <v>-344344</v>
      </c>
      <c r="EH107" s="11" t="n">
        <v>-247130</v>
      </c>
      <c r="EI107" s="11" t="n">
        <v>860808</v>
      </c>
      <c r="EJ107" s="11" t="n">
        <v>16152659</v>
      </c>
      <c r="EK107" s="11" t="n">
        <v>-21664304</v>
      </c>
      <c r="EL107" s="11" t="n">
        <v>-196683100</v>
      </c>
      <c r="EM107" s="11" t="n">
        <v>-59143107</v>
      </c>
      <c r="EN107" s="11" t="n">
        <v>-1678420</v>
      </c>
      <c r="EO107" s="11" t="n">
        <v>-1559195</v>
      </c>
      <c r="EP107" s="11" t="n">
        <v>3973980</v>
      </c>
      <c r="EQ107" s="11" t="n">
        <v>-18346080</v>
      </c>
      <c r="ER107" s="11" t="n">
        <v>-11475540</v>
      </c>
      <c r="ES107" s="11" t="n">
        <v>-54098235</v>
      </c>
      <c r="ET107" s="11" t="n">
        <v>-9490</v>
      </c>
      <c r="EU107" s="11" t="n">
        <v>-4310833</v>
      </c>
      <c r="EV107" s="11" t="n">
        <v>-124928</v>
      </c>
      <c r="EW107" s="11" t="n">
        <v>-506222</v>
      </c>
      <c r="EX107" s="11" t="n">
        <v>440895</v>
      </c>
      <c r="EY107" s="11" t="n">
        <v>-604466</v>
      </c>
      <c r="EZ107" s="11" t="n">
        <v>23594</v>
      </c>
      <c r="FA107" s="11" t="n">
        <v>-126</v>
      </c>
      <c r="FB107" s="11" t="n">
        <v>2076</v>
      </c>
      <c r="FC107" s="11" t="n">
        <v>2210</v>
      </c>
      <c r="FD107" s="11" t="n">
        <v>-10462</v>
      </c>
      <c r="FE107" s="11" t="n">
        <v>-367831</v>
      </c>
      <c r="FF107" s="11" t="n">
        <v>-315544</v>
      </c>
      <c r="FG107" s="11" t="n">
        <v>2100044</v>
      </c>
      <c r="FH107" s="11" t="n">
        <v>-6255185</v>
      </c>
      <c r="FI107" s="11" t="n">
        <v>34050</v>
      </c>
      <c r="FJ107" s="11" t="n">
        <v>23239</v>
      </c>
      <c r="FK107" s="11" t="n">
        <v>-129698</v>
      </c>
      <c r="FL107" s="11" t="n">
        <v>214336</v>
      </c>
      <c r="FM107" s="11" t="n">
        <v>-690302</v>
      </c>
      <c r="FN107" s="11" t="n">
        <v>345287</v>
      </c>
      <c r="FO107" s="11" t="n">
        <v>2974038</v>
      </c>
      <c r="FP107" s="11" t="n">
        <v>79448</v>
      </c>
      <c r="FQ107" s="11" t="n">
        <v>435352</v>
      </c>
      <c r="FR107" s="11" t="n">
        <v>4550</v>
      </c>
      <c r="FS107" s="11" t="n">
        <v>1166016</v>
      </c>
      <c r="FT107" s="11" t="n">
        <v>-3061492</v>
      </c>
      <c r="FU107" s="11" t="n">
        <v>39115522</v>
      </c>
      <c r="FV107" s="11" t="n">
        <v>140237384</v>
      </c>
      <c r="FW107" s="11" t="n">
        <v>340231338</v>
      </c>
      <c r="FX107" s="11" t="n">
        <v>1493080</v>
      </c>
      <c r="FY107" s="11" t="n">
        <v>3750964</v>
      </c>
      <c r="FZ107" s="11" t="n">
        <v>10289192</v>
      </c>
      <c r="GA107" s="11" t="n">
        <v>20468686</v>
      </c>
      <c r="GB107" s="11" t="n">
        <v>34468648</v>
      </c>
      <c r="GC107" s="11" t="n">
        <v>-54461638</v>
      </c>
      <c r="GD107" s="11" t="n">
        <v>-237010</v>
      </c>
      <c r="GE107" s="11" t="n">
        <v>-431780</v>
      </c>
      <c r="GF107" s="11" t="n">
        <v>681272</v>
      </c>
      <c r="GG107" s="11" t="n">
        <v>-6177594</v>
      </c>
      <c r="GH107" s="11" t="n">
        <v>23160</v>
      </c>
      <c r="GI107" s="11" t="n">
        <v>18562</v>
      </c>
      <c r="GJ107" s="11" t="n">
        <v>-72104</v>
      </c>
      <c r="GK107" s="11" t="n">
        <v>100388</v>
      </c>
      <c r="GL107" s="11" t="n">
        <v>-735016</v>
      </c>
      <c r="GM107" s="11" t="n">
        <v>-276554</v>
      </c>
      <c r="GN107" s="11" t="n">
        <v>3561710</v>
      </c>
      <c r="GO107" s="11" t="n">
        <v>10474632</v>
      </c>
      <c r="GP107" s="11" t="n">
        <v>33473306</v>
      </c>
      <c r="GQ107" s="11" t="n">
        <v>29320408</v>
      </c>
      <c r="GR107" s="11" t="n">
        <v>-31853906</v>
      </c>
      <c r="GS107" s="11" t="n">
        <v>-369235264</v>
      </c>
      <c r="GT107" s="11" t="n">
        <v>-744610</v>
      </c>
      <c r="GU107" s="11" t="n">
        <v>-4354480</v>
      </c>
      <c r="GV107" s="11" t="n">
        <v>-5808170</v>
      </c>
      <c r="GW107" s="11" t="n">
        <v>-42505950</v>
      </c>
      <c r="GX107" s="11" t="n">
        <v>65</v>
      </c>
      <c r="GY107" s="11" t="n">
        <v>-62800432</v>
      </c>
      <c r="GZ107" s="11" t="n">
        <v>685098</v>
      </c>
      <c r="HA107" s="11" t="n">
        <v>-3613088</v>
      </c>
      <c r="HB107" s="11" t="n">
        <v>19786585</v>
      </c>
      <c r="HC107" s="11" t="n">
        <v>22986696</v>
      </c>
      <c r="HD107" s="11" t="n">
        <v>-151684</v>
      </c>
      <c r="HE107" s="11" t="n">
        <v>1651</v>
      </c>
      <c r="HF107" s="11" t="n">
        <v>-8736</v>
      </c>
      <c r="HG107" s="11" t="n">
        <v>47710</v>
      </c>
      <c r="HH107" s="11" t="n">
        <v>55497</v>
      </c>
      <c r="HI107" s="11" t="n">
        <v>3613720</v>
      </c>
      <c r="HJ107" s="11" t="n">
        <v>8875904</v>
      </c>
      <c r="HK107" s="11" t="n">
        <v>78457668</v>
      </c>
      <c r="HL107" s="11" t="n">
        <v>22744944</v>
      </c>
      <c r="HM107" s="11" t="n">
        <v>-304736</v>
      </c>
      <c r="HN107" s="11" t="n">
        <v>282673</v>
      </c>
      <c r="HO107" s="11" t="n">
        <v>1074594</v>
      </c>
      <c r="HP107" s="11" t="n">
        <v>7310432</v>
      </c>
      <c r="HQ107" s="11" t="n">
        <v>4557408</v>
      </c>
      <c r="HR107" s="11" t="n">
        <v>21551409</v>
      </c>
      <c r="HS107" s="11" t="n">
        <v>64767417</v>
      </c>
      <c r="HT107" s="11" t="n">
        <v>-706108</v>
      </c>
      <c r="HU107" s="11" t="n">
        <v>3726268</v>
      </c>
      <c r="HV107" s="11" t="n">
        <v>-20406295</v>
      </c>
      <c r="HW107" s="11" t="n">
        <v>-23706696</v>
      </c>
      <c r="HX107" s="11" t="n">
        <v>-432929434</v>
      </c>
      <c r="HY107" s="11" t="n">
        <v>-13276832</v>
      </c>
      <c r="HZ107" s="11" t="n">
        <v>-28618177</v>
      </c>
      <c r="IA107" s="11" t="n">
        <v>28073976</v>
      </c>
      <c r="IB107" s="11" t="n">
        <v>25052504</v>
      </c>
      <c r="IC107" s="11" t="n">
        <v>-136091242</v>
      </c>
      <c r="ID107" s="11" t="n">
        <v>-158770416</v>
      </c>
      <c r="IE107" s="11" t="n">
        <v>-5829628</v>
      </c>
      <c r="IF107" s="11" t="n">
        <v>-3244512</v>
      </c>
      <c r="IG107" s="11" t="n">
        <v>-19320336</v>
      </c>
      <c r="IH107" s="11" t="n">
        <v>2681237</v>
      </c>
      <c r="II107" s="11" t="n">
        <v>9121840</v>
      </c>
      <c r="IJ107" s="11" t="n">
        <v>80845934</v>
      </c>
      <c r="IK107" s="11" t="n">
        <v>23525151</v>
      </c>
      <c r="IL107" s="11" t="n">
        <v>-253708</v>
      </c>
      <c r="IM107" s="11" t="n">
        <v>-36621</v>
      </c>
      <c r="IN107" s="11" t="n">
        <v>724932</v>
      </c>
      <c r="IO107" s="11" t="n">
        <v>7525336</v>
      </c>
      <c r="IP107" s="11" t="n">
        <v>4692324</v>
      </c>
      <c r="IQ107" s="11" t="n">
        <v>22179807</v>
      </c>
      <c r="IR107" s="11" t="n">
        <v>-60424128</v>
      </c>
      <c r="IS107" s="11" t="n">
        <v>-539219471</v>
      </c>
      <c r="IT107" s="11" t="n">
        <v>-158413038</v>
      </c>
      <c r="IU107" s="11" t="n">
        <v>-12542224</v>
      </c>
      <c r="IV107" s="11" t="n">
        <v>-8776416</v>
      </c>
      <c r="IW107" s="11" t="n">
        <v>-45438183</v>
      </c>
      <c r="IX107" s="11" t="n">
        <v>50197540</v>
      </c>
      <c r="IY107" s="11" t="n">
        <v>31326600</v>
      </c>
      <c r="IZ107" s="11" t="n">
        <v>147953610</v>
      </c>
      <c r="JA107" s="11" t="n">
        <v>-788580</v>
      </c>
      <c r="JB107" s="11" t="n">
        <v>-582165</v>
      </c>
      <c r="JC107" s="11" t="n">
        <v>6340</v>
      </c>
      <c r="JD107" s="11" t="n">
        <v>-33510</v>
      </c>
      <c r="JE107" s="11" t="n">
        <v>183365</v>
      </c>
      <c r="JF107" s="11" t="n">
        <v>212950</v>
      </c>
      <c r="JG107" s="11" t="n">
        <v>10543666</v>
      </c>
      <c r="JH107" s="11" t="n">
        <v>15832320</v>
      </c>
      <c r="JI107" s="11" t="n">
        <v>56246813</v>
      </c>
      <c r="JJ107" s="11" t="n">
        <v>133813576</v>
      </c>
      <c r="JK107" s="11" t="n">
        <v>-779324</v>
      </c>
      <c r="JL107" s="11" t="n">
        <v>2708398</v>
      </c>
      <c r="JM107" s="11" t="n">
        <v>2399484</v>
      </c>
      <c r="JN107" s="11" t="n">
        <v>8224342</v>
      </c>
      <c r="JO107" s="11" t="n">
        <v>13493744</v>
      </c>
      <c r="JP107" s="11" t="n">
        <v>-21572866</v>
      </c>
      <c r="JQ107" s="11" t="n">
        <v>-8033</v>
      </c>
      <c r="JR107" s="11" t="n">
        <v>-44040</v>
      </c>
      <c r="JS107" s="11" t="n">
        <v>-591454</v>
      </c>
      <c r="JT107" s="11" t="n">
        <v>112357</v>
      </c>
      <c r="JU107" s="11" t="n">
        <v>942</v>
      </c>
      <c r="JV107" s="11" t="n">
        <v>3911</v>
      </c>
      <c r="JW107" s="11" t="n">
        <v>-4162</v>
      </c>
      <c r="JX107" s="11" t="n">
        <v>-47916</v>
      </c>
      <c r="JY107" s="11" t="n">
        <v>-9642</v>
      </c>
      <c r="JZ107" s="11" t="n">
        <v>-251737</v>
      </c>
      <c r="KA107" s="11" t="n">
        <v>579152</v>
      </c>
      <c r="KB107" s="11" t="n">
        <v>9935779</v>
      </c>
      <c r="KC107" s="11" t="n">
        <v>-3881338</v>
      </c>
      <c r="KD107" s="11" t="n">
        <v>11829944</v>
      </c>
      <c r="KE107" s="11" t="n">
        <v>-13178432</v>
      </c>
      <c r="KF107" s="11" t="n">
        <v>-146804253</v>
      </c>
      <c r="KG107" s="11" t="n">
        <v>-883162</v>
      </c>
      <c r="KH107" s="11" t="n">
        <v>155084</v>
      </c>
      <c r="KI107" s="11" t="n">
        <v>-3258160</v>
      </c>
      <c r="KJ107" s="11" t="n">
        <v>-16928294</v>
      </c>
      <c r="KK107" s="11" t="n">
        <v>-6860616</v>
      </c>
      <c r="KL107" s="11" t="n">
        <v>-16205130</v>
      </c>
      <c r="KM107" s="11" t="n">
        <v>-57743238</v>
      </c>
      <c r="KN107" s="11" t="n">
        <v>-138265026</v>
      </c>
      <c r="KO107" s="11" t="n">
        <v>571384</v>
      </c>
      <c r="KP107" s="11" t="n">
        <v>-1532048</v>
      </c>
      <c r="KQ107" s="11" t="n">
        <v>-1003784</v>
      </c>
      <c r="KR107" s="11" t="n">
        <v>-8427902</v>
      </c>
      <c r="KS107" s="11" t="n">
        <v>-13886344</v>
      </c>
      <c r="KT107" s="11" t="n">
        <v>22427566</v>
      </c>
      <c r="KU107" s="11" t="n">
        <v>106914724</v>
      </c>
      <c r="KV107" s="11" t="n">
        <v>382945780</v>
      </c>
      <c r="KW107" s="11" t="n">
        <v>927188500</v>
      </c>
      <c r="KX107" s="11" t="n">
        <v>4676518</v>
      </c>
      <c r="KY107" s="11" t="n">
        <v>35367536</v>
      </c>
      <c r="KZ107" s="11" t="n">
        <v>86123170</v>
      </c>
      <c r="LA107" s="11" t="n">
        <v>-55768692</v>
      </c>
      <c r="LB107" s="11" t="n">
        <v>-92863376</v>
      </c>
      <c r="LC107" s="11" t="n">
        <v>151021780</v>
      </c>
      <c r="LD107" s="11" t="n">
        <v>14386456</v>
      </c>
      <c r="LE107" s="11" t="n">
        <v>295390</v>
      </c>
      <c r="LF107" s="11" t="n">
        <v>6173314</v>
      </c>
      <c r="LG107" s="11" t="n">
        <v>-3231938</v>
      </c>
      <c r="LH107" s="11" t="n">
        <v>12095500</v>
      </c>
      <c r="LI107" s="11" t="n">
        <v>-13587130</v>
      </c>
      <c r="LJ107" s="11" t="n">
        <v>-151615538</v>
      </c>
      <c r="LK107" s="11" t="n">
        <v>-580106</v>
      </c>
      <c r="LL107" s="11" t="n">
        <v>225952</v>
      </c>
      <c r="LM107" s="11" t="n">
        <v>-1624950</v>
      </c>
      <c r="LN107" s="11" t="n">
        <v>-17431102</v>
      </c>
      <c r="LO107" s="11" t="n">
        <v>-79715846</v>
      </c>
      <c r="LP107" s="11" t="n">
        <v>90286932</v>
      </c>
      <c r="LQ107" s="11" t="n">
        <v>1014702290</v>
      </c>
      <c r="LR107" s="11" t="n">
        <v>30319318</v>
      </c>
      <c r="LS107" s="11" t="n">
        <v>-116334460</v>
      </c>
    </row>
    <row r="108" customFormat="false" ht="15" hidden="false" customHeight="true" outlineLevel="0" collapsed="false">
      <c r="A108" s="7" t="s">
        <v>174</v>
      </c>
      <c r="B108" s="11" t="n">
        <v>-16845036</v>
      </c>
      <c r="C108" s="11" t="n">
        <v>851504434</v>
      </c>
      <c r="D108" s="11" t="n">
        <v>-12955873</v>
      </c>
      <c r="E108" s="11" t="n">
        <v>-710303423</v>
      </c>
      <c r="F108" s="11" t="n">
        <v>-46268720</v>
      </c>
      <c r="G108" s="11" t="n">
        <v>98234230</v>
      </c>
      <c r="H108" s="11" t="n">
        <v>814595210</v>
      </c>
      <c r="I108" s="11" t="n">
        <v>391097895</v>
      </c>
      <c r="J108" s="11" t="n">
        <v>-36290474</v>
      </c>
      <c r="K108" s="11" t="n">
        <v>-65593</v>
      </c>
      <c r="L108" s="11" t="n">
        <v>6209569</v>
      </c>
      <c r="M108" s="11" t="n">
        <v>-72908</v>
      </c>
      <c r="N108" s="11" t="n">
        <v>-1793282</v>
      </c>
      <c r="O108" s="11" t="n">
        <v>-5762302</v>
      </c>
      <c r="P108" s="11" t="n">
        <v>30980163</v>
      </c>
      <c r="Q108" s="11" t="n">
        <v>31227449</v>
      </c>
      <c r="R108" s="11" t="n">
        <v>1216368571</v>
      </c>
      <c r="S108" s="11" t="n">
        <v>103365482</v>
      </c>
      <c r="T108" s="11" t="n">
        <v>-120983962</v>
      </c>
      <c r="U108" s="11" t="n">
        <v>-1463660902</v>
      </c>
      <c r="V108" s="11" t="n">
        <v>-2408595277</v>
      </c>
      <c r="W108" s="11" t="n">
        <v>7541766</v>
      </c>
      <c r="X108" s="11" t="n">
        <v>124091</v>
      </c>
      <c r="Y108" s="11" t="n">
        <v>-1761766</v>
      </c>
      <c r="Z108" s="11" t="n">
        <v>-7603866</v>
      </c>
      <c r="AA108" s="11" t="n">
        <v>22304599</v>
      </c>
      <c r="AB108" s="11" t="n">
        <v>-20130299</v>
      </c>
      <c r="AC108" s="11" t="n">
        <v>-39405206</v>
      </c>
      <c r="AD108" s="11" t="n">
        <v>57304854</v>
      </c>
      <c r="AE108" s="11" t="n">
        <v>1450508339</v>
      </c>
      <c r="AF108" s="11" t="n">
        <v>-5350830</v>
      </c>
      <c r="AG108" s="11" t="n">
        <v>-19353170</v>
      </c>
      <c r="AH108" s="11" t="n">
        <v>83401325</v>
      </c>
      <c r="AI108" s="11" t="n">
        <v>-53116160</v>
      </c>
      <c r="AJ108" s="11" t="n">
        <v>-222300580</v>
      </c>
      <c r="AK108" s="11" t="n">
        <v>-1631929820</v>
      </c>
      <c r="AL108" s="11" t="n">
        <v>-368702288</v>
      </c>
      <c r="AM108" s="11" t="n">
        <v>-1912564</v>
      </c>
      <c r="AN108" s="11" t="n">
        <v>209843128</v>
      </c>
      <c r="AO108" s="11" t="n">
        <v>-29183000</v>
      </c>
      <c r="AP108" s="11" t="n">
        <v>-49701488</v>
      </c>
      <c r="AQ108" s="11" t="n">
        <v>-325216684</v>
      </c>
      <c r="AR108" s="11" t="n">
        <v>-130301688</v>
      </c>
      <c r="AS108" s="11" t="n">
        <v>380255450</v>
      </c>
      <c r="AT108" s="11" t="n">
        <v>4939623952</v>
      </c>
      <c r="AU108" s="11" t="n">
        <v>2487904260</v>
      </c>
      <c r="AV108" s="11" t="n">
        <v>362234432</v>
      </c>
      <c r="AW108" s="11" t="n">
        <v>-1390300934</v>
      </c>
      <c r="AX108" s="11" t="n">
        <v>-1973651088</v>
      </c>
      <c r="AY108" s="11" t="n">
        <v>242041731</v>
      </c>
      <c r="AZ108" s="11" t="n">
        <v>-17191970</v>
      </c>
      <c r="BA108" s="11" t="n">
        <v>-49379854</v>
      </c>
      <c r="BB108" s="11" t="n">
        <v>-342619127</v>
      </c>
      <c r="BC108" s="11" t="n">
        <v>-144622539</v>
      </c>
      <c r="BD108" s="11" t="n">
        <v>-1806939310</v>
      </c>
      <c r="BE108" s="11" t="n">
        <v>-872028944</v>
      </c>
      <c r="BF108" s="11" t="n">
        <v>-3565757707</v>
      </c>
      <c r="BG108" s="11" t="n">
        <v>-622410624</v>
      </c>
      <c r="BH108" s="11" t="n">
        <v>-306701260</v>
      </c>
      <c r="BI108" s="11" t="n">
        <v>-2304518180</v>
      </c>
      <c r="BJ108" s="11" t="n">
        <v>-1035456510</v>
      </c>
      <c r="BK108" s="11" t="n">
        <v>-506925810</v>
      </c>
      <c r="BL108" s="11" t="n">
        <v>-394066320</v>
      </c>
      <c r="BM108" s="11" t="n">
        <v>-1249533075</v>
      </c>
      <c r="BN108" s="11" t="n">
        <v>-2684682</v>
      </c>
      <c r="BO108" s="11" t="n">
        <v>316165800</v>
      </c>
      <c r="BP108" s="11" t="n">
        <v>-61275236</v>
      </c>
      <c r="BQ108" s="11" t="n">
        <v>-67824336</v>
      </c>
      <c r="BR108" s="11" t="n">
        <v>-574513090</v>
      </c>
      <c r="BS108" s="11" t="n">
        <v>-958808696</v>
      </c>
      <c r="BT108" s="11" t="n">
        <v>112083</v>
      </c>
      <c r="BU108" s="11" t="n">
        <v>-105358</v>
      </c>
      <c r="BV108" s="11" t="n">
        <v>10074</v>
      </c>
      <c r="BW108" s="11" t="n">
        <v>-612119</v>
      </c>
      <c r="BX108" s="11" t="n">
        <v>-4024831</v>
      </c>
      <c r="BY108" s="11" t="n">
        <v>9849466</v>
      </c>
      <c r="BZ108" s="11" t="n">
        <v>-4017984</v>
      </c>
      <c r="CA108" s="11" t="n">
        <v>48101765</v>
      </c>
      <c r="CB108" s="11" t="n">
        <v>433961176</v>
      </c>
      <c r="CC108" s="11" t="n">
        <v>2891636</v>
      </c>
      <c r="CD108" s="11" t="n">
        <v>8575248</v>
      </c>
      <c r="CE108" s="11" t="n">
        <v>-54235214</v>
      </c>
      <c r="CF108" s="11" t="n">
        <v>-17620042</v>
      </c>
      <c r="CG108" s="11" t="n">
        <v>-105278960</v>
      </c>
      <c r="CH108" s="11" t="n">
        <v>-642688063</v>
      </c>
      <c r="CI108" s="11" t="n">
        <v>-362040303</v>
      </c>
      <c r="CJ108" s="11" t="n">
        <v>45079760</v>
      </c>
      <c r="CK108" s="11" t="n">
        <v>67312002</v>
      </c>
      <c r="CL108" s="11" t="n">
        <v>602638651</v>
      </c>
      <c r="CM108" s="11" t="n">
        <v>1003223657</v>
      </c>
      <c r="CN108" s="11" t="n">
        <v>2954326294</v>
      </c>
      <c r="CO108" s="11" t="n">
        <v>1219284144</v>
      </c>
      <c r="CP108" s="11" t="n">
        <v>6504741335</v>
      </c>
      <c r="CQ108" s="11" t="n">
        <v>11153045584</v>
      </c>
      <c r="CR108" s="11" t="n">
        <v>397460116</v>
      </c>
      <c r="CS108" s="11" t="n">
        <v>4107716798</v>
      </c>
      <c r="CT108" s="11" t="n">
        <v>6797788506</v>
      </c>
      <c r="CU108" s="11" t="n">
        <v>820186558</v>
      </c>
      <c r="CV108" s="11" t="n">
        <v>1305050480</v>
      </c>
      <c r="CW108" s="11" t="n">
        <v>-540122063</v>
      </c>
      <c r="CX108" s="11" t="n">
        <v>12325917</v>
      </c>
      <c r="CY108" s="11" t="n">
        <v>-4168734</v>
      </c>
      <c r="CZ108" s="11" t="n">
        <v>57387132</v>
      </c>
      <c r="DA108" s="11" t="n">
        <v>500881191</v>
      </c>
      <c r="DB108" s="11" t="n">
        <v>2810758</v>
      </c>
      <c r="DC108" s="11" t="n">
        <v>13371649</v>
      </c>
      <c r="DD108" s="11" t="n">
        <v>-28212197</v>
      </c>
      <c r="DE108" s="11" t="n">
        <v>-17608766</v>
      </c>
      <c r="DF108" s="11" t="n">
        <v>-104677540</v>
      </c>
      <c r="DG108" s="11" t="n">
        <v>-674726639</v>
      </c>
      <c r="DH108" s="11" t="n">
        <v>75529148</v>
      </c>
      <c r="DI108" s="11" t="n">
        <v>-246832771</v>
      </c>
      <c r="DJ108" s="11" t="n">
        <v>-3707584342</v>
      </c>
      <c r="DK108" s="11" t="n">
        <v>-268168366</v>
      </c>
      <c r="DL108" s="11" t="n">
        <v>-1815296720</v>
      </c>
      <c r="DM108" s="11" t="n">
        <v>-7231408399</v>
      </c>
      <c r="DN108" s="11" t="n">
        <v>-138223910</v>
      </c>
      <c r="DO108" s="11" t="n">
        <v>-672589240</v>
      </c>
      <c r="DP108" s="11" t="n">
        <v>-4587099785</v>
      </c>
      <c r="DQ108" s="11" t="n">
        <v>-934079820</v>
      </c>
      <c r="DR108" s="11" t="n">
        <v>-2704674</v>
      </c>
      <c r="DS108" s="11" t="n">
        <v>-15759</v>
      </c>
      <c r="DT108" s="11" t="n">
        <v>-5192157</v>
      </c>
      <c r="DU108" s="11" t="n">
        <v>-150288</v>
      </c>
      <c r="DV108" s="11" t="n">
        <v>-768294</v>
      </c>
      <c r="DW108" s="11" t="n">
        <v>77610</v>
      </c>
      <c r="DX108" s="11" t="n">
        <v>1644057</v>
      </c>
      <c r="DY108" s="11" t="n">
        <v>2876828</v>
      </c>
      <c r="DZ108" s="11" t="n">
        <v>376507590</v>
      </c>
      <c r="EA108" s="11" t="n">
        <v>15025952</v>
      </c>
      <c r="EB108" s="11" t="n">
        <v>23064016</v>
      </c>
      <c r="EC108" s="11" t="n">
        <v>-134716230</v>
      </c>
      <c r="ED108" s="11" t="n">
        <v>-145901388</v>
      </c>
      <c r="EE108" s="11" t="n">
        <v>-3328889</v>
      </c>
      <c r="EF108" s="11" t="n">
        <v>-72304</v>
      </c>
      <c r="EG108" s="11" t="n">
        <v>-682812</v>
      </c>
      <c r="EH108" s="11" t="n">
        <v>-702385</v>
      </c>
      <c r="EI108" s="11" t="n">
        <v>898596</v>
      </c>
      <c r="EJ108" s="11" t="n">
        <v>7924256</v>
      </c>
      <c r="EK108" s="11" t="n">
        <v>-62675402</v>
      </c>
      <c r="EL108" s="11" t="n">
        <v>-247810665</v>
      </c>
      <c r="EM108" s="11" t="n">
        <v>-51223539</v>
      </c>
      <c r="EN108" s="11" t="n">
        <v>-2986720</v>
      </c>
      <c r="EO108" s="11" t="n">
        <v>-7054480</v>
      </c>
      <c r="EP108" s="11" t="n">
        <v>1026480</v>
      </c>
      <c r="EQ108" s="11" t="n">
        <v>-37605890</v>
      </c>
      <c r="ER108" s="11" t="n">
        <v>-27425340</v>
      </c>
      <c r="ES108" s="11" t="n">
        <v>-77701695</v>
      </c>
      <c r="ET108" s="11" t="n">
        <v>-23419</v>
      </c>
      <c r="EU108" s="11" t="n">
        <v>-12182859</v>
      </c>
      <c r="EV108" s="11" t="n">
        <v>-312070</v>
      </c>
      <c r="EW108" s="11" t="n">
        <v>-1367258</v>
      </c>
      <c r="EX108" s="11" t="n">
        <v>1092408</v>
      </c>
      <c r="EY108" s="11" t="n">
        <v>-1432329</v>
      </c>
      <c r="EZ108" s="11" t="n">
        <v>-26027</v>
      </c>
      <c r="FA108" s="11" t="n">
        <v>-517</v>
      </c>
      <c r="FB108" s="11" t="n">
        <v>-1314</v>
      </c>
      <c r="FC108" s="11" t="n">
        <v>5693</v>
      </c>
      <c r="FD108" s="11" t="n">
        <v>-22581</v>
      </c>
      <c r="FE108" s="11" t="n">
        <v>77873</v>
      </c>
      <c r="FF108" s="11" t="n">
        <v>835960</v>
      </c>
      <c r="FG108" s="11" t="n">
        <v>1747509</v>
      </c>
      <c r="FH108" s="11" t="n">
        <v>-10155084</v>
      </c>
      <c r="FI108" s="11" t="n">
        <v>12674</v>
      </c>
      <c r="FJ108" s="11" t="n">
        <v>51746</v>
      </c>
      <c r="FK108" s="11" t="n">
        <v>-269283</v>
      </c>
      <c r="FL108" s="11" t="n">
        <v>271078</v>
      </c>
      <c r="FM108" s="11" t="n">
        <v>-1237968</v>
      </c>
      <c r="FN108" s="11" t="n">
        <v>705129</v>
      </c>
      <c r="FO108" s="11" t="n">
        <v>9698233</v>
      </c>
      <c r="FP108" s="11" t="n">
        <v>201828</v>
      </c>
      <c r="FQ108" s="11" t="n">
        <v>1254580</v>
      </c>
      <c r="FR108" s="11" t="n">
        <v>4529</v>
      </c>
      <c r="FS108" s="11" t="n">
        <v>2786816</v>
      </c>
      <c r="FT108" s="11" t="n">
        <v>-24240382</v>
      </c>
      <c r="FU108" s="11" t="n">
        <v>86441974</v>
      </c>
      <c r="FV108" s="11" t="n">
        <v>454742025</v>
      </c>
      <c r="FW108" s="11" t="n">
        <v>856583373</v>
      </c>
      <c r="FX108" s="11" t="n">
        <v>4934704</v>
      </c>
      <c r="FY108" s="11" t="n">
        <v>9474866</v>
      </c>
      <c r="FZ108" s="11" t="n">
        <v>24791732</v>
      </c>
      <c r="GA108" s="11" t="n">
        <v>58785838</v>
      </c>
      <c r="GB108" s="11" t="n">
        <v>85969732</v>
      </c>
      <c r="GC108" s="11" t="n">
        <v>-130271451</v>
      </c>
      <c r="GD108" s="11" t="n">
        <v>10205</v>
      </c>
      <c r="GE108" s="11" t="n">
        <v>850142</v>
      </c>
      <c r="GF108" s="11" t="n">
        <v>2362608</v>
      </c>
      <c r="GG108" s="11" t="n">
        <v>-6254039</v>
      </c>
      <c r="GH108" s="11" t="n">
        <v>16372</v>
      </c>
      <c r="GI108" s="11" t="n">
        <v>49163</v>
      </c>
      <c r="GJ108" s="11" t="n">
        <v>-133084</v>
      </c>
      <c r="GK108" s="11" t="n">
        <v>305234</v>
      </c>
      <c r="GL108" s="11" t="n">
        <v>-1053324</v>
      </c>
      <c r="GM108" s="11" t="n">
        <v>-681823</v>
      </c>
      <c r="GN108" s="11" t="n">
        <v>-2215858</v>
      </c>
      <c r="GO108" s="11" t="n">
        <v>-6383757</v>
      </c>
      <c r="GP108" s="11" t="n">
        <v>14730401</v>
      </c>
      <c r="GQ108" s="11" t="n">
        <v>-18804126</v>
      </c>
      <c r="GR108" s="11" t="n">
        <v>-130830944</v>
      </c>
      <c r="GS108" s="11" t="n">
        <v>-501920823</v>
      </c>
      <c r="GT108" s="11" t="n">
        <v>433450</v>
      </c>
      <c r="GU108" s="11" t="n">
        <v>-5264980</v>
      </c>
      <c r="GV108" s="11" t="n">
        <v>-12286645</v>
      </c>
      <c r="GW108" s="11" t="n">
        <v>-70271660</v>
      </c>
      <c r="GX108" s="11" t="n">
        <v>-37846</v>
      </c>
      <c r="GY108" s="11" t="n">
        <v>-147338208</v>
      </c>
      <c r="GZ108" s="11" t="n">
        <v>1396196</v>
      </c>
      <c r="HA108" s="11" t="n">
        <v>-8836160</v>
      </c>
      <c r="HB108" s="11" t="n">
        <v>53916186</v>
      </c>
      <c r="HC108" s="11" t="n">
        <v>56906448</v>
      </c>
      <c r="HD108" s="11" t="n">
        <v>-785825</v>
      </c>
      <c r="HE108" s="11" t="n">
        <v>10238</v>
      </c>
      <c r="HF108" s="11" t="n">
        <v>-40734</v>
      </c>
      <c r="HG108" s="11" t="n">
        <v>313061</v>
      </c>
      <c r="HH108" s="11" t="n">
        <v>308565</v>
      </c>
      <c r="HI108" s="11" t="n">
        <v>10867274</v>
      </c>
      <c r="HJ108" s="11" t="n">
        <v>24890368</v>
      </c>
      <c r="HK108" s="11" t="n">
        <v>99274953</v>
      </c>
      <c r="HL108" s="11" t="n">
        <v>19682520</v>
      </c>
      <c r="HM108" s="11" t="n">
        <v>-887596</v>
      </c>
      <c r="HN108" s="11" t="n">
        <v>3035972</v>
      </c>
      <c r="HO108" s="11" t="n">
        <v>4010754</v>
      </c>
      <c r="HP108" s="11" t="n">
        <v>15061966</v>
      </c>
      <c r="HQ108" s="11" t="n">
        <v>10793808</v>
      </c>
      <c r="HR108" s="11" t="n">
        <v>31140453</v>
      </c>
      <c r="HS108" s="11" t="n">
        <v>151447966</v>
      </c>
      <c r="HT108" s="11" t="n">
        <v>-1695320</v>
      </c>
      <c r="HU108" s="11" t="n">
        <v>9075856</v>
      </c>
      <c r="HV108" s="11" t="n">
        <v>-55462922</v>
      </c>
      <c r="HW108" s="11" t="n">
        <v>-58487004</v>
      </c>
      <c r="HX108" s="11" t="n">
        <v>-1012904044</v>
      </c>
      <c r="HY108" s="11" t="n">
        <v>-26372672</v>
      </c>
      <c r="HZ108" s="11" t="n">
        <v>-166750350</v>
      </c>
      <c r="IA108" s="11" t="n">
        <v>26302416</v>
      </c>
      <c r="IB108" s="11" t="n">
        <v>60995744</v>
      </c>
      <c r="IC108" s="11" t="n">
        <v>-369076748</v>
      </c>
      <c r="ID108" s="11" t="n">
        <v>-391463256</v>
      </c>
      <c r="IE108" s="11" t="n">
        <v>-19651024</v>
      </c>
      <c r="IF108" s="11" t="n">
        <v>-8608512</v>
      </c>
      <c r="IG108" s="11" t="n">
        <v>-74028972</v>
      </c>
      <c r="IH108" s="11" t="n">
        <v>5768098</v>
      </c>
      <c r="II108" s="11" t="n">
        <v>25443986</v>
      </c>
      <c r="IJ108" s="11" t="n">
        <v>101154706</v>
      </c>
      <c r="IK108" s="11" t="n">
        <v>20371815</v>
      </c>
      <c r="IL108" s="11" t="n">
        <v>-630488</v>
      </c>
      <c r="IM108" s="11" t="n">
        <v>980046</v>
      </c>
      <c r="IN108" s="11" t="n">
        <v>1999512</v>
      </c>
      <c r="IO108" s="11" t="n">
        <v>15379958</v>
      </c>
      <c r="IP108" s="11" t="n">
        <v>11046924</v>
      </c>
      <c r="IQ108" s="11" t="n">
        <v>31603959</v>
      </c>
      <c r="IR108" s="11" t="n">
        <v>-169168308</v>
      </c>
      <c r="IS108" s="11" t="n">
        <v>-670185154</v>
      </c>
      <c r="IT108" s="11" t="n">
        <v>-137251158</v>
      </c>
      <c r="IU108" s="11" t="n">
        <v>10400098</v>
      </c>
      <c r="IV108" s="11" t="n">
        <v>-7966416</v>
      </c>
      <c r="IW108" s="11" t="n">
        <v>-39998031</v>
      </c>
      <c r="IX108" s="11" t="n">
        <v>101998340</v>
      </c>
      <c r="IY108" s="11" t="n">
        <v>73644600</v>
      </c>
      <c r="IZ108" s="11" t="n">
        <v>208999710</v>
      </c>
      <c r="JA108" s="11" t="n">
        <v>-9330780</v>
      </c>
      <c r="JB108" s="11" t="n">
        <v>-1105287</v>
      </c>
      <c r="JC108" s="11" t="n">
        <v>16456</v>
      </c>
      <c r="JD108" s="11" t="n">
        <v>-57378</v>
      </c>
      <c r="JE108" s="11" t="n">
        <v>451559</v>
      </c>
      <c r="JF108" s="11" t="n">
        <v>512779</v>
      </c>
      <c r="JG108" s="11" t="n">
        <v>23289126</v>
      </c>
      <c r="JH108" s="11" t="n">
        <v>34680576</v>
      </c>
      <c r="JI108" s="11" t="n">
        <v>183349215</v>
      </c>
      <c r="JJ108" s="11" t="n">
        <v>334354536</v>
      </c>
      <c r="JK108" s="11" t="n">
        <v>-1725332</v>
      </c>
      <c r="JL108" s="11" t="n">
        <v>6784862</v>
      </c>
      <c r="JM108" s="11" t="n">
        <v>5826574</v>
      </c>
      <c r="JN108" s="11" t="n">
        <v>23686642</v>
      </c>
      <c r="JO108" s="11" t="n">
        <v>33446576</v>
      </c>
      <c r="JP108" s="11" t="n">
        <v>-51536997</v>
      </c>
      <c r="JQ108" s="11" t="n">
        <v>42689</v>
      </c>
      <c r="JR108" s="11" t="n">
        <v>-1752</v>
      </c>
      <c r="JS108" s="11" t="n">
        <v>233158</v>
      </c>
      <c r="JT108" s="11" t="n">
        <v>1635620</v>
      </c>
      <c r="JU108" s="11" t="n">
        <v>-2190</v>
      </c>
      <c r="JV108" s="11" t="n">
        <v>13969</v>
      </c>
      <c r="JW108" s="11" t="n">
        <v>-4547</v>
      </c>
      <c r="JX108" s="11" t="n">
        <v>11388</v>
      </c>
      <c r="JY108" s="11" t="n">
        <v>84096</v>
      </c>
      <c r="JZ108" s="11" t="n">
        <v>-560054</v>
      </c>
      <c r="KA108" s="11" t="n">
        <v>1376368</v>
      </c>
      <c r="KB108" s="11" t="n">
        <v>2168621</v>
      </c>
      <c r="KC108" s="11" t="n">
        <v>-21549968</v>
      </c>
      <c r="KD108" s="11" t="n">
        <v>-7606424</v>
      </c>
      <c r="KE108" s="11" t="n">
        <v>-51850816</v>
      </c>
      <c r="KF108" s="11" t="n">
        <v>-200791476</v>
      </c>
      <c r="KG108" s="11" t="n">
        <v>-561638</v>
      </c>
      <c r="KH108" s="11" t="n">
        <v>1252144</v>
      </c>
      <c r="KI108" s="11" t="n">
        <v>-6820745</v>
      </c>
      <c r="KJ108" s="11" t="n">
        <v>-28078048</v>
      </c>
      <c r="KK108" s="11" t="n">
        <v>-16340236</v>
      </c>
      <c r="KL108" s="11" t="n">
        <v>-35450094</v>
      </c>
      <c r="KM108" s="11" t="n">
        <v>-187212530</v>
      </c>
      <c r="KN108" s="11" t="n">
        <v>-343878121</v>
      </c>
      <c r="KO108" s="11" t="n">
        <v>1376056</v>
      </c>
      <c r="KP108" s="11" t="n">
        <v>-3888412</v>
      </c>
      <c r="KQ108" s="11" t="n">
        <v>-2460964</v>
      </c>
      <c r="KR108" s="11" t="n">
        <v>-24201578</v>
      </c>
      <c r="KS108" s="11" t="n">
        <v>-34297972</v>
      </c>
      <c r="KT108" s="11" t="n">
        <v>53635487</v>
      </c>
      <c r="KU108" s="11" t="n">
        <v>234249484</v>
      </c>
      <c r="KV108" s="11" t="n">
        <v>1234110920</v>
      </c>
      <c r="KW108" s="11" t="n">
        <v>2302740250</v>
      </c>
      <c r="KX108" s="11" t="n">
        <v>-6431390</v>
      </c>
      <c r="KY108" s="11" t="n">
        <v>66038576</v>
      </c>
      <c r="KZ108" s="11" t="n">
        <v>411137505</v>
      </c>
      <c r="LA108" s="11" t="n">
        <v>-159671148</v>
      </c>
      <c r="LB108" s="11" t="n">
        <v>-229199816</v>
      </c>
      <c r="LC108" s="11" t="n">
        <v>362106170</v>
      </c>
      <c r="LD108" s="11" t="n">
        <v>51306532</v>
      </c>
      <c r="LE108" s="11" t="n">
        <v>1395074</v>
      </c>
      <c r="LF108" s="11" t="n">
        <v>3783686</v>
      </c>
      <c r="LG108" s="11" t="n">
        <v>-10899073</v>
      </c>
      <c r="LH108" s="11" t="n">
        <v>-7774876</v>
      </c>
      <c r="LI108" s="11" t="n">
        <v>-53004656</v>
      </c>
      <c r="LJ108" s="11" t="n">
        <v>-204499486</v>
      </c>
      <c r="LK108" s="11" t="n">
        <v>-650614</v>
      </c>
      <c r="LL108" s="11" t="n">
        <v>707732</v>
      </c>
      <c r="LM108" s="11" t="n">
        <v>-3163455</v>
      </c>
      <c r="LN108" s="11" t="n">
        <v>-28663784</v>
      </c>
      <c r="LO108" s="11" t="n">
        <v>51122246</v>
      </c>
      <c r="LP108" s="11" t="n">
        <v>352846512</v>
      </c>
      <c r="LQ108" s="11" t="n">
        <v>1356376435</v>
      </c>
      <c r="LR108" s="11" t="n">
        <v>-24099664</v>
      </c>
      <c r="LS108" s="11" t="n">
        <v>-190490060</v>
      </c>
    </row>
    <row r="109" customFormat="false" ht="15" hidden="false" customHeight="true" outlineLevel="0" collapsed="false">
      <c r="A109" s="7" t="s">
        <v>175</v>
      </c>
      <c r="B109" s="11" t="n">
        <v>-596245</v>
      </c>
      <c r="C109" s="11" t="n">
        <v>203532057</v>
      </c>
      <c r="D109" s="11" t="n">
        <v>-206426</v>
      </c>
      <c r="E109" s="11" t="n">
        <v>-121984089</v>
      </c>
      <c r="F109" s="11" t="n">
        <v>-5518313</v>
      </c>
      <c r="G109" s="11" t="n">
        <v>82007224</v>
      </c>
      <c r="H109" s="11" t="n">
        <v>24398037</v>
      </c>
      <c r="I109" s="11" t="n">
        <v>51729967</v>
      </c>
      <c r="J109" s="11" t="n">
        <v>18125366</v>
      </c>
      <c r="K109" s="11" t="n">
        <v>28092</v>
      </c>
      <c r="L109" s="11" t="n">
        <v>-11697797</v>
      </c>
      <c r="M109" s="11" t="n">
        <v>-413314</v>
      </c>
      <c r="N109" s="11" t="n">
        <v>8687042</v>
      </c>
      <c r="O109" s="11" t="n">
        <v>-796719</v>
      </c>
      <c r="P109" s="11" t="n">
        <v>5559486</v>
      </c>
      <c r="Q109" s="11" t="n">
        <v>-15864568</v>
      </c>
      <c r="R109" s="11" t="n">
        <v>284900379</v>
      </c>
      <c r="S109" s="11" t="n">
        <v>-26664868</v>
      </c>
      <c r="T109" s="11" t="n">
        <v>-472424218</v>
      </c>
      <c r="U109" s="11" t="n">
        <v>1013645745</v>
      </c>
      <c r="V109" s="11" t="n">
        <v>-325217044</v>
      </c>
      <c r="W109" s="11" t="n">
        <v>-9797158</v>
      </c>
      <c r="X109" s="11" t="n">
        <v>-403088</v>
      </c>
      <c r="Y109" s="11" t="n">
        <v>6871300</v>
      </c>
      <c r="Z109" s="11" t="n">
        <v>873678</v>
      </c>
      <c r="AA109" s="11" t="n">
        <v>4362000</v>
      </c>
      <c r="AB109" s="11" t="n">
        <v>23705647</v>
      </c>
      <c r="AC109" s="11" t="n">
        <v>168348658</v>
      </c>
      <c r="AD109" s="11" t="n">
        <v>-641666304</v>
      </c>
      <c r="AE109" s="11" t="n">
        <v>122503639</v>
      </c>
      <c r="AF109" s="11" t="n">
        <v>23552538</v>
      </c>
      <c r="AG109" s="11" t="n">
        <v>-24286317</v>
      </c>
      <c r="AH109" s="11" t="n">
        <v>15594704</v>
      </c>
      <c r="AI109" s="11" t="n">
        <v>465049578</v>
      </c>
      <c r="AJ109" s="11" t="n">
        <v>-10964650</v>
      </c>
      <c r="AK109" s="11" t="n">
        <v>-296614299</v>
      </c>
      <c r="AL109" s="11" t="n">
        <v>-61195525</v>
      </c>
      <c r="AM109" s="11" t="n">
        <v>-137775</v>
      </c>
      <c r="AN109" s="11" t="n">
        <v>34348060</v>
      </c>
      <c r="AO109" s="11" t="n">
        <v>43870</v>
      </c>
      <c r="AP109" s="11" t="n">
        <v>-23563150</v>
      </c>
      <c r="AQ109" s="11" t="n">
        <v>-10277060</v>
      </c>
      <c r="AR109" s="11" t="n">
        <v>-15138295</v>
      </c>
      <c r="AS109" s="11" t="n">
        <v>68216885</v>
      </c>
      <c r="AT109" s="11" t="n">
        <v>794889789</v>
      </c>
      <c r="AU109" s="11" t="n">
        <v>551396003</v>
      </c>
      <c r="AV109" s="11" t="n">
        <v>-373367890</v>
      </c>
      <c r="AW109" s="11" t="n">
        <v>1004051151</v>
      </c>
      <c r="AX109" s="11" t="n">
        <v>-141744028</v>
      </c>
      <c r="AY109" s="11" t="n">
        <v>40078643</v>
      </c>
      <c r="AZ109" s="11" t="n">
        <v>1290311</v>
      </c>
      <c r="BA109" s="11" t="n">
        <v>-27107300</v>
      </c>
      <c r="BB109" s="11" t="n">
        <v>-9195703</v>
      </c>
      <c r="BC109" s="11" t="n">
        <v>-17194331</v>
      </c>
      <c r="BD109" s="11" t="n">
        <v>-308919830</v>
      </c>
      <c r="BE109" s="11" t="n">
        <v>-96504518</v>
      </c>
      <c r="BF109" s="11" t="n">
        <v>-697049976</v>
      </c>
      <c r="BG109" s="11" t="n">
        <v>-117077903</v>
      </c>
      <c r="BH109" s="11" t="n">
        <v>-212045686</v>
      </c>
      <c r="BI109" s="11" t="n">
        <v>-93320182</v>
      </c>
      <c r="BJ109" s="11" t="n">
        <v>-136300441</v>
      </c>
      <c r="BK109" s="11" t="n">
        <v>449309522</v>
      </c>
      <c r="BL109" s="11" t="n">
        <v>37784094</v>
      </c>
      <c r="BM109" s="11" t="n">
        <v>-272182229</v>
      </c>
      <c r="BN109" s="11" t="n">
        <v>1305030</v>
      </c>
      <c r="BO109" s="11" t="n">
        <v>156448557</v>
      </c>
      <c r="BP109" s="11" t="n">
        <v>41086814</v>
      </c>
      <c r="BQ109" s="11" t="n">
        <v>-175292670</v>
      </c>
      <c r="BR109" s="11" t="n">
        <v>394185463</v>
      </c>
      <c r="BS109" s="11" t="n">
        <v>-110405164</v>
      </c>
      <c r="BT109" s="11" t="n">
        <v>1084719</v>
      </c>
      <c r="BU109" s="11" t="n">
        <v>93438</v>
      </c>
      <c r="BV109" s="11" t="n">
        <v>-897150</v>
      </c>
      <c r="BW109" s="11" t="n">
        <v>668301</v>
      </c>
      <c r="BX109" s="11" t="n">
        <v>-571398</v>
      </c>
      <c r="BY109" s="11" t="n">
        <v>-22949210</v>
      </c>
      <c r="BZ109" s="11" t="n">
        <v>38148906</v>
      </c>
      <c r="CA109" s="11" t="n">
        <v>-247523608</v>
      </c>
      <c r="CB109" s="11" t="n">
        <v>23267041</v>
      </c>
      <c r="CC109" s="11" t="n">
        <v>-15694688</v>
      </c>
      <c r="CD109" s="11" t="n">
        <v>-7182626</v>
      </c>
      <c r="CE109" s="11" t="n">
        <v>-10084738</v>
      </c>
      <c r="CF109" s="11" t="n">
        <v>181218226</v>
      </c>
      <c r="CG109" s="11" t="n">
        <v>852002</v>
      </c>
      <c r="CH109" s="11" t="n">
        <v>-116053197</v>
      </c>
      <c r="CI109" s="11" t="n">
        <v>-157447431</v>
      </c>
      <c r="CJ109" s="11" t="n">
        <v>-34042132</v>
      </c>
      <c r="CK109" s="11" t="n">
        <v>187442850</v>
      </c>
      <c r="CL109" s="11" t="n">
        <v>-418000949</v>
      </c>
      <c r="CM109" s="11" t="n">
        <v>120049892</v>
      </c>
      <c r="CN109" s="11" t="n">
        <v>875972877</v>
      </c>
      <c r="CO109" s="11" t="n">
        <v>1322408556</v>
      </c>
      <c r="CP109" s="11" t="n">
        <v>-2553318168</v>
      </c>
      <c r="CQ109" s="11" t="n">
        <v>1071717072</v>
      </c>
      <c r="CR109" s="11" t="n">
        <v>1328776582</v>
      </c>
      <c r="CS109" s="11" t="n">
        <v>-2877645479</v>
      </c>
      <c r="CT109" s="11" t="n">
        <v>899627148</v>
      </c>
      <c r="CU109" s="11" t="n">
        <v>-471057524</v>
      </c>
      <c r="CV109" s="11" t="n">
        <v>-267585808</v>
      </c>
      <c r="CW109" s="11" t="n">
        <v>898415312</v>
      </c>
      <c r="CX109" s="11" t="n">
        <v>-17022271</v>
      </c>
      <c r="CY109" s="11" t="n">
        <v>47561250</v>
      </c>
      <c r="CZ109" s="11" t="n">
        <v>-266807120</v>
      </c>
      <c r="DA109" s="11" t="n">
        <v>30846227</v>
      </c>
      <c r="DB109" s="11" t="n">
        <v>-9981850</v>
      </c>
      <c r="DC109" s="11" t="n">
        <v>-12495331</v>
      </c>
      <c r="DD109" s="11" t="n">
        <v>-6309728</v>
      </c>
      <c r="DE109" s="11" t="n">
        <v>191368250</v>
      </c>
      <c r="DF109" s="11" t="n">
        <v>-458450</v>
      </c>
      <c r="DG109" s="11" t="n">
        <v>-121541607</v>
      </c>
      <c r="DH109" s="11" t="n">
        <v>-407582146</v>
      </c>
      <c r="DI109" s="11" t="n">
        <v>1760454728</v>
      </c>
      <c r="DJ109" s="11" t="n">
        <v>-287483361</v>
      </c>
      <c r="DK109" s="11" t="n">
        <v>1469627120</v>
      </c>
      <c r="DL109" s="11" t="n">
        <v>64662148</v>
      </c>
      <c r="DM109" s="11" t="n">
        <v>-1315877384</v>
      </c>
      <c r="DN109" s="11" t="n">
        <v>1331518506</v>
      </c>
      <c r="DO109" s="11" t="n">
        <v>-17499622</v>
      </c>
      <c r="DP109" s="11" t="n">
        <v>-863585725</v>
      </c>
      <c r="DQ109" s="11" t="n">
        <v>274341668</v>
      </c>
      <c r="DR109" s="11" t="n">
        <v>1139147</v>
      </c>
      <c r="DS109" s="11" t="n">
        <v>1049</v>
      </c>
      <c r="DT109" s="11" t="n">
        <v>-780379</v>
      </c>
      <c r="DU109" s="11" t="n">
        <v>-35003</v>
      </c>
      <c r="DV109" s="11" t="n">
        <v>535574</v>
      </c>
      <c r="DW109" s="11" t="n">
        <v>-20518</v>
      </c>
      <c r="DX109" s="11" t="n">
        <v>308842</v>
      </c>
      <c r="DY109" s="11" t="n">
        <v>-752467</v>
      </c>
      <c r="DZ109" s="11" t="n">
        <v>33332496</v>
      </c>
      <c r="EA109" s="11" t="n">
        <v>1405568</v>
      </c>
      <c r="EB109" s="11" t="n">
        <v>-26143942</v>
      </c>
      <c r="EC109" s="11" t="n">
        <v>53617257</v>
      </c>
      <c r="ED109" s="11" t="n">
        <v>-6593281</v>
      </c>
      <c r="EE109" s="11" t="n">
        <v>-484787</v>
      </c>
      <c r="EF109" s="11" t="n">
        <v>-21827</v>
      </c>
      <c r="EG109" s="11" t="n">
        <v>329700</v>
      </c>
      <c r="EH109" s="11" t="n">
        <v>35821</v>
      </c>
      <c r="EI109" s="11" t="n">
        <v>197935</v>
      </c>
      <c r="EJ109" s="11" t="n">
        <v>61328</v>
      </c>
      <c r="EK109" s="11" t="n">
        <v>2238662</v>
      </c>
      <c r="EL109" s="11" t="n">
        <v>-36130425</v>
      </c>
      <c r="EM109" s="11" t="n">
        <v>-4520239</v>
      </c>
      <c r="EN109" s="11" t="n">
        <v>142502</v>
      </c>
      <c r="EO109" s="11" t="n">
        <v>-1622201</v>
      </c>
      <c r="EP109" s="11" t="n">
        <v>-178479</v>
      </c>
      <c r="EQ109" s="11" t="n">
        <v>24737446</v>
      </c>
      <c r="ER109" s="11" t="n">
        <v>3988210</v>
      </c>
      <c r="ES109" s="11" t="n">
        <v>-14417788</v>
      </c>
      <c r="ET109" s="11" t="n">
        <v>21782</v>
      </c>
      <c r="EU109" s="11" t="n">
        <v>1373839</v>
      </c>
      <c r="EV109" s="11" t="n">
        <v>274412</v>
      </c>
      <c r="EW109" s="11" t="n">
        <v>315882</v>
      </c>
      <c r="EX109" s="11" t="n">
        <v>-898429</v>
      </c>
      <c r="EY109" s="11" t="n">
        <v>1233046</v>
      </c>
      <c r="EZ109" s="11" t="n">
        <v>16187</v>
      </c>
      <c r="FA109" s="11" t="n">
        <v>922</v>
      </c>
      <c r="FB109" s="11" t="n">
        <v>-9950</v>
      </c>
      <c r="FC109" s="11" t="n">
        <v>-435</v>
      </c>
      <c r="FD109" s="11" t="n">
        <v>-4770</v>
      </c>
      <c r="FE109" s="11" t="n">
        <v>-145773</v>
      </c>
      <c r="FF109" s="11" t="n">
        <v>-862312</v>
      </c>
      <c r="FG109" s="11" t="n">
        <v>640219</v>
      </c>
      <c r="FH109" s="11" t="n">
        <v>-1217176</v>
      </c>
      <c r="FI109" s="11" t="n">
        <v>-138722</v>
      </c>
      <c r="FJ109" s="11" t="n">
        <v>32549</v>
      </c>
      <c r="FK109" s="11" t="n">
        <v>-112286</v>
      </c>
      <c r="FL109" s="11" t="n">
        <v>-416710</v>
      </c>
      <c r="FM109" s="11" t="n">
        <v>494080</v>
      </c>
      <c r="FN109" s="11" t="n">
        <v>221370</v>
      </c>
      <c r="FO109" s="11" t="n">
        <v>-1544855</v>
      </c>
      <c r="FP109" s="11" t="n">
        <v>-208140</v>
      </c>
      <c r="FQ109" s="11" t="n">
        <v>291250</v>
      </c>
      <c r="FR109" s="11" t="n">
        <v>-431773</v>
      </c>
      <c r="FS109" s="11" t="n">
        <v>-688420</v>
      </c>
      <c r="FT109" s="11" t="n">
        <v>6334400</v>
      </c>
      <c r="FU109" s="11" t="n">
        <v>40773230</v>
      </c>
      <c r="FV109" s="11" t="n">
        <v>-90952581</v>
      </c>
      <c r="FW109" s="11" t="n">
        <v>44031725</v>
      </c>
      <c r="FX109" s="11" t="n">
        <v>6687640</v>
      </c>
      <c r="FY109" s="11" t="n">
        <v>-14024548</v>
      </c>
      <c r="FZ109" s="11" t="n">
        <v>3109700</v>
      </c>
      <c r="GA109" s="11" t="n">
        <v>5751452</v>
      </c>
      <c r="GB109" s="11" t="n">
        <v>-26470670</v>
      </c>
      <c r="GC109" s="11" t="n">
        <v>52836859</v>
      </c>
      <c r="GD109" s="11" t="n">
        <v>-89285</v>
      </c>
      <c r="GE109" s="11" t="n">
        <v>-489250</v>
      </c>
      <c r="GF109" s="11" t="n">
        <v>-351718</v>
      </c>
      <c r="GG109" s="11" t="n">
        <v>-849895</v>
      </c>
      <c r="GH109" s="11" t="n">
        <v>-82750</v>
      </c>
      <c r="GI109" s="11" t="n">
        <v>-22433</v>
      </c>
      <c r="GJ109" s="11" t="n">
        <v>-74720</v>
      </c>
      <c r="GK109" s="11" t="n">
        <v>203050</v>
      </c>
      <c r="GL109" s="11" t="n">
        <v>378250</v>
      </c>
      <c r="GM109" s="11" t="n">
        <v>-80805</v>
      </c>
      <c r="GN109" s="11" t="n">
        <v>-350410</v>
      </c>
      <c r="GO109" s="11" t="n">
        <v>6698767</v>
      </c>
      <c r="GP109" s="11" t="n">
        <v>940025</v>
      </c>
      <c r="GQ109" s="11" t="n">
        <v>38087218</v>
      </c>
      <c r="GR109" s="11" t="n">
        <v>8486520</v>
      </c>
      <c r="GS109" s="11" t="n">
        <v>-60061879</v>
      </c>
      <c r="GT109" s="11" t="n">
        <v>6296508</v>
      </c>
      <c r="GU109" s="11" t="n">
        <v>1164470</v>
      </c>
      <c r="GV109" s="11" t="n">
        <v>-5369819</v>
      </c>
      <c r="GW109" s="11" t="n">
        <v>25923970</v>
      </c>
      <c r="GX109" s="11" t="n">
        <v>-155560</v>
      </c>
      <c r="GY109" s="11" t="n">
        <v>-14470919</v>
      </c>
      <c r="GZ109" s="11" t="n">
        <v>-3508713</v>
      </c>
      <c r="HA109" s="11" t="n">
        <v>9950340</v>
      </c>
      <c r="HB109" s="11" t="n">
        <v>-21740546</v>
      </c>
      <c r="HC109" s="11" t="n">
        <v>2775713</v>
      </c>
      <c r="HD109" s="11" t="n">
        <v>-119893</v>
      </c>
      <c r="HE109" s="11" t="n">
        <v>-8011</v>
      </c>
      <c r="HF109" s="11" t="n">
        <v>82300</v>
      </c>
      <c r="HG109" s="11" t="n">
        <v>-22822</v>
      </c>
      <c r="HH109" s="11" t="n">
        <v>44731</v>
      </c>
      <c r="HI109" s="11" t="n">
        <v>1959010</v>
      </c>
      <c r="HJ109" s="11" t="n">
        <v>-12982</v>
      </c>
      <c r="HK109" s="11" t="n">
        <v>14632836</v>
      </c>
      <c r="HL109" s="11" t="n">
        <v>2021793</v>
      </c>
      <c r="HM109" s="11" t="n">
        <v>1343886</v>
      </c>
      <c r="HN109" s="11" t="n">
        <v>604832</v>
      </c>
      <c r="HO109" s="11" t="n">
        <v>865981</v>
      </c>
      <c r="HP109" s="11" t="n">
        <v>-10042172</v>
      </c>
      <c r="HQ109" s="11" t="n">
        <v>-1392694</v>
      </c>
      <c r="HR109" s="11" t="n">
        <v>5844234</v>
      </c>
      <c r="HS109" s="11" t="n">
        <v>14110639</v>
      </c>
      <c r="HT109" s="11" t="n">
        <v>2509633</v>
      </c>
      <c r="HU109" s="11" t="n">
        <v>-10142900</v>
      </c>
      <c r="HV109" s="11" t="n">
        <v>21682666</v>
      </c>
      <c r="HW109" s="11" t="n">
        <v>-2733873</v>
      </c>
      <c r="HX109" s="11" t="n">
        <v>-84812848</v>
      </c>
      <c r="HY109" s="11" t="n">
        <v>-40958014</v>
      </c>
      <c r="HZ109" s="11" t="n">
        <v>44967261</v>
      </c>
      <c r="IA109" s="11" t="n">
        <v>-2536453</v>
      </c>
      <c r="IB109" s="11" t="n">
        <v>-68249058</v>
      </c>
      <c r="IC109" s="11" t="n">
        <v>138322579</v>
      </c>
      <c r="ID109" s="11" t="n">
        <v>-16883227</v>
      </c>
      <c r="IE109" s="11" t="n">
        <v>30613816</v>
      </c>
      <c r="IF109" s="11" t="n">
        <v>-6112198</v>
      </c>
      <c r="IG109" s="11" t="n">
        <v>4814645</v>
      </c>
      <c r="IH109" s="11" t="n">
        <v>1207554</v>
      </c>
      <c r="II109" s="11" t="n">
        <v>-352000</v>
      </c>
      <c r="IJ109" s="11" t="n">
        <v>14641083</v>
      </c>
      <c r="IK109" s="11" t="n">
        <v>1950442</v>
      </c>
      <c r="IL109" s="11" t="n">
        <v>805400</v>
      </c>
      <c r="IM109" s="11" t="n">
        <v>748425</v>
      </c>
      <c r="IN109" s="11" t="n">
        <v>580852</v>
      </c>
      <c r="IO109" s="11" t="n">
        <v>-9983300</v>
      </c>
      <c r="IP109" s="11" t="n">
        <v>-1470200</v>
      </c>
      <c r="IQ109" s="11" t="n">
        <v>5833729</v>
      </c>
      <c r="IR109" s="11" t="n">
        <v>5620804</v>
      </c>
      <c r="IS109" s="11" t="n">
        <v>-91849302</v>
      </c>
      <c r="IT109" s="11" t="n">
        <v>-11506186</v>
      </c>
      <c r="IU109" s="11" t="n">
        <v>-41375958</v>
      </c>
      <c r="IV109" s="11" t="n">
        <v>-5724692</v>
      </c>
      <c r="IW109" s="11" t="n">
        <v>8847399</v>
      </c>
      <c r="IX109" s="11" t="n">
        <v>-64744250</v>
      </c>
      <c r="IY109" s="11" t="n">
        <v>-10377952</v>
      </c>
      <c r="IZ109" s="11" t="n">
        <v>37049551</v>
      </c>
      <c r="JA109" s="11" t="n">
        <v>10453454</v>
      </c>
      <c r="JB109" s="11" t="n">
        <v>-89094</v>
      </c>
      <c r="JC109" s="11" t="n">
        <v>-29618</v>
      </c>
      <c r="JD109" s="11" t="n">
        <v>233400</v>
      </c>
      <c r="JE109" s="11" t="n">
        <v>-538396</v>
      </c>
      <c r="JF109" s="11" t="n">
        <v>221458</v>
      </c>
      <c r="JG109" s="11" t="n">
        <v>-745657</v>
      </c>
      <c r="JH109" s="11" t="n">
        <v>16013094</v>
      </c>
      <c r="JI109" s="11" t="n">
        <v>-37632635</v>
      </c>
      <c r="JJ109" s="11" t="n">
        <v>19011323</v>
      </c>
      <c r="JK109" s="11" t="n">
        <v>3369918</v>
      </c>
      <c r="JL109" s="11" t="n">
        <v>-8004407</v>
      </c>
      <c r="JM109" s="11" t="n">
        <v>4466582</v>
      </c>
      <c r="JN109" s="11" t="n">
        <v>1819104</v>
      </c>
      <c r="JO109" s="11" t="n">
        <v>-10000842</v>
      </c>
      <c r="JP109" s="11" t="n">
        <v>21343437</v>
      </c>
      <c r="JQ109" s="11" t="n">
        <v>-18239</v>
      </c>
      <c r="JR109" s="11" t="n">
        <v>132750</v>
      </c>
      <c r="JS109" s="11" t="n">
        <v>-401881</v>
      </c>
      <c r="JT109" s="11" t="n">
        <v>145063</v>
      </c>
      <c r="JU109" s="11" t="n">
        <v>-3650</v>
      </c>
      <c r="JV109" s="11" t="n">
        <v>-23381</v>
      </c>
      <c r="JW109" s="11" t="n">
        <v>2888</v>
      </c>
      <c r="JX109" s="11" t="n">
        <v>250600</v>
      </c>
      <c r="JY109" s="11" t="n">
        <v>-50050</v>
      </c>
      <c r="JZ109" s="11" t="n">
        <v>-122325</v>
      </c>
      <c r="KA109" s="11" t="n">
        <v>-2167114</v>
      </c>
      <c r="KB109" s="11" t="n">
        <v>4340542</v>
      </c>
      <c r="KC109" s="11" t="n">
        <v>-2677849</v>
      </c>
      <c r="KD109" s="11" t="n">
        <v>16158506</v>
      </c>
      <c r="KE109" s="11" t="n">
        <v>2254312</v>
      </c>
      <c r="KF109" s="11" t="n">
        <v>-24481857</v>
      </c>
      <c r="KG109" s="11" t="n">
        <v>3646706</v>
      </c>
      <c r="KH109" s="11" t="n">
        <v>-879038</v>
      </c>
      <c r="KI109" s="11" t="n">
        <v>-2745507</v>
      </c>
      <c r="KJ109" s="11" t="n">
        <v>10347750</v>
      </c>
      <c r="KK109" s="11" t="n">
        <v>1249265</v>
      </c>
      <c r="KL109" s="11" t="n">
        <v>-15362250</v>
      </c>
      <c r="KM109" s="11" t="n">
        <v>36418849</v>
      </c>
      <c r="KN109" s="11" t="n">
        <v>-18522385</v>
      </c>
      <c r="KO109" s="11" t="n">
        <v>-1834250</v>
      </c>
      <c r="KP109" s="11" t="n">
        <v>4557593</v>
      </c>
      <c r="KQ109" s="11" t="n">
        <v>-3052240</v>
      </c>
      <c r="KR109" s="11" t="n">
        <v>-2572400</v>
      </c>
      <c r="KS109" s="11" t="n">
        <v>10337750</v>
      </c>
      <c r="KT109" s="11" t="n">
        <v>-21405847</v>
      </c>
      <c r="KU109" s="11" t="n">
        <v>95961890</v>
      </c>
      <c r="KV109" s="11" t="n">
        <v>-222878803</v>
      </c>
      <c r="KW109" s="11" t="n">
        <v>111554475</v>
      </c>
      <c r="KX109" s="11" t="n">
        <v>-56754724</v>
      </c>
      <c r="KY109" s="11" t="n">
        <v>51002260</v>
      </c>
      <c r="KZ109" s="11" t="n">
        <v>-52479992</v>
      </c>
      <c r="LA109" s="11" t="n">
        <v>-22845268</v>
      </c>
      <c r="LB109" s="11" t="n">
        <v>70665490</v>
      </c>
      <c r="LC109" s="11" t="n">
        <v>-137568653</v>
      </c>
      <c r="LD109" s="11" t="n">
        <v>-29651772</v>
      </c>
      <c r="LE109" s="11" t="n">
        <v>-1283500</v>
      </c>
      <c r="LF109" s="11" t="n">
        <v>1820409</v>
      </c>
      <c r="LG109" s="11" t="n">
        <v>-1757780</v>
      </c>
      <c r="LH109" s="11" t="n">
        <v>15031250</v>
      </c>
      <c r="LI109" s="11" t="n">
        <v>2585500</v>
      </c>
      <c r="LJ109" s="11" t="n">
        <v>-24252667</v>
      </c>
      <c r="LK109" s="11" t="n">
        <v>2009650</v>
      </c>
      <c r="LL109" s="11" t="n">
        <v>-555000</v>
      </c>
      <c r="LM109" s="11" t="n">
        <v>-1965092</v>
      </c>
      <c r="LN109" s="11" t="n">
        <v>10547950</v>
      </c>
      <c r="LO109" s="11" t="n">
        <v>-89152466</v>
      </c>
      <c r="LP109" s="11" t="n">
        <v>-20411780</v>
      </c>
      <c r="LQ109" s="11" t="n">
        <v>151046521</v>
      </c>
      <c r="LR109" s="11" t="n">
        <v>59455292</v>
      </c>
      <c r="LS109" s="11" t="n">
        <v>70510442</v>
      </c>
    </row>
    <row r="110" customFormat="false" ht="15" hidden="false" customHeight="true" outlineLevel="0" collapsed="false">
      <c r="A110" s="7" t="s">
        <v>176</v>
      </c>
      <c r="B110" s="11" t="n">
        <v>-3765219</v>
      </c>
      <c r="C110" s="11" t="n">
        <v>-191768171</v>
      </c>
      <c r="D110" s="11" t="n">
        <v>-3611410</v>
      </c>
      <c r="E110" s="11" t="n">
        <v>133354249</v>
      </c>
      <c r="F110" s="11" t="n">
        <v>-3520591</v>
      </c>
      <c r="G110" s="11" t="n">
        <v>-148149460</v>
      </c>
      <c r="H110" s="11" t="n">
        <v>198889389</v>
      </c>
      <c r="I110" s="11" t="n">
        <v>-12283349</v>
      </c>
      <c r="J110" s="11" t="n">
        <v>19401600</v>
      </c>
      <c r="K110" s="11" t="n">
        <v>28872</v>
      </c>
      <c r="L110" s="11" t="n">
        <v>-15713067</v>
      </c>
      <c r="M110" s="11" t="n">
        <v>-593934</v>
      </c>
      <c r="N110" s="11" t="n">
        <v>11995122</v>
      </c>
      <c r="O110" s="11" t="n">
        <v>-2146815</v>
      </c>
      <c r="P110" s="11" t="n">
        <v>13293684</v>
      </c>
      <c r="Q110" s="11" t="n">
        <v>-17138552</v>
      </c>
      <c r="R110" s="11" t="n">
        <v>-113135603</v>
      </c>
      <c r="S110" s="11" t="n">
        <v>-48391006</v>
      </c>
      <c r="T110" s="11" t="n">
        <v>-152462302</v>
      </c>
      <c r="U110" s="11" t="n">
        <v>915506265</v>
      </c>
      <c r="V110" s="11" t="n">
        <v>613772756</v>
      </c>
      <c r="W110" s="11" t="n">
        <v>-14048618</v>
      </c>
      <c r="X110" s="11" t="n">
        <v>-596668</v>
      </c>
      <c r="Y110" s="11" t="n">
        <v>10369100</v>
      </c>
      <c r="Z110" s="11" t="n">
        <v>-534018</v>
      </c>
      <c r="AA110" s="11" t="n">
        <v>12656448</v>
      </c>
      <c r="AB110" s="11" t="n">
        <v>35727777</v>
      </c>
      <c r="AC110" s="11" t="n">
        <v>193423518</v>
      </c>
      <c r="AD110" s="11" t="n">
        <v>-753973512</v>
      </c>
      <c r="AE110" s="11" t="n">
        <v>-419566607</v>
      </c>
      <c r="AF110" s="11" t="n">
        <v>34585218</v>
      </c>
      <c r="AG110" s="11" t="n">
        <v>-33380589</v>
      </c>
      <c r="AH110" s="11" t="n">
        <v>14367590</v>
      </c>
      <c r="AI110" s="11" t="n">
        <v>549145482</v>
      </c>
      <c r="AJ110" s="11" t="n">
        <v>483932498</v>
      </c>
      <c r="AK110" s="11" t="n">
        <v>-695205939</v>
      </c>
      <c r="AL110" s="11" t="n">
        <v>100688496</v>
      </c>
      <c r="AM110" s="11" t="n">
        <v>-108903</v>
      </c>
      <c r="AN110" s="11" t="n">
        <v>-81126360</v>
      </c>
      <c r="AO110" s="11" t="n">
        <v>-10054590</v>
      </c>
      <c r="AP110" s="11" t="n">
        <v>70853472</v>
      </c>
      <c r="AQ110" s="11" t="n">
        <v>-79679631</v>
      </c>
      <c r="AR110" s="11" t="n">
        <v>16189872</v>
      </c>
      <c r="AS110" s="11" t="n">
        <v>-102121967</v>
      </c>
      <c r="AT110" s="11" t="n">
        <v>-565761224</v>
      </c>
      <c r="AU110" s="11" t="n">
        <v>-606241854</v>
      </c>
      <c r="AV110" s="11" t="n">
        <v>-353101792</v>
      </c>
      <c r="AW110" s="11" t="n">
        <v>1260446297</v>
      </c>
      <c r="AX110" s="11" t="n">
        <v>496096032</v>
      </c>
      <c r="AY110" s="11" t="n">
        <v>-81669413</v>
      </c>
      <c r="AZ110" s="11" t="n">
        <v>-9542033</v>
      </c>
      <c r="BA110" s="11" t="n">
        <v>72244100</v>
      </c>
      <c r="BB110" s="11" t="n">
        <v>-82177283</v>
      </c>
      <c r="BC110" s="11" t="n">
        <v>15883793</v>
      </c>
      <c r="BD110" s="11" t="n">
        <v>431962930</v>
      </c>
      <c r="BE110" s="11" t="n">
        <v>682620288</v>
      </c>
      <c r="BF110" s="11" t="n">
        <v>-1463276059</v>
      </c>
      <c r="BG110" s="11" t="n">
        <v>-308742952</v>
      </c>
      <c r="BH110" s="11" t="n">
        <v>461866408</v>
      </c>
      <c r="BI110" s="11" t="n">
        <v>-605614349</v>
      </c>
      <c r="BJ110" s="11" t="n">
        <v>47939298</v>
      </c>
      <c r="BK110" s="11" t="n">
        <v>607536892</v>
      </c>
      <c r="BL110" s="11" t="n">
        <v>405873568</v>
      </c>
      <c r="BM110" s="11" t="n">
        <v>-595253831</v>
      </c>
      <c r="BN110" s="11" t="n">
        <v>1333248</v>
      </c>
      <c r="BO110" s="11" t="n">
        <v>-2162928</v>
      </c>
      <c r="BP110" s="11" t="n">
        <v>35926944</v>
      </c>
      <c r="BQ110" s="11" t="n">
        <v>-44326752</v>
      </c>
      <c r="BR110" s="11" t="n">
        <v>353167440</v>
      </c>
      <c r="BS110" s="11" t="n">
        <v>272072256</v>
      </c>
      <c r="BT110" s="11" t="n">
        <v>1076559</v>
      </c>
      <c r="BU110" s="11" t="n">
        <v>94278</v>
      </c>
      <c r="BV110" s="11" t="n">
        <v>-890250</v>
      </c>
      <c r="BW110" s="11" t="n">
        <v>673083</v>
      </c>
      <c r="BX110" s="11" t="n">
        <v>-508644</v>
      </c>
      <c r="BY110" s="11" t="n">
        <v>-29162910</v>
      </c>
      <c r="BZ110" s="11" t="n">
        <v>37236816</v>
      </c>
      <c r="CA110" s="11" t="n">
        <v>-286264383</v>
      </c>
      <c r="CB110" s="11" t="n">
        <v>-218865264</v>
      </c>
      <c r="CC110" s="11" t="n">
        <v>-20855028</v>
      </c>
      <c r="CD110" s="11" t="n">
        <v>-6836016</v>
      </c>
      <c r="CE110" s="11" t="n">
        <v>-32945448</v>
      </c>
      <c r="CF110" s="11" t="n">
        <v>213442458</v>
      </c>
      <c r="CG110" s="11" t="n">
        <v>198581856</v>
      </c>
      <c r="CH110" s="11" t="n">
        <v>-272090196</v>
      </c>
      <c r="CI110" s="11" t="n">
        <v>9685143</v>
      </c>
      <c r="CJ110" s="11" t="n">
        <v>-28410986</v>
      </c>
      <c r="CK110" s="11" t="n">
        <v>49633350</v>
      </c>
      <c r="CL110" s="11" t="n">
        <v>-374885341</v>
      </c>
      <c r="CM110" s="11" t="n">
        <v>-282514628</v>
      </c>
      <c r="CN110" s="11" t="n">
        <v>-214893758</v>
      </c>
      <c r="CO110" s="11" t="n">
        <v>241483632</v>
      </c>
      <c r="CP110" s="11" t="n">
        <v>-1957345639</v>
      </c>
      <c r="CQ110" s="11" t="n">
        <v>-1518097088</v>
      </c>
      <c r="CR110" s="11" t="n">
        <v>392881036</v>
      </c>
      <c r="CS110" s="11" t="n">
        <v>-2576151968</v>
      </c>
      <c r="CT110" s="11" t="n">
        <v>-1815150792</v>
      </c>
      <c r="CU110" s="11" t="n">
        <v>-683618966</v>
      </c>
      <c r="CV110" s="11" t="n">
        <v>-735723328</v>
      </c>
      <c r="CW110" s="11" t="n">
        <v>1665806012</v>
      </c>
      <c r="CX110" s="11" t="n">
        <v>-23625911</v>
      </c>
      <c r="CY110" s="11" t="n">
        <v>46544550</v>
      </c>
      <c r="CZ110" s="11" t="n">
        <v>-307598506</v>
      </c>
      <c r="DA110" s="11" t="n">
        <v>-224427395</v>
      </c>
      <c r="DB110" s="11" t="n">
        <v>-15461150</v>
      </c>
      <c r="DC110" s="11" t="n">
        <v>-12166145</v>
      </c>
      <c r="DD110" s="11" t="n">
        <v>-30816466</v>
      </c>
      <c r="DE110" s="11" t="n">
        <v>225265150</v>
      </c>
      <c r="DF110" s="11" t="n">
        <v>207579050</v>
      </c>
      <c r="DG110" s="11" t="n">
        <v>-285647511</v>
      </c>
      <c r="DH110" s="11" t="n">
        <v>-443655036</v>
      </c>
      <c r="DI110" s="11" t="n">
        <v>2050245933</v>
      </c>
      <c r="DJ110" s="11" t="n">
        <v>1276348694</v>
      </c>
      <c r="DK110" s="11" t="n">
        <v>1737069606</v>
      </c>
      <c r="DL110" s="11" t="n">
        <v>1699882320</v>
      </c>
      <c r="DM110" s="11" t="n">
        <v>-2858234861</v>
      </c>
      <c r="DN110" s="11" t="n">
        <v>1570171470</v>
      </c>
      <c r="DO110" s="11" t="n">
        <v>1413943316</v>
      </c>
      <c r="DP110" s="11" t="n">
        <v>-2016984268</v>
      </c>
      <c r="DQ110" s="11" t="n">
        <v>480077414</v>
      </c>
      <c r="DR110" s="11" t="n">
        <v>3233638</v>
      </c>
      <c r="DS110" s="11" t="n">
        <v>437</v>
      </c>
      <c r="DT110" s="11" t="n">
        <v>-2505281</v>
      </c>
      <c r="DU110" s="11" t="n">
        <v>-137053</v>
      </c>
      <c r="DV110" s="11" t="n">
        <v>1596512</v>
      </c>
      <c r="DW110" s="11" t="n">
        <v>-9411</v>
      </c>
      <c r="DX110" s="11" t="n">
        <v>1041577</v>
      </c>
      <c r="DY110" s="11" t="n">
        <v>-3079287</v>
      </c>
      <c r="DZ110" s="11" t="n">
        <v>-13070631</v>
      </c>
      <c r="EA110" s="11" t="n">
        <v>-10003859</v>
      </c>
      <c r="EB110" s="11" t="n">
        <v>-45920712</v>
      </c>
      <c r="EC110" s="11" t="n">
        <v>170330479</v>
      </c>
      <c r="ED110" s="11" t="n">
        <v>42499895</v>
      </c>
      <c r="EE110" s="11" t="n">
        <v>-2387463</v>
      </c>
      <c r="EF110" s="11" t="n">
        <v>-131863</v>
      </c>
      <c r="EG110" s="11" t="n">
        <v>1514100</v>
      </c>
      <c r="EH110" s="11" t="n">
        <v>14057</v>
      </c>
      <c r="EI110" s="11" t="n">
        <v>997603</v>
      </c>
      <c r="EJ110" s="11" t="n">
        <v>7196572</v>
      </c>
      <c r="EK110" s="11" t="n">
        <v>42030588</v>
      </c>
      <c r="EL110" s="11" t="n">
        <v>-132002630</v>
      </c>
      <c r="EM110" s="11" t="n">
        <v>-28716916</v>
      </c>
      <c r="EN110" s="11" t="n">
        <v>6885388</v>
      </c>
      <c r="EO110" s="11" t="n">
        <v>-7248322</v>
      </c>
      <c r="EP110" s="11" t="n">
        <v>1421016</v>
      </c>
      <c r="EQ110" s="11" t="n">
        <v>83961932</v>
      </c>
      <c r="ER110" s="11" t="n">
        <v>35774428</v>
      </c>
      <c r="ES110" s="11" t="n">
        <v>-54988306</v>
      </c>
      <c r="ET110" s="11" t="n">
        <v>22544</v>
      </c>
      <c r="EU110" s="11" t="n">
        <v>-585334</v>
      </c>
      <c r="EV110" s="11" t="n">
        <v>196132</v>
      </c>
      <c r="EW110" s="11" t="n">
        <v>2075044</v>
      </c>
      <c r="EX110" s="11" t="n">
        <v>-1795230</v>
      </c>
      <c r="EY110" s="11" t="n">
        <v>6049768</v>
      </c>
      <c r="EZ110" s="11" t="n">
        <v>17387</v>
      </c>
      <c r="FA110" s="11" t="n">
        <v>982</v>
      </c>
      <c r="FB110" s="11" t="n">
        <v>-10850</v>
      </c>
      <c r="FC110" s="11" t="n">
        <v>-177</v>
      </c>
      <c r="FD110" s="11" t="n">
        <v>-6444</v>
      </c>
      <c r="FE110" s="11" t="n">
        <v>-176763</v>
      </c>
      <c r="FF110" s="11" t="n">
        <v>-1318662</v>
      </c>
      <c r="FG110" s="11" t="n">
        <v>1389162</v>
      </c>
      <c r="FH110" s="11" t="n">
        <v>-4498555</v>
      </c>
      <c r="FI110" s="11" t="n">
        <v>-184782</v>
      </c>
      <c r="FJ110" s="11" t="n">
        <v>76659</v>
      </c>
      <c r="FK110" s="11" t="n">
        <v>-319586</v>
      </c>
      <c r="FL110" s="11" t="n">
        <v>-880302</v>
      </c>
      <c r="FM110" s="11" t="n">
        <v>2318506</v>
      </c>
      <c r="FN110" s="11" t="n">
        <v>560649</v>
      </c>
      <c r="FO110" s="11" t="n">
        <v>648519</v>
      </c>
      <c r="FP110" s="11" t="n">
        <v>-117026</v>
      </c>
      <c r="FQ110" s="11" t="n">
        <v>-1655850</v>
      </c>
      <c r="FR110" s="11" t="n">
        <v>522043</v>
      </c>
      <c r="FS110" s="11" t="n">
        <v>-6057292</v>
      </c>
      <c r="FT110" s="11" t="n">
        <v>-2603621</v>
      </c>
      <c r="FU110" s="11" t="n">
        <v>-16699794</v>
      </c>
      <c r="FV110" s="11" t="n">
        <v>38088682</v>
      </c>
      <c r="FW110" s="11" t="n">
        <v>-16760581</v>
      </c>
      <c r="FX110" s="11" t="n">
        <v>-3634274</v>
      </c>
      <c r="FY110" s="11" t="n">
        <v>-4777291</v>
      </c>
      <c r="FZ110" s="11" t="n">
        <v>-21293854</v>
      </c>
      <c r="GA110" s="11" t="n">
        <v>-83808082</v>
      </c>
      <c r="GB110" s="11" t="n">
        <v>-113184842</v>
      </c>
      <c r="GC110" s="11" t="n">
        <v>342263719</v>
      </c>
      <c r="GD110" s="11" t="n">
        <v>-118505</v>
      </c>
      <c r="GE110" s="11" t="n">
        <v>-964950</v>
      </c>
      <c r="GF110" s="11" t="n">
        <v>407716</v>
      </c>
      <c r="GG110" s="11" t="n">
        <v>-4486297</v>
      </c>
      <c r="GH110" s="11" t="n">
        <v>-128450</v>
      </c>
      <c r="GI110" s="11" t="n">
        <v>21821</v>
      </c>
      <c r="GJ110" s="11" t="n">
        <v>-297302</v>
      </c>
      <c r="GK110" s="11" t="n">
        <v>-264250</v>
      </c>
      <c r="GL110" s="11" t="n">
        <v>2441950</v>
      </c>
      <c r="GM110" s="11" t="n">
        <v>196779</v>
      </c>
      <c r="GN110" s="11" t="n">
        <v>822420</v>
      </c>
      <c r="GO110" s="11" t="n">
        <v>5323146</v>
      </c>
      <c r="GP110" s="11" t="n">
        <v>14948528</v>
      </c>
      <c r="GQ110" s="11" t="n">
        <v>46174284</v>
      </c>
      <c r="GR110" s="11" t="n">
        <v>90586572</v>
      </c>
      <c r="GS110" s="11" t="n">
        <v>-252951082</v>
      </c>
      <c r="GT110" s="11" t="n">
        <v>5921304</v>
      </c>
      <c r="GU110" s="11" t="n">
        <v>14139752</v>
      </c>
      <c r="GV110" s="11" t="n">
        <v>-16107116</v>
      </c>
      <c r="GW110" s="11" t="n">
        <v>141657904</v>
      </c>
      <c r="GX110" s="11" t="n">
        <v>-105214</v>
      </c>
      <c r="GY110" s="11" t="n">
        <v>-2677216</v>
      </c>
      <c r="GZ110" s="11" t="n">
        <v>-4970028</v>
      </c>
      <c r="HA110" s="11" t="n">
        <v>18156736</v>
      </c>
      <c r="HB110" s="11" t="n">
        <v>-68178638</v>
      </c>
      <c r="HC110" s="11" t="n">
        <v>-13949424</v>
      </c>
      <c r="HD110" s="11" t="n">
        <v>-81877</v>
      </c>
      <c r="HE110" s="11" t="n">
        <v>-5131</v>
      </c>
      <c r="HF110" s="11" t="n">
        <v>54400</v>
      </c>
      <c r="HG110" s="11" t="n">
        <v>-9520</v>
      </c>
      <c r="HH110" s="11" t="n">
        <v>32005</v>
      </c>
      <c r="HI110" s="11" t="n">
        <v>3737090</v>
      </c>
      <c r="HJ110" s="11" t="n">
        <v>-12745248</v>
      </c>
      <c r="HK110" s="11" t="n">
        <v>52814029</v>
      </c>
      <c r="HL110" s="11" t="n">
        <v>11669752</v>
      </c>
      <c r="HM110" s="11" t="n">
        <v>1684256</v>
      </c>
      <c r="HN110" s="11" t="n">
        <v>2875187</v>
      </c>
      <c r="HO110" s="11" t="n">
        <v>2192106</v>
      </c>
      <c r="HP110" s="11" t="n">
        <v>-33608320</v>
      </c>
      <c r="HQ110" s="11" t="n">
        <v>-12735520</v>
      </c>
      <c r="HR110" s="11" t="n">
        <v>22001405</v>
      </c>
      <c r="HS110" s="11" t="n">
        <v>2124141</v>
      </c>
      <c r="HT110" s="11" t="n">
        <v>4407295</v>
      </c>
      <c r="HU110" s="11" t="n">
        <v>-18784200</v>
      </c>
      <c r="HV110" s="11" t="n">
        <v>70466374</v>
      </c>
      <c r="HW110" s="11" t="n">
        <v>14666411</v>
      </c>
      <c r="HX110" s="11" t="n">
        <v>11806798</v>
      </c>
      <c r="HY110" s="11" t="n">
        <v>-111410016</v>
      </c>
      <c r="HZ110" s="11" t="n">
        <v>416604859</v>
      </c>
      <c r="IA110" s="11" t="n">
        <v>91571528</v>
      </c>
      <c r="IB110" s="11" t="n">
        <v>-126750320</v>
      </c>
      <c r="IC110" s="11" t="n">
        <v>472717333</v>
      </c>
      <c r="ID110" s="11" t="n">
        <v>108476502</v>
      </c>
      <c r="IE110" s="11" t="n">
        <v>11802824</v>
      </c>
      <c r="IF110" s="11" t="n">
        <v>-40540064</v>
      </c>
      <c r="IG110" s="11" t="n">
        <v>161296003</v>
      </c>
      <c r="IH110" s="11" t="n">
        <v>3326146</v>
      </c>
      <c r="II110" s="11" t="n">
        <v>-13519500</v>
      </c>
      <c r="IJ110" s="11" t="n">
        <v>54644377</v>
      </c>
      <c r="IK110" s="11" t="n">
        <v>12059468</v>
      </c>
      <c r="IL110" s="11" t="n">
        <v>1362700</v>
      </c>
      <c r="IM110" s="11" t="n">
        <v>3037671</v>
      </c>
      <c r="IN110" s="11" t="n">
        <v>2055894</v>
      </c>
      <c r="IO110" s="11" t="n">
        <v>-34734400</v>
      </c>
      <c r="IP110" s="11" t="n">
        <v>-13297100</v>
      </c>
      <c r="IQ110" s="11" t="n">
        <v>22762185</v>
      </c>
      <c r="IR110" s="11" t="n">
        <v>99307896</v>
      </c>
      <c r="IS110" s="11" t="n">
        <v>-348617848</v>
      </c>
      <c r="IT110" s="11" t="n">
        <v>-76358664</v>
      </c>
      <c r="IU110" s="11" t="n">
        <v>-214506252</v>
      </c>
      <c r="IV110" s="11" t="n">
        <v>-49687968</v>
      </c>
      <c r="IW110" s="11" t="n">
        <v>9492716</v>
      </c>
      <c r="IX110" s="11" t="n">
        <v>-233521396</v>
      </c>
      <c r="IY110" s="11" t="n">
        <v>-92665944</v>
      </c>
      <c r="IZ110" s="11" t="n">
        <v>145744908</v>
      </c>
      <c r="JA110" s="11" t="n">
        <v>83318860</v>
      </c>
      <c r="JB110" s="11" t="n">
        <v>-37710</v>
      </c>
      <c r="JC110" s="11" t="n">
        <v>-28268</v>
      </c>
      <c r="JD110" s="11" t="n">
        <v>194100</v>
      </c>
      <c r="JE110" s="11" t="n">
        <v>-533734</v>
      </c>
      <c r="JF110" s="11" t="n">
        <v>99592</v>
      </c>
      <c r="JG110" s="11" t="n">
        <v>1062028</v>
      </c>
      <c r="JH110" s="11" t="n">
        <v>-1568640</v>
      </c>
      <c r="JI110" s="11" t="n">
        <v>10854974</v>
      </c>
      <c r="JJ110" s="11" t="n">
        <v>7533808</v>
      </c>
      <c r="JK110" s="11" t="n">
        <v>4290568</v>
      </c>
      <c r="JL110" s="11" t="n">
        <v>-6894512</v>
      </c>
      <c r="JM110" s="11" t="n">
        <v>8452272</v>
      </c>
      <c r="JN110" s="11" t="n">
        <v>-33670484</v>
      </c>
      <c r="JO110" s="11" t="n">
        <v>-42920608</v>
      </c>
      <c r="JP110" s="11" t="n">
        <v>135298808</v>
      </c>
      <c r="JQ110" s="11" t="n">
        <v>-20159</v>
      </c>
      <c r="JR110" s="11" t="n">
        <v>131550</v>
      </c>
      <c r="JS110" s="11" t="n">
        <v>-411937</v>
      </c>
      <c r="JT110" s="11" t="n">
        <v>66031</v>
      </c>
      <c r="JU110" s="11" t="n">
        <v>-5150</v>
      </c>
      <c r="JV110" s="11" t="n">
        <v>-23471</v>
      </c>
      <c r="JW110" s="11" t="n">
        <v>-3742</v>
      </c>
      <c r="JX110" s="11" t="n">
        <v>258400</v>
      </c>
      <c r="JY110" s="11" t="n">
        <v>7550</v>
      </c>
      <c r="JZ110" s="11" t="n">
        <v>-153345</v>
      </c>
      <c r="KA110" s="11" t="n">
        <v>-2866284</v>
      </c>
      <c r="KB110" s="11" t="n">
        <v>5798547</v>
      </c>
      <c r="KC110" s="11" t="n">
        <v>-5887054</v>
      </c>
      <c r="KD110" s="11" t="n">
        <v>20731662</v>
      </c>
      <c r="KE110" s="11" t="n">
        <v>29028144</v>
      </c>
      <c r="KF110" s="11" t="n">
        <v>-101305199</v>
      </c>
      <c r="KG110" s="11" t="n">
        <v>4818546</v>
      </c>
      <c r="KH110" s="11" t="n">
        <v>-971908</v>
      </c>
      <c r="KI110" s="11" t="n">
        <v>-7930612</v>
      </c>
      <c r="KJ110" s="11" t="n">
        <v>55829330</v>
      </c>
      <c r="KK110" s="11" t="n">
        <v>-1008933</v>
      </c>
      <c r="KL110" s="11" t="n">
        <v>2813850</v>
      </c>
      <c r="KM110" s="11" t="n">
        <v>-14480589</v>
      </c>
      <c r="KN110" s="11" t="n">
        <v>-7267263</v>
      </c>
      <c r="KO110" s="11" t="n">
        <v>-3083850</v>
      </c>
      <c r="KP110" s="11" t="n">
        <v>3425207</v>
      </c>
      <c r="KQ110" s="11" t="n">
        <v>-8112242</v>
      </c>
      <c r="KR110" s="11" t="n">
        <v>34707900</v>
      </c>
      <c r="KS110" s="11" t="n">
        <v>44837250</v>
      </c>
      <c r="KT110" s="11" t="n">
        <v>-141101463</v>
      </c>
      <c r="KU110" s="11" t="n">
        <v>-37277508</v>
      </c>
      <c r="KV110" s="11" t="n">
        <v>117391925</v>
      </c>
      <c r="KW110" s="11" t="n">
        <v>3100750</v>
      </c>
      <c r="KX110" s="11" t="n">
        <v>207622314</v>
      </c>
      <c r="KY110" s="11" t="n">
        <v>259859088</v>
      </c>
      <c r="KZ110" s="11" t="n">
        <v>-801061425</v>
      </c>
      <c r="LA110" s="11" t="n">
        <v>232261118</v>
      </c>
      <c r="LB110" s="11" t="n">
        <v>309204292</v>
      </c>
      <c r="LC110" s="11" t="n">
        <v>-954406700</v>
      </c>
      <c r="LD110" s="11" t="n">
        <v>-103079538</v>
      </c>
      <c r="LE110" s="11" t="n">
        <v>-2015400</v>
      </c>
      <c r="LF110" s="11" t="n">
        <v>3280367</v>
      </c>
      <c r="LG110" s="11" t="n">
        <v>-5651594</v>
      </c>
      <c r="LH110" s="11" t="n">
        <v>19777050</v>
      </c>
      <c r="LI110" s="11" t="n">
        <v>30278700</v>
      </c>
      <c r="LJ110" s="11" t="n">
        <v>-104742039</v>
      </c>
      <c r="LK110" s="11" t="n">
        <v>3184550</v>
      </c>
      <c r="LL110" s="11" t="n">
        <v>-1069700</v>
      </c>
      <c r="LM110" s="11" t="n">
        <v>-7189032</v>
      </c>
      <c r="LN110" s="11" t="n">
        <v>58340550</v>
      </c>
      <c r="LO110" s="11" t="n">
        <v>-113295708</v>
      </c>
      <c r="LP110" s="11" t="n">
        <v>-215005944</v>
      </c>
      <c r="LQ110" s="11" t="n">
        <v>667658900</v>
      </c>
      <c r="LR110" s="11" t="n">
        <v>407728764</v>
      </c>
      <c r="LS110" s="11" t="n">
        <v>399865832</v>
      </c>
    </row>
    <row r="111" customFormat="false" ht="15" hidden="false" customHeight="true" outlineLevel="0" collapsed="false">
      <c r="A111" s="7" t="s">
        <v>177</v>
      </c>
      <c r="B111" s="11" t="n">
        <v>-17093965</v>
      </c>
      <c r="C111" s="11" t="n">
        <v>1158742416</v>
      </c>
      <c r="D111" s="11" t="n">
        <v>-13224848</v>
      </c>
      <c r="E111" s="11" t="n">
        <v>-636155517</v>
      </c>
      <c r="F111" s="11" t="n">
        <v>-59024369</v>
      </c>
      <c r="G111" s="11" t="n">
        <v>242465602</v>
      </c>
      <c r="H111" s="11" t="n">
        <v>841373406</v>
      </c>
      <c r="I111" s="11" t="n">
        <v>409930636</v>
      </c>
      <c r="J111" s="11" t="n">
        <v>-38181113</v>
      </c>
      <c r="K111" s="11" t="n">
        <v>-66206</v>
      </c>
      <c r="L111" s="11" t="n">
        <v>5912271</v>
      </c>
      <c r="M111" s="11" t="n">
        <v>-18498</v>
      </c>
      <c r="N111" s="11" t="n">
        <v>-2476056</v>
      </c>
      <c r="O111" s="11" t="n">
        <v>-5915208</v>
      </c>
      <c r="P111" s="11" t="n">
        <v>31377977</v>
      </c>
      <c r="Q111" s="11" t="n">
        <v>34026928</v>
      </c>
      <c r="R111" s="11" t="n">
        <v>1020145209</v>
      </c>
      <c r="S111" s="11" t="n">
        <v>133090861</v>
      </c>
      <c r="T111" s="11" t="n">
        <v>-373728122</v>
      </c>
      <c r="U111" s="11" t="n">
        <v>-1478321190</v>
      </c>
      <c r="V111" s="11" t="n">
        <v>-3042629420</v>
      </c>
      <c r="W111" s="11" t="n">
        <v>7037934</v>
      </c>
      <c r="X111" s="11" t="n">
        <v>214294</v>
      </c>
      <c r="Y111" s="11" t="n">
        <v>-2854700</v>
      </c>
      <c r="Z111" s="11" t="n">
        <v>-7835028</v>
      </c>
      <c r="AA111" s="11" t="n">
        <v>22688072</v>
      </c>
      <c r="AB111" s="11" t="n">
        <v>-21103101</v>
      </c>
      <c r="AC111" s="11" t="n">
        <v>-8285634</v>
      </c>
      <c r="AD111" s="11" t="n">
        <v>70869186</v>
      </c>
      <c r="AE111" s="11" t="n">
        <v>1309520301</v>
      </c>
      <c r="AF111" s="11" t="n">
        <v>-8812044</v>
      </c>
      <c r="AG111" s="11" t="n">
        <v>-21335316</v>
      </c>
      <c r="AH111" s="11" t="n">
        <v>107902549</v>
      </c>
      <c r="AI111" s="11" t="n">
        <v>-37969728</v>
      </c>
      <c r="AJ111" s="11" t="n">
        <v>-504452378</v>
      </c>
      <c r="AK111" s="11" t="n">
        <v>-1686292230</v>
      </c>
      <c r="AL111" s="11" t="n">
        <v>-454985168</v>
      </c>
      <c r="AM111" s="11" t="n">
        <v>-1919561</v>
      </c>
      <c r="AN111" s="11" t="n">
        <v>189723096</v>
      </c>
      <c r="AO111" s="11" t="n">
        <v>-26302498</v>
      </c>
      <c r="AP111" s="11" t="n">
        <v>-89605536</v>
      </c>
      <c r="AQ111" s="11" t="n">
        <v>-334066433</v>
      </c>
      <c r="AR111" s="11" t="n">
        <v>-135808208</v>
      </c>
      <c r="AS111" s="11" t="n">
        <v>482122576</v>
      </c>
      <c r="AT111" s="11" t="n">
        <v>4071678288</v>
      </c>
      <c r="AU111" s="11" t="n">
        <v>3353992624</v>
      </c>
      <c r="AV111" s="11" t="n">
        <v>-379579424</v>
      </c>
      <c r="AW111" s="11" t="n">
        <v>250645488</v>
      </c>
      <c r="AX111" s="11" t="n">
        <v>-1705024448</v>
      </c>
      <c r="AY111" s="11" t="n">
        <v>218217273</v>
      </c>
      <c r="AZ111" s="11" t="n">
        <v>-13720963</v>
      </c>
      <c r="BA111" s="11" t="n">
        <v>-96551450</v>
      </c>
      <c r="BB111" s="11" t="n">
        <v>-352934230</v>
      </c>
      <c r="BC111" s="11" t="n">
        <v>-151101852</v>
      </c>
      <c r="BD111" s="11" t="n">
        <v>-1633954746</v>
      </c>
      <c r="BE111" s="11" t="n">
        <v>-643603248</v>
      </c>
      <c r="BF111" s="11" t="n">
        <v>-3094088289</v>
      </c>
      <c r="BG111" s="11" t="n">
        <v>-504378672</v>
      </c>
      <c r="BH111" s="11" t="n">
        <v>-682484212</v>
      </c>
      <c r="BI111" s="11" t="n">
        <v>-2448132001</v>
      </c>
      <c r="BJ111" s="11" t="n">
        <v>-1099697672</v>
      </c>
      <c r="BK111" s="11" t="n">
        <v>328063370</v>
      </c>
      <c r="BL111" s="11" t="n">
        <v>-222489952</v>
      </c>
      <c r="BM111" s="11" t="n">
        <v>-1326705116</v>
      </c>
      <c r="BN111" s="11" t="n">
        <v>-2525349</v>
      </c>
      <c r="BO111" s="11" t="n">
        <v>266400648</v>
      </c>
      <c r="BP111" s="11" t="n">
        <v>-58256954</v>
      </c>
      <c r="BQ111" s="11" t="n">
        <v>-134238624</v>
      </c>
      <c r="BR111" s="11" t="n">
        <v>-588728029</v>
      </c>
      <c r="BS111" s="11" t="n">
        <v>-1138520096</v>
      </c>
      <c r="BT111" s="11" t="n">
        <v>70893</v>
      </c>
      <c r="BU111" s="11" t="n">
        <v>-99794</v>
      </c>
      <c r="BV111" s="11" t="n">
        <v>-69000</v>
      </c>
      <c r="BW111" s="11" t="n">
        <v>-629614</v>
      </c>
      <c r="BX111" s="11" t="n">
        <v>-4049573</v>
      </c>
      <c r="BY111" s="11" t="n">
        <v>8891910</v>
      </c>
      <c r="BZ111" s="11" t="n">
        <v>3510432</v>
      </c>
      <c r="CA111" s="11" t="n">
        <v>49891275</v>
      </c>
      <c r="CB111" s="11" t="n">
        <v>395230824</v>
      </c>
      <c r="CC111" s="11" t="n">
        <v>3712944</v>
      </c>
      <c r="CD111" s="11" t="n">
        <v>8740230</v>
      </c>
      <c r="CE111" s="11" t="n">
        <v>-48428282</v>
      </c>
      <c r="CF111" s="11" t="n">
        <v>-17382264</v>
      </c>
      <c r="CG111" s="11" t="n">
        <v>-184153248</v>
      </c>
      <c r="CH111" s="11" t="n">
        <v>-660213277</v>
      </c>
      <c r="CI111" s="11" t="n">
        <v>-304889445</v>
      </c>
      <c r="CJ111" s="11" t="n">
        <v>43115671</v>
      </c>
      <c r="CK111" s="11" t="n">
        <v>144352050</v>
      </c>
      <c r="CL111" s="11" t="n">
        <v>622451294</v>
      </c>
      <c r="CM111" s="11" t="n">
        <v>1215890236</v>
      </c>
      <c r="CN111" s="11" t="n">
        <v>2485156578</v>
      </c>
      <c r="CO111" s="11" t="n">
        <v>979056720</v>
      </c>
      <c r="CP111" s="11" t="n">
        <v>5415304557</v>
      </c>
      <c r="CQ111" s="11" t="n">
        <v>9190339008</v>
      </c>
      <c r="CR111" s="11" t="n">
        <v>1038162404</v>
      </c>
      <c r="CS111" s="11" t="n">
        <v>4307805533</v>
      </c>
      <c r="CT111" s="11" t="n">
        <v>8611088472</v>
      </c>
      <c r="CU111" s="11" t="n">
        <v>-565107106</v>
      </c>
      <c r="CV111" s="11" t="n">
        <v>-446780864</v>
      </c>
      <c r="CW111" s="11" t="n">
        <v>2833412380</v>
      </c>
      <c r="CX111" s="11" t="n">
        <v>10837923</v>
      </c>
      <c r="CY111" s="11" t="n">
        <v>4278150</v>
      </c>
      <c r="CZ111" s="11" t="n">
        <v>58540512</v>
      </c>
      <c r="DA111" s="11" t="n">
        <v>454778313</v>
      </c>
      <c r="DB111" s="11" t="n">
        <v>4526300</v>
      </c>
      <c r="DC111" s="11" t="n">
        <v>13847858</v>
      </c>
      <c r="DD111" s="11" t="n">
        <v>-21090751</v>
      </c>
      <c r="DE111" s="11" t="n">
        <v>-18982300</v>
      </c>
      <c r="DF111" s="11" t="n">
        <v>-198256850</v>
      </c>
      <c r="DG111" s="11" t="n">
        <v>-695001142</v>
      </c>
      <c r="DH111" s="11" t="n">
        <v>-68652</v>
      </c>
      <c r="DI111" s="11" t="n">
        <v>-284666085</v>
      </c>
      <c r="DJ111" s="11" t="n">
        <v>-3380212554</v>
      </c>
      <c r="DK111" s="11" t="n">
        <v>-111997962</v>
      </c>
      <c r="DL111" s="11" t="n">
        <v>-1331420688</v>
      </c>
      <c r="DM111" s="11" t="n">
        <v>-6312963441</v>
      </c>
      <c r="DN111" s="11" t="n">
        <v>-118798908</v>
      </c>
      <c r="DO111" s="11" t="n">
        <v>-1411829924</v>
      </c>
      <c r="DP111" s="11" t="n">
        <v>-4872937829</v>
      </c>
      <c r="DQ111" s="11" t="n">
        <v>717381058</v>
      </c>
      <c r="DR111" s="11" t="n">
        <v>2322670</v>
      </c>
      <c r="DS111" s="11" t="n">
        <v>-17325</v>
      </c>
      <c r="DT111" s="11" t="n">
        <v>-3813215</v>
      </c>
      <c r="DU111" s="11" t="n">
        <v>-360115</v>
      </c>
      <c r="DV111" s="11" t="n">
        <v>1675800</v>
      </c>
      <c r="DW111" s="11" t="n">
        <v>332255</v>
      </c>
      <c r="DX111" s="11" t="n">
        <v>1892835</v>
      </c>
      <c r="DY111" s="11" t="n">
        <v>-622544</v>
      </c>
      <c r="DZ111" s="11" t="n">
        <v>172046370</v>
      </c>
      <c r="EA111" s="11" t="n">
        <v>16390954</v>
      </c>
      <c r="EB111" s="11" t="n">
        <v>-80651444</v>
      </c>
      <c r="EC111" s="11" t="n">
        <v>91800516</v>
      </c>
      <c r="ED111" s="11" t="n">
        <v>-72608936</v>
      </c>
      <c r="EE111" s="11" t="n">
        <v>-2305363</v>
      </c>
      <c r="EF111" s="11" t="n">
        <v>-218783</v>
      </c>
      <c r="EG111" s="11" t="n">
        <v>1050750</v>
      </c>
      <c r="EH111" s="11" t="n">
        <v>-595694</v>
      </c>
      <c r="EI111" s="11" t="n">
        <v>1048932</v>
      </c>
      <c r="EJ111" s="11" t="n">
        <v>-234968</v>
      </c>
      <c r="EK111" s="11" t="n">
        <v>8277538</v>
      </c>
      <c r="EL111" s="11" t="n">
        <v>-175323387</v>
      </c>
      <c r="EM111" s="11" t="n">
        <v>-21002513</v>
      </c>
      <c r="EN111" s="11" t="n">
        <v>678458</v>
      </c>
      <c r="EO111" s="11" t="n">
        <v>-16577783</v>
      </c>
      <c r="EP111" s="11" t="n">
        <v>-2100085</v>
      </c>
      <c r="EQ111" s="11" t="n">
        <v>77770906</v>
      </c>
      <c r="ER111" s="11" t="n">
        <v>13338882</v>
      </c>
      <c r="ES111" s="11" t="n">
        <v>-85198462</v>
      </c>
      <c r="ET111" s="11" t="n">
        <v>-47693</v>
      </c>
      <c r="EU111" s="11" t="n">
        <v>-7713865</v>
      </c>
      <c r="EV111" s="11" t="n">
        <v>-806867</v>
      </c>
      <c r="EW111" s="11" t="n">
        <v>3406632</v>
      </c>
      <c r="EX111" s="11" t="n">
        <v>-61613</v>
      </c>
      <c r="EY111" s="11" t="n">
        <v>8491373</v>
      </c>
      <c r="EZ111" s="11" t="n">
        <v>-20761</v>
      </c>
      <c r="FA111" s="11" t="n">
        <v>-1376</v>
      </c>
      <c r="FB111" s="11" t="n">
        <v>9000</v>
      </c>
      <c r="FC111" s="11" t="n">
        <v>7282</v>
      </c>
      <c r="FD111" s="11" t="n">
        <v>-24471</v>
      </c>
      <c r="FE111" s="11" t="n">
        <v>128679</v>
      </c>
      <c r="FF111" s="11" t="n">
        <v>-27264</v>
      </c>
      <c r="FG111" s="11" t="n">
        <v>1204611</v>
      </c>
      <c r="FH111" s="11" t="n">
        <v>-7654276</v>
      </c>
      <c r="FI111" s="11" t="n">
        <v>53976</v>
      </c>
      <c r="FJ111" s="11" t="n">
        <v>124974</v>
      </c>
      <c r="FK111" s="11" t="n">
        <v>-658985</v>
      </c>
      <c r="FL111" s="11" t="n">
        <v>-531768</v>
      </c>
      <c r="FM111" s="11" t="n">
        <v>3350304</v>
      </c>
      <c r="FN111" s="11" t="n">
        <v>1264891</v>
      </c>
      <c r="FO111" s="11" t="n">
        <v>5600291</v>
      </c>
      <c r="FP111" s="11" t="n">
        <v>552831</v>
      </c>
      <c r="FQ111" s="11" t="n">
        <v>-2569150</v>
      </c>
      <c r="FR111" s="11" t="n">
        <v>1901518</v>
      </c>
      <c r="FS111" s="11" t="n">
        <v>-3766868</v>
      </c>
      <c r="FT111" s="11" t="n">
        <v>-5330474</v>
      </c>
      <c r="FU111" s="11" t="n">
        <v>-15514766</v>
      </c>
      <c r="FV111" s="11" t="n">
        <v>300316659</v>
      </c>
      <c r="FW111" s="11" t="n">
        <v>387835711</v>
      </c>
      <c r="FX111" s="11" t="n">
        <v>-3976906</v>
      </c>
      <c r="FY111" s="11" t="n">
        <v>31455571</v>
      </c>
      <c r="FZ111" s="11" t="n">
        <v>34699699</v>
      </c>
      <c r="GA111" s="11" t="n">
        <v>-132503282</v>
      </c>
      <c r="GB111" s="11" t="n">
        <v>-188356318</v>
      </c>
      <c r="GC111" s="11" t="n">
        <v>333684410</v>
      </c>
      <c r="GD111" s="11" t="n">
        <v>79075</v>
      </c>
      <c r="GE111" s="11" t="n">
        <v>-61550</v>
      </c>
      <c r="GF111" s="11" t="n">
        <v>1682820</v>
      </c>
      <c r="GG111" s="11" t="n">
        <v>-4513213</v>
      </c>
      <c r="GH111" s="11" t="n">
        <v>30200</v>
      </c>
      <c r="GI111" s="11" t="n">
        <v>139270</v>
      </c>
      <c r="GJ111" s="11" t="n">
        <v>-392333</v>
      </c>
      <c r="GK111" s="11" t="n">
        <v>-751100</v>
      </c>
      <c r="GL111" s="11" t="n">
        <v>2029050</v>
      </c>
      <c r="GM111" s="11" t="n">
        <v>-400514</v>
      </c>
      <c r="GN111" s="11" t="n">
        <v>277650</v>
      </c>
      <c r="GO111" s="11" t="n">
        <v>-5842155</v>
      </c>
      <c r="GP111" s="11" t="n">
        <v>-1180393</v>
      </c>
      <c r="GQ111" s="11" t="n">
        <v>-1361370</v>
      </c>
      <c r="GR111" s="11" t="n">
        <v>16765688</v>
      </c>
      <c r="GS111" s="11" t="n">
        <v>-358561857</v>
      </c>
      <c r="GT111" s="11" t="n">
        <v>-2720220</v>
      </c>
      <c r="GU111" s="11" t="n">
        <v>926758</v>
      </c>
      <c r="GV111" s="11" t="n">
        <v>-31064983</v>
      </c>
      <c r="GW111" s="11" t="n">
        <v>159714386</v>
      </c>
      <c r="GX111" s="11" t="n">
        <v>-721958</v>
      </c>
      <c r="GY111" s="11" t="n">
        <v>-75716320</v>
      </c>
      <c r="GZ111" s="11" t="n">
        <v>-13158972</v>
      </c>
      <c r="HA111" s="11" t="n">
        <v>32428992</v>
      </c>
      <c r="HB111" s="11" t="n">
        <v>-36548278</v>
      </c>
      <c r="HC111" s="11" t="n">
        <v>31927888</v>
      </c>
      <c r="HD111" s="11" t="n">
        <v>-620491</v>
      </c>
      <c r="HE111" s="11" t="n">
        <v>-13781</v>
      </c>
      <c r="HF111" s="11" t="n">
        <v>279000</v>
      </c>
      <c r="HG111" s="11" t="n">
        <v>375892</v>
      </c>
      <c r="HH111" s="11" t="n">
        <v>350199</v>
      </c>
      <c r="HI111" s="11" t="n">
        <v>9864254</v>
      </c>
      <c r="HJ111" s="11" t="n">
        <v>1389216</v>
      </c>
      <c r="HK111" s="11" t="n">
        <v>70833811</v>
      </c>
      <c r="HL111" s="11" t="n">
        <v>9286984</v>
      </c>
      <c r="HM111" s="11" t="n">
        <v>4466256</v>
      </c>
      <c r="HN111" s="11" t="n">
        <v>7548949</v>
      </c>
      <c r="HO111" s="11" t="n">
        <v>5773550</v>
      </c>
      <c r="HP111" s="11" t="n">
        <v>-31008408</v>
      </c>
      <c r="HQ111" s="11" t="n">
        <v>-3391776</v>
      </c>
      <c r="HR111" s="11" t="n">
        <v>34351871</v>
      </c>
      <c r="HS111" s="11" t="n">
        <v>73771562</v>
      </c>
      <c r="HT111" s="11" t="n">
        <v>8621810</v>
      </c>
      <c r="HU111" s="11" t="n">
        <v>-33760900</v>
      </c>
      <c r="HV111" s="11" t="n">
        <v>38330468</v>
      </c>
      <c r="HW111" s="11" t="n">
        <v>-31126728</v>
      </c>
      <c r="HX111" s="11" t="n">
        <v>-440394308</v>
      </c>
      <c r="HY111" s="11" t="n">
        <v>-227040512</v>
      </c>
      <c r="HZ111" s="11" t="n">
        <v>285360678</v>
      </c>
      <c r="IA111" s="11" t="n">
        <v>-1982288</v>
      </c>
      <c r="IB111" s="11" t="n">
        <v>-228077160</v>
      </c>
      <c r="IC111" s="11" t="n">
        <v>262172102</v>
      </c>
      <c r="ID111" s="11" t="n">
        <v>-186048992</v>
      </c>
      <c r="IE111" s="11" t="n">
        <v>-12626332</v>
      </c>
      <c r="IF111" s="11" t="n">
        <v>-94888928</v>
      </c>
      <c r="IG111" s="11" t="n">
        <v>119373400</v>
      </c>
      <c r="IH111" s="11" t="n">
        <v>6001886</v>
      </c>
      <c r="II111" s="11" t="n">
        <v>-507050</v>
      </c>
      <c r="IJ111" s="11" t="n">
        <v>71352974</v>
      </c>
      <c r="IK111" s="11" t="n">
        <v>9032205</v>
      </c>
      <c r="IL111" s="11" t="n">
        <v>2687450</v>
      </c>
      <c r="IM111" s="11" t="n">
        <v>5220666</v>
      </c>
      <c r="IN111" s="11" t="n">
        <v>3588009</v>
      </c>
      <c r="IO111" s="11" t="n">
        <v>-32390600</v>
      </c>
      <c r="IP111" s="11" t="n">
        <v>-4347450</v>
      </c>
      <c r="IQ111" s="11" t="n">
        <v>34799226</v>
      </c>
      <c r="IR111" s="11" t="n">
        <v>21498436</v>
      </c>
      <c r="IS111" s="11" t="n">
        <v>-449172350</v>
      </c>
      <c r="IT111" s="11" t="n">
        <v>-53758306</v>
      </c>
      <c r="IU111" s="11" t="n">
        <v>-217635674</v>
      </c>
      <c r="IV111" s="11" t="n">
        <v>-27811280</v>
      </c>
      <c r="IW111" s="11" t="n">
        <v>36855371</v>
      </c>
      <c r="IX111" s="11" t="n">
        <v>-219824966</v>
      </c>
      <c r="IY111" s="11" t="n">
        <v>-36923284</v>
      </c>
      <c r="IZ111" s="11" t="n">
        <v>221760339</v>
      </c>
      <c r="JA111" s="11" t="n">
        <v>89411626</v>
      </c>
      <c r="JB111" s="11" t="n">
        <v>-842973</v>
      </c>
      <c r="JC111" s="11" t="n">
        <v>19403</v>
      </c>
      <c r="JD111" s="11" t="n">
        <v>393000</v>
      </c>
      <c r="JE111" s="11" t="n">
        <v>731320</v>
      </c>
      <c r="JF111" s="11" t="n">
        <v>1983785</v>
      </c>
      <c r="JG111" s="11" t="n">
        <v>17399602</v>
      </c>
      <c r="JH111" s="11" t="n">
        <v>3351648</v>
      </c>
      <c r="JI111" s="11" t="n">
        <v>119372693</v>
      </c>
      <c r="JJ111" s="11" t="n">
        <v>170772472</v>
      </c>
      <c r="JK111" s="11" t="n">
        <v>8034672</v>
      </c>
      <c r="JL111" s="11" t="n">
        <v>12347357</v>
      </c>
      <c r="JM111" s="11" t="n">
        <v>37016098</v>
      </c>
      <c r="JN111" s="11" t="n">
        <v>-52744680</v>
      </c>
      <c r="JO111" s="11" t="n">
        <v>-71727840</v>
      </c>
      <c r="JP111" s="11" t="n">
        <v>132768705</v>
      </c>
      <c r="JQ111" s="11" t="n">
        <v>32767</v>
      </c>
      <c r="JR111" s="11" t="n">
        <v>12000</v>
      </c>
      <c r="JS111" s="11" t="n">
        <v>189638</v>
      </c>
      <c r="JT111" s="11" t="n">
        <v>1296076</v>
      </c>
      <c r="JU111" s="11" t="n">
        <v>15000</v>
      </c>
      <c r="JV111" s="11" t="n">
        <v>24062</v>
      </c>
      <c r="JW111" s="11" t="n">
        <v>47279</v>
      </c>
      <c r="JX111" s="11" t="n">
        <v>-78000</v>
      </c>
      <c r="JY111" s="11" t="n">
        <v>-576000</v>
      </c>
      <c r="JZ111" s="11" t="n">
        <v>-678130</v>
      </c>
      <c r="KA111" s="11" t="n">
        <v>-117408</v>
      </c>
      <c r="KB111" s="11" t="n">
        <v>725835</v>
      </c>
      <c r="KC111" s="11" t="n">
        <v>-20113936</v>
      </c>
      <c r="KD111" s="11" t="n">
        <v>945312</v>
      </c>
      <c r="KE111" s="11" t="n">
        <v>-2722176</v>
      </c>
      <c r="KF111" s="11" t="n">
        <v>-145118684</v>
      </c>
      <c r="KG111" s="11" t="n">
        <v>418488</v>
      </c>
      <c r="KH111" s="11" t="n">
        <v>-9038304</v>
      </c>
      <c r="KI111" s="11" t="n">
        <v>-15817691</v>
      </c>
      <c r="KJ111" s="11" t="n">
        <v>63069120</v>
      </c>
      <c r="KK111" s="11" t="n">
        <v>-12049652</v>
      </c>
      <c r="KL111" s="11" t="n">
        <v>-737850</v>
      </c>
      <c r="KM111" s="11" t="n">
        <v>-119483638</v>
      </c>
      <c r="KN111" s="11" t="n">
        <v>-166364147</v>
      </c>
      <c r="KO111" s="11" t="n">
        <v>-5600650</v>
      </c>
      <c r="KP111" s="11" t="n">
        <v>-7703462</v>
      </c>
      <c r="KQ111" s="11" t="n">
        <v>-24527423</v>
      </c>
      <c r="KR111" s="11" t="n">
        <v>55064000</v>
      </c>
      <c r="KS111" s="11" t="n">
        <v>75823750</v>
      </c>
      <c r="KT111" s="11" t="n">
        <v>-136854230</v>
      </c>
      <c r="KU111" s="11" t="n">
        <v>-32679452</v>
      </c>
      <c r="KV111" s="11" t="n">
        <v>759891880</v>
      </c>
      <c r="KW111" s="11" t="n">
        <v>992820750</v>
      </c>
      <c r="KX111" s="11" t="n">
        <v>370578838</v>
      </c>
      <c r="KY111" s="11" t="n">
        <v>511985072</v>
      </c>
      <c r="KZ111" s="11" t="n">
        <v>-646734805</v>
      </c>
      <c r="LA111" s="11" t="n">
        <v>374088262</v>
      </c>
      <c r="LB111" s="11" t="n">
        <v>527980748</v>
      </c>
      <c r="LC111" s="11" t="n">
        <v>-912062245</v>
      </c>
      <c r="LD111" s="11" t="n">
        <v>-126406230</v>
      </c>
      <c r="LE111" s="11" t="n">
        <v>-142850</v>
      </c>
      <c r="LF111" s="11" t="n">
        <v>1933690</v>
      </c>
      <c r="LG111" s="11" t="n">
        <v>-12059711</v>
      </c>
      <c r="LH111" s="11" t="n">
        <v>1534900</v>
      </c>
      <c r="LI111" s="11" t="n">
        <v>1233800</v>
      </c>
      <c r="LJ111" s="11" t="n">
        <v>-146280974</v>
      </c>
      <c r="LK111" s="11" t="n">
        <v>990100</v>
      </c>
      <c r="LL111" s="11" t="n">
        <v>-5314550</v>
      </c>
      <c r="LM111" s="11" t="n">
        <v>-11645976</v>
      </c>
      <c r="LN111" s="11" t="n">
        <v>65655500</v>
      </c>
      <c r="LO111" s="11" t="n">
        <v>-3764310</v>
      </c>
      <c r="LP111" s="11" t="n">
        <v>-44476736</v>
      </c>
      <c r="LQ111" s="11" t="n">
        <v>919850965</v>
      </c>
      <c r="LR111" s="11" t="n">
        <v>445382824</v>
      </c>
      <c r="LS111" s="11" t="n">
        <v>448316626</v>
      </c>
    </row>
    <row r="112" customFormat="false" ht="15" hidden="false" customHeight="true" outlineLevel="0" collapsed="false">
      <c r="A112" s="7" t="s">
        <v>178</v>
      </c>
      <c r="B112" s="11" t="n">
        <v>-15680801</v>
      </c>
      <c r="C112" s="11" t="n">
        <v>793276135</v>
      </c>
      <c r="D112" s="11" t="n">
        <v>-12552902</v>
      </c>
      <c r="E112" s="11" t="n">
        <v>-418576637</v>
      </c>
      <c r="F112" s="11" t="n">
        <v>-48425285</v>
      </c>
      <c r="G112" s="11" t="n">
        <v>100822948</v>
      </c>
      <c r="H112" s="11" t="n">
        <v>779999535</v>
      </c>
      <c r="I112" s="11" t="n">
        <v>314157273</v>
      </c>
      <c r="J112" s="11" t="n">
        <v>-33785142</v>
      </c>
      <c r="K112" s="11" t="n">
        <v>-58796</v>
      </c>
      <c r="L112" s="11" t="n">
        <v>4665151</v>
      </c>
      <c r="M112" s="11" t="n">
        <v>-43258</v>
      </c>
      <c r="N112" s="11" t="n">
        <v>-1712446</v>
      </c>
      <c r="O112" s="11" t="n">
        <v>-5463807</v>
      </c>
      <c r="P112" s="11" t="n">
        <v>29068394</v>
      </c>
      <c r="Q112" s="11" t="n">
        <v>30020344</v>
      </c>
      <c r="R112" s="11" t="n">
        <v>665840869</v>
      </c>
      <c r="S112" s="11" t="n">
        <v>106523300</v>
      </c>
      <c r="T112" s="11" t="n">
        <v>-130597606</v>
      </c>
      <c r="U112" s="11" t="n">
        <v>-1404143025</v>
      </c>
      <c r="V112" s="11" t="n">
        <v>-2147410156</v>
      </c>
      <c r="W112" s="11" t="n">
        <v>5304054</v>
      </c>
      <c r="X112" s="11" t="n">
        <v>146944</v>
      </c>
      <c r="Y112" s="11" t="n">
        <v>-1748900</v>
      </c>
      <c r="Z112" s="11" t="n">
        <v>-7298574</v>
      </c>
      <c r="AA112" s="11" t="n">
        <v>22092080</v>
      </c>
      <c r="AB112" s="11" t="n">
        <v>-15561581</v>
      </c>
      <c r="AC112" s="11" t="n">
        <v>-15715754</v>
      </c>
      <c r="AD112" s="11" t="n">
        <v>86206926</v>
      </c>
      <c r="AE112" s="11" t="n">
        <v>869403401</v>
      </c>
      <c r="AF112" s="11" t="n">
        <v>-5566494</v>
      </c>
      <c r="AG112" s="11" t="n">
        <v>-19025025</v>
      </c>
      <c r="AH112" s="11" t="n">
        <v>88902056</v>
      </c>
      <c r="AI112" s="11" t="n">
        <v>-50050374</v>
      </c>
      <c r="AJ112" s="11" t="n">
        <v>-221209270</v>
      </c>
      <c r="AK112" s="11" t="n">
        <v>-1555394301</v>
      </c>
      <c r="AL112" s="11" t="n">
        <v>-343390536</v>
      </c>
      <c r="AM112" s="11" t="n">
        <v>-1645277</v>
      </c>
      <c r="AN112" s="11" t="n">
        <v>128776600</v>
      </c>
      <c r="AO112" s="11" t="n">
        <v>-25697130</v>
      </c>
      <c r="AP112" s="11" t="n">
        <v>-48839152</v>
      </c>
      <c r="AQ112" s="11" t="n">
        <v>-308693869</v>
      </c>
      <c r="AR112" s="11" t="n">
        <v>-107603832</v>
      </c>
      <c r="AS112" s="11" t="n">
        <v>358126267</v>
      </c>
      <c r="AT112" s="11" t="n">
        <v>2651640832</v>
      </c>
      <c r="AU112" s="11" t="n">
        <v>2360447310</v>
      </c>
      <c r="AV112" s="11" t="n">
        <v>262823792</v>
      </c>
      <c r="AW112" s="11" t="n">
        <v>-1464528445</v>
      </c>
      <c r="AX112" s="11" t="n">
        <v>-1436092608</v>
      </c>
      <c r="AY112" s="11" t="n">
        <v>147007449</v>
      </c>
      <c r="AZ112" s="11" t="n">
        <v>-15490315</v>
      </c>
      <c r="BA112" s="11" t="n">
        <v>-49675700</v>
      </c>
      <c r="BB112" s="11" t="n">
        <v>-328957633</v>
      </c>
      <c r="BC112" s="11" t="n">
        <v>-119102085</v>
      </c>
      <c r="BD112" s="11" t="n">
        <v>-1083634810</v>
      </c>
      <c r="BE112" s="11" t="n">
        <v>-475695824</v>
      </c>
      <c r="BF112" s="11" t="n">
        <v>-1834495153</v>
      </c>
      <c r="BG112" s="11" t="n">
        <v>-292353984</v>
      </c>
      <c r="BH112" s="11" t="n">
        <v>-316049560</v>
      </c>
      <c r="BI112" s="11" t="n">
        <v>-2231540215</v>
      </c>
      <c r="BJ112" s="11" t="n">
        <v>-847130610</v>
      </c>
      <c r="BK112" s="11" t="n">
        <v>-444562108</v>
      </c>
      <c r="BL112" s="11" t="n">
        <v>-286607760</v>
      </c>
      <c r="BM112" s="11" t="n">
        <v>-832067517</v>
      </c>
      <c r="BN112" s="11" t="n">
        <v>-2257278</v>
      </c>
      <c r="BO112" s="11" t="n">
        <v>175295064</v>
      </c>
      <c r="BP112" s="11" t="n">
        <v>-54418572</v>
      </c>
      <c r="BQ112" s="11" t="n">
        <v>-67726128</v>
      </c>
      <c r="BR112" s="11" t="n">
        <v>-545447046</v>
      </c>
      <c r="BS112" s="11" t="n">
        <v>-868400928</v>
      </c>
      <c r="BT112" s="11" t="n">
        <v>-6627</v>
      </c>
      <c r="BU112" s="11" t="n">
        <v>-91814</v>
      </c>
      <c r="BV112" s="11" t="n">
        <v>-3450</v>
      </c>
      <c r="BW112" s="11" t="n">
        <v>-584185</v>
      </c>
      <c r="BX112" s="11" t="n">
        <v>-3453410</v>
      </c>
      <c r="BY112" s="11" t="n">
        <v>7289830</v>
      </c>
      <c r="BZ112" s="11" t="n">
        <v>466752</v>
      </c>
      <c r="CA112" s="11" t="n">
        <v>46967819</v>
      </c>
      <c r="CB112" s="11" t="n">
        <v>270733432</v>
      </c>
      <c r="CC112" s="11" t="n">
        <v>2671564</v>
      </c>
      <c r="CD112" s="11" t="n">
        <v>8102308</v>
      </c>
      <c r="CE112" s="11" t="n">
        <v>-47933076</v>
      </c>
      <c r="CF112" s="11" t="n">
        <v>-16693910</v>
      </c>
      <c r="CG112" s="11" t="n">
        <v>-102286960</v>
      </c>
      <c r="CH112" s="11" t="n">
        <v>-609736810</v>
      </c>
      <c r="CI112" s="11" t="n">
        <v>-200247969</v>
      </c>
      <c r="CJ112" s="11" t="n">
        <v>41237404</v>
      </c>
      <c r="CK112" s="11" t="n">
        <v>68904750</v>
      </c>
      <c r="CL112" s="11" t="n">
        <v>578480597</v>
      </c>
      <c r="CM112" s="11" t="n">
        <v>915106300</v>
      </c>
      <c r="CN112" s="11" t="n">
        <v>1625185354</v>
      </c>
      <c r="CO112" s="11" t="n">
        <v>657144144</v>
      </c>
      <c r="CP112" s="11" t="n">
        <v>3464291897</v>
      </c>
      <c r="CQ112" s="11" t="n">
        <v>5972638144</v>
      </c>
      <c r="CR112" s="11" t="n">
        <v>423894796</v>
      </c>
      <c r="CS112" s="11" t="n">
        <v>3981462550</v>
      </c>
      <c r="CT112" s="11" t="n">
        <v>6196923096</v>
      </c>
      <c r="CU112" s="11" t="n">
        <v>706319122</v>
      </c>
      <c r="CV112" s="11" t="n">
        <v>947892800</v>
      </c>
      <c r="CW112" s="11" t="n">
        <v>-1422535972</v>
      </c>
      <c r="CX112" s="11" t="n">
        <v>8266083</v>
      </c>
      <c r="CY112" s="11" t="n">
        <v>508350</v>
      </c>
      <c r="CZ112" s="11" t="n">
        <v>53522628</v>
      </c>
      <c r="DA112" s="11" t="n">
        <v>309046005</v>
      </c>
      <c r="DB112" s="11" t="n">
        <v>2739650</v>
      </c>
      <c r="DC112" s="11" t="n">
        <v>12857231</v>
      </c>
      <c r="DD112" s="11" t="n">
        <v>-25867480</v>
      </c>
      <c r="DE112" s="11" t="n">
        <v>-16948450</v>
      </c>
      <c r="DF112" s="11" t="n">
        <v>-104018750</v>
      </c>
      <c r="DG112" s="11" t="n">
        <v>-648187465</v>
      </c>
      <c r="DH112" s="11" t="n">
        <v>23000708</v>
      </c>
      <c r="DI112" s="11" t="n">
        <v>-291379069</v>
      </c>
      <c r="DJ112" s="11" t="n">
        <v>-2261629522</v>
      </c>
      <c r="DK112" s="11" t="n">
        <v>-166848178</v>
      </c>
      <c r="DL112" s="11" t="n">
        <v>-999019280</v>
      </c>
      <c r="DM112" s="11" t="n">
        <v>-3750121837</v>
      </c>
      <c r="DN112" s="11" t="n">
        <v>-132348306</v>
      </c>
      <c r="DO112" s="11" t="n">
        <v>-677600620</v>
      </c>
      <c r="DP112" s="11" t="n">
        <v>-4429611394</v>
      </c>
      <c r="DQ112" s="11" t="n">
        <v>-833108290</v>
      </c>
      <c r="DR112" s="11" t="n">
        <v>-2507029</v>
      </c>
      <c r="DS112" s="11" t="n">
        <v>-23139</v>
      </c>
      <c r="DT112" s="11" t="n">
        <v>-660607</v>
      </c>
      <c r="DU112" s="11" t="n">
        <v>-231983</v>
      </c>
      <c r="DV112" s="11" t="n">
        <v>-553914</v>
      </c>
      <c r="DW112" s="11" t="n">
        <v>445510</v>
      </c>
      <c r="DX112" s="11" t="n">
        <v>672102</v>
      </c>
      <c r="DY112" s="11" t="n">
        <v>3177523</v>
      </c>
      <c r="DZ112" s="11" t="n">
        <v>100341018</v>
      </c>
      <c r="EA112" s="11" t="n">
        <v>19477970</v>
      </c>
      <c r="EB112" s="11" t="n">
        <v>11902498</v>
      </c>
      <c r="EC112" s="11" t="n">
        <v>-147243365</v>
      </c>
      <c r="ED112" s="11" t="n">
        <v>-84228087</v>
      </c>
      <c r="EE112" s="11" t="n">
        <v>88829</v>
      </c>
      <c r="EF112" s="11" t="n">
        <v>-114251</v>
      </c>
      <c r="EG112" s="11" t="n">
        <v>-592200</v>
      </c>
      <c r="EH112" s="11" t="n">
        <v>-794345</v>
      </c>
      <c r="EI112" s="11" t="n">
        <v>74457</v>
      </c>
      <c r="EJ112" s="11" t="n">
        <v>-4152376</v>
      </c>
      <c r="EK112" s="11" t="n">
        <v>-19033454</v>
      </c>
      <c r="EL112" s="11" t="n">
        <v>-20967875</v>
      </c>
      <c r="EM112" s="11" t="n">
        <v>4705863</v>
      </c>
      <c r="EN112" s="11" t="n">
        <v>-3202174</v>
      </c>
      <c r="EO112" s="11" t="n">
        <v>-10163555</v>
      </c>
      <c r="EP112" s="11" t="n">
        <v>-2572089</v>
      </c>
      <c r="EQ112" s="11" t="n">
        <v>-30417470</v>
      </c>
      <c r="ER112" s="11" t="n">
        <v>-15418818</v>
      </c>
      <c r="ES112" s="11" t="n">
        <v>-24506340</v>
      </c>
      <c r="ET112" s="11" t="n">
        <v>-40454</v>
      </c>
      <c r="EU112" s="11" t="n">
        <v>-2169173</v>
      </c>
      <c r="EV112" s="11" t="n">
        <v>-492904</v>
      </c>
      <c r="EW112" s="11" t="n">
        <v>-919654</v>
      </c>
      <c r="EX112" s="11" t="n">
        <v>1833423</v>
      </c>
      <c r="EY112" s="11" t="n">
        <v>-3199342</v>
      </c>
      <c r="EZ112" s="11" t="n">
        <v>-9361</v>
      </c>
      <c r="FA112" s="11" t="n">
        <v>-806</v>
      </c>
      <c r="FB112" s="11" t="n">
        <v>450</v>
      </c>
      <c r="FC112" s="11" t="n">
        <v>9733</v>
      </c>
      <c r="FD112" s="11" t="n">
        <v>-40374</v>
      </c>
      <c r="FE112" s="11" t="n">
        <v>70839</v>
      </c>
      <c r="FF112" s="11" t="n">
        <v>236936</v>
      </c>
      <c r="FG112" s="11" t="n">
        <v>97639</v>
      </c>
      <c r="FH112" s="11" t="n">
        <v>-1424560</v>
      </c>
      <c r="FI112" s="11" t="n">
        <v>23806</v>
      </c>
      <c r="FJ112" s="11" t="n">
        <v>82061</v>
      </c>
      <c r="FK112" s="11" t="n">
        <v>-428186</v>
      </c>
      <c r="FL112" s="11" t="n">
        <v>241658</v>
      </c>
      <c r="FM112" s="11" t="n">
        <v>-953424</v>
      </c>
      <c r="FN112" s="11" t="n">
        <v>1060054</v>
      </c>
      <c r="FO112" s="11" t="n">
        <v>1130183</v>
      </c>
      <c r="FP112" s="11" t="n">
        <v>310428</v>
      </c>
      <c r="FQ112" s="11" t="n">
        <v>973550</v>
      </c>
      <c r="FR112" s="11" t="n">
        <v>52189</v>
      </c>
      <c r="FS112" s="11" t="n">
        <v>5414116</v>
      </c>
      <c r="FT112" s="11" t="n">
        <v>2874878</v>
      </c>
      <c r="FU112" s="11" t="n">
        <v>26509642</v>
      </c>
      <c r="FV112" s="11" t="n">
        <v>54019639</v>
      </c>
      <c r="FW112" s="11" t="n">
        <v>200927283</v>
      </c>
      <c r="FX112" s="11" t="n">
        <v>4804972</v>
      </c>
      <c r="FY112" s="11" t="n">
        <v>14704850</v>
      </c>
      <c r="FZ112" s="11" t="n">
        <v>41416772</v>
      </c>
      <c r="GA112" s="11" t="n">
        <v>45308864</v>
      </c>
      <c r="GB112" s="11" t="n">
        <v>46086766</v>
      </c>
      <c r="GC112" s="11" t="n">
        <v>-249501539</v>
      </c>
      <c r="GD112" s="11" t="n">
        <v>49315</v>
      </c>
      <c r="GE112" s="11" t="n">
        <v>237850</v>
      </c>
      <c r="GF112" s="11" t="n">
        <v>283992</v>
      </c>
      <c r="GG112" s="11" t="n">
        <v>124871</v>
      </c>
      <c r="GH112" s="11" t="n">
        <v>22850</v>
      </c>
      <c r="GI112" s="11" t="n">
        <v>75727</v>
      </c>
      <c r="GJ112" s="11" t="n">
        <v>-201944</v>
      </c>
      <c r="GK112" s="11" t="n">
        <v>233650</v>
      </c>
      <c r="GL112" s="11" t="n">
        <v>-1031850</v>
      </c>
      <c r="GM112" s="11" t="n">
        <v>-1354691</v>
      </c>
      <c r="GN112" s="11" t="n">
        <v>-551710</v>
      </c>
      <c r="GO112" s="11" t="n">
        <v>-1634723</v>
      </c>
      <c r="GP112" s="11" t="n">
        <v>-8449729</v>
      </c>
      <c r="GQ112" s="11" t="n">
        <v>-4707242</v>
      </c>
      <c r="GR112" s="11" t="n">
        <v>-39356696</v>
      </c>
      <c r="GS112" s="11" t="n">
        <v>-44520449</v>
      </c>
      <c r="GT112" s="11" t="n">
        <v>89748</v>
      </c>
      <c r="GU112" s="11" t="n">
        <v>-6174406</v>
      </c>
      <c r="GV112" s="11" t="n">
        <v>-19669373</v>
      </c>
      <c r="GW112" s="11" t="n">
        <v>-59082866</v>
      </c>
      <c r="GX112" s="11" t="n">
        <v>-243671</v>
      </c>
      <c r="GY112" s="11" t="n">
        <v>-35055152</v>
      </c>
      <c r="GZ112" s="11" t="n">
        <v>-971718</v>
      </c>
      <c r="HA112" s="11" t="n">
        <v>-4321696</v>
      </c>
      <c r="HB112" s="11" t="n">
        <v>59109761</v>
      </c>
      <c r="HC112" s="11" t="n">
        <v>31921800</v>
      </c>
      <c r="HD112" s="11" t="n">
        <v>-259339</v>
      </c>
      <c r="HE112" s="11" t="n">
        <v>13579</v>
      </c>
      <c r="HF112" s="11" t="n">
        <v>13950</v>
      </c>
      <c r="HG112" s="11" t="n">
        <v>502261</v>
      </c>
      <c r="HH112" s="11" t="n">
        <v>229302</v>
      </c>
      <c r="HI112" s="11" t="n">
        <v>2987710</v>
      </c>
      <c r="HJ112" s="11" t="n">
        <v>6606464</v>
      </c>
      <c r="HK112" s="11" t="n">
        <v>9346083</v>
      </c>
      <c r="HL112" s="11" t="n">
        <v>-986376</v>
      </c>
      <c r="HM112" s="11" t="n">
        <v>-185204</v>
      </c>
      <c r="HN112" s="11" t="n">
        <v>5296927</v>
      </c>
      <c r="HO112" s="11" t="n">
        <v>2693316</v>
      </c>
      <c r="HP112" s="11" t="n">
        <v>12291986</v>
      </c>
      <c r="HQ112" s="11" t="n">
        <v>5894352</v>
      </c>
      <c r="HR112" s="11" t="n">
        <v>10173918</v>
      </c>
      <c r="HS112" s="11" t="n">
        <v>34677842</v>
      </c>
      <c r="HT112" s="11" t="n">
        <v>-661564</v>
      </c>
      <c r="HU112" s="11" t="n">
        <v>4320650</v>
      </c>
      <c r="HV112" s="11" t="n">
        <v>-60607072</v>
      </c>
      <c r="HW112" s="11" t="n">
        <v>-32272587</v>
      </c>
      <c r="HX112" s="11" t="n">
        <v>-233463604</v>
      </c>
      <c r="HY112" s="11" t="n">
        <v>6541408</v>
      </c>
      <c r="HZ112" s="11" t="n">
        <v>-306935042</v>
      </c>
      <c r="IA112" s="11" t="n">
        <v>-99894144</v>
      </c>
      <c r="IB112" s="11" t="n">
        <v>28963364</v>
      </c>
      <c r="IC112" s="11" t="n">
        <v>-402172900</v>
      </c>
      <c r="ID112" s="11" t="n">
        <v>-215364846</v>
      </c>
      <c r="IE112" s="11" t="n">
        <v>-26809722</v>
      </c>
      <c r="IF112" s="11" t="n">
        <v>-6358512</v>
      </c>
      <c r="IG112" s="11" t="n">
        <v>-111059283</v>
      </c>
      <c r="IH112" s="11" t="n">
        <v>1228382</v>
      </c>
      <c r="II112" s="11" t="n">
        <v>6583750</v>
      </c>
      <c r="IJ112" s="11" t="n">
        <v>6974774</v>
      </c>
      <c r="IK112" s="11" t="n">
        <v>-1714779</v>
      </c>
      <c r="IL112" s="11" t="n">
        <v>-278650</v>
      </c>
      <c r="IM112" s="11" t="n">
        <v>2013804</v>
      </c>
      <c r="IN112" s="11" t="n">
        <v>1175895</v>
      </c>
      <c r="IO112" s="11" t="n">
        <v>12375550</v>
      </c>
      <c r="IP112" s="11" t="n">
        <v>5913450</v>
      </c>
      <c r="IQ112" s="11" t="n">
        <v>9487953</v>
      </c>
      <c r="IR112" s="11" t="n">
        <v>-44555868</v>
      </c>
      <c r="IS112" s="11" t="n">
        <v>-36084206</v>
      </c>
      <c r="IT112" s="11" t="n">
        <v>15083022</v>
      </c>
      <c r="IU112" s="11" t="n">
        <v>59588726</v>
      </c>
      <c r="IV112" s="11" t="n">
        <v>18641904</v>
      </c>
      <c r="IW112" s="11" t="n">
        <v>35269347</v>
      </c>
      <c r="IX112" s="11" t="n">
        <v>81230146</v>
      </c>
      <c r="IY112" s="11" t="n">
        <v>39230580</v>
      </c>
      <c r="IZ112" s="11" t="n">
        <v>59269419</v>
      </c>
      <c r="JA112" s="11" t="n">
        <v>-18480522</v>
      </c>
      <c r="JB112" s="11" t="n">
        <v>-354825</v>
      </c>
      <c r="JC112" s="11" t="n">
        <v>32228</v>
      </c>
      <c r="JD112" s="11" t="n">
        <v>19650</v>
      </c>
      <c r="JE112" s="11" t="n">
        <v>775609</v>
      </c>
      <c r="JF112" s="11" t="n">
        <v>826058</v>
      </c>
      <c r="JG112" s="11" t="n">
        <v>6051386</v>
      </c>
      <c r="JH112" s="11" t="n">
        <v>9120000</v>
      </c>
      <c r="JI112" s="11" t="n">
        <v>25507633</v>
      </c>
      <c r="JJ112" s="11" t="n">
        <v>72355496</v>
      </c>
      <c r="JK112" s="11" t="n">
        <v>-493228</v>
      </c>
      <c r="JL112" s="11" t="n">
        <v>10910870</v>
      </c>
      <c r="JM112" s="11" t="n">
        <v>7516164</v>
      </c>
      <c r="JN112" s="11" t="n">
        <v>18522734</v>
      </c>
      <c r="JO112" s="11" t="n">
        <v>17225008</v>
      </c>
      <c r="JP112" s="11" t="n">
        <v>-98777678</v>
      </c>
      <c r="JQ112" s="11" t="n">
        <v>14527</v>
      </c>
      <c r="JR112" s="11" t="n">
        <v>600</v>
      </c>
      <c r="JS112" s="11" t="n">
        <v>94106</v>
      </c>
      <c r="JT112" s="11" t="n">
        <v>545272</v>
      </c>
      <c r="JU112" s="11" t="n">
        <v>750</v>
      </c>
      <c r="JV112" s="11" t="n">
        <v>23207</v>
      </c>
      <c r="JW112" s="11" t="n">
        <v>-15706</v>
      </c>
      <c r="JX112" s="11" t="n">
        <v>-3900</v>
      </c>
      <c r="JY112" s="11" t="n">
        <v>-28800</v>
      </c>
      <c r="JZ112" s="11" t="n">
        <v>-972820</v>
      </c>
      <c r="KA112" s="11" t="n">
        <v>363152</v>
      </c>
      <c r="KB112" s="11" t="n">
        <v>-560621</v>
      </c>
      <c r="KC112" s="11" t="n">
        <v>-6337048</v>
      </c>
      <c r="KD112" s="11" t="n">
        <v>-2375656</v>
      </c>
      <c r="KE112" s="11" t="n">
        <v>-13892672</v>
      </c>
      <c r="KF112" s="11" t="n">
        <v>-20008488</v>
      </c>
      <c r="KG112" s="11" t="n">
        <v>-609082</v>
      </c>
      <c r="KH112" s="11" t="n">
        <v>65456</v>
      </c>
      <c r="KI112" s="11" t="n">
        <v>-10729606</v>
      </c>
      <c r="KJ112" s="11" t="n">
        <v>-23729120</v>
      </c>
      <c r="KK112" s="11" t="n">
        <v>-3623156</v>
      </c>
      <c r="KL112" s="11" t="n">
        <v>-9088050</v>
      </c>
      <c r="KM112" s="11" t="n">
        <v>-22126318</v>
      </c>
      <c r="KN112" s="11" t="n">
        <v>-70565591</v>
      </c>
      <c r="KO112" s="11" t="n">
        <v>624800</v>
      </c>
      <c r="KP112" s="11" t="n">
        <v>-5910140</v>
      </c>
      <c r="KQ112" s="11" t="n">
        <v>-2025644</v>
      </c>
      <c r="KR112" s="11" t="n">
        <v>-18640150</v>
      </c>
      <c r="KS112" s="11" t="n">
        <v>-17249750</v>
      </c>
      <c r="KT112" s="11" t="n">
        <v>102737083</v>
      </c>
      <c r="KU112" s="11" t="n">
        <v>61867444</v>
      </c>
      <c r="KV112" s="11" t="n">
        <v>116893560</v>
      </c>
      <c r="KW112" s="11" t="n">
        <v>464635750</v>
      </c>
      <c r="KX112" s="11" t="n">
        <v>-84612482</v>
      </c>
      <c r="KY112" s="11" t="n">
        <v>-39490384</v>
      </c>
      <c r="KZ112" s="11" t="n">
        <v>560841215</v>
      </c>
      <c r="LA112" s="11" t="n">
        <v>-121076860</v>
      </c>
      <c r="LB112" s="11" t="n">
        <v>-114713756</v>
      </c>
      <c r="LC112" s="11" t="n">
        <v>692566810</v>
      </c>
      <c r="LD112" s="11" t="n">
        <v>79603158</v>
      </c>
      <c r="LE112" s="11" t="n">
        <v>365950</v>
      </c>
      <c r="LF112" s="11" t="n">
        <v>-55046</v>
      </c>
      <c r="LG112" s="11" t="n">
        <v>-2678783</v>
      </c>
      <c r="LH112" s="11" t="n">
        <v>-2372900</v>
      </c>
      <c r="LI112" s="11" t="n">
        <v>-13846600</v>
      </c>
      <c r="LJ112" s="11" t="n">
        <v>-15287018</v>
      </c>
      <c r="LK112" s="11" t="n">
        <v>-587450</v>
      </c>
      <c r="LL112" s="11" t="n">
        <v>257350</v>
      </c>
      <c r="LM112" s="11" t="n">
        <v>-4338891</v>
      </c>
      <c r="LN112" s="11" t="n">
        <v>-23896300</v>
      </c>
      <c r="LO112" s="11" t="n">
        <v>12746554</v>
      </c>
      <c r="LP112" s="11" t="n">
        <v>92671392</v>
      </c>
      <c r="LQ112" s="11" t="n">
        <v>79366205</v>
      </c>
      <c r="LR112" s="11" t="n">
        <v>-118605032</v>
      </c>
      <c r="LS112" s="11" t="n">
        <v>-157726834</v>
      </c>
    </row>
    <row r="113" customFormat="false" ht="15" hidden="false" customHeight="true" outlineLevel="0" collapsed="false">
      <c r="A113" s="7" t="s">
        <v>179</v>
      </c>
      <c r="B113" s="11" t="n">
        <v>-188384</v>
      </c>
      <c r="C113" s="11" t="n">
        <v>-28714822</v>
      </c>
      <c r="D113" s="11" t="n">
        <v>-23694</v>
      </c>
      <c r="E113" s="11" t="n">
        <v>5639922</v>
      </c>
      <c r="F113" s="11" t="n">
        <v>872856</v>
      </c>
      <c r="G113" s="11" t="n">
        <v>-36955200</v>
      </c>
      <c r="H113" s="11" t="n">
        <v>11116366</v>
      </c>
      <c r="I113" s="11" t="n">
        <v>-10384816</v>
      </c>
      <c r="J113" s="11" t="n">
        <v>-1079000</v>
      </c>
      <c r="K113" s="11" t="n">
        <v>-1272</v>
      </c>
      <c r="L113" s="11" t="n">
        <v>-582328</v>
      </c>
      <c r="M113" s="11" t="n">
        <v>33120</v>
      </c>
      <c r="N113" s="11" t="n">
        <v>-154368</v>
      </c>
      <c r="O113" s="11" t="n">
        <v>-156712</v>
      </c>
      <c r="P113" s="11" t="n">
        <v>492896</v>
      </c>
      <c r="Q113" s="11" t="n">
        <v>-58176</v>
      </c>
      <c r="R113" s="11" t="n">
        <v>-121066124</v>
      </c>
      <c r="S113" s="11" t="n">
        <v>48960</v>
      </c>
      <c r="T113" s="11" t="n">
        <v>188137056</v>
      </c>
      <c r="U113" s="11" t="n">
        <v>-87557946</v>
      </c>
      <c r="V113" s="11" t="n">
        <v>134611418</v>
      </c>
      <c r="W113" s="11" t="n">
        <v>-111324</v>
      </c>
      <c r="X113" s="11" t="n">
        <v>-1728</v>
      </c>
      <c r="Y113" s="11" t="n">
        <v>230112</v>
      </c>
      <c r="Z113" s="11" t="n">
        <v>-94770</v>
      </c>
      <c r="AA113" s="11" t="n">
        <v>132114</v>
      </c>
      <c r="AB113" s="11" t="n">
        <v>-3689712</v>
      </c>
      <c r="AC113" s="11" t="n">
        <v>118856544</v>
      </c>
      <c r="AD113" s="11" t="n">
        <v>-29670926</v>
      </c>
      <c r="AE113" s="11" t="n">
        <v>17344754</v>
      </c>
      <c r="AF113" s="11" t="n">
        <v>-5781888</v>
      </c>
      <c r="AG113" s="11" t="n">
        <v>2680488</v>
      </c>
      <c r="AH113" s="11" t="n">
        <v>-4109544</v>
      </c>
      <c r="AI113" s="11" t="n">
        <v>-39851232</v>
      </c>
      <c r="AJ113" s="11" t="n">
        <v>105200832</v>
      </c>
      <c r="AK113" s="11" t="n">
        <v>-20446466</v>
      </c>
      <c r="AL113" s="11" t="n">
        <v>11434441</v>
      </c>
      <c r="AM113" s="11" t="n">
        <v>-55803</v>
      </c>
      <c r="AN113" s="11" t="n">
        <v>-3748555</v>
      </c>
      <c r="AO113" s="11" t="n">
        <v>-848500</v>
      </c>
      <c r="AP113" s="11" t="n">
        <v>13160992</v>
      </c>
      <c r="AQ113" s="11" t="n">
        <v>-4357141</v>
      </c>
      <c r="AR113" s="11" t="n">
        <v>3981592</v>
      </c>
      <c r="AS113" s="11" t="n">
        <v>-9944055</v>
      </c>
      <c r="AT113" s="11" t="n">
        <v>-229052012</v>
      </c>
      <c r="AU113" s="11" t="n">
        <v>-76354181</v>
      </c>
      <c r="AV113" s="11" t="n">
        <v>-236997364</v>
      </c>
      <c r="AW113" s="11" t="n">
        <v>10589556</v>
      </c>
      <c r="AX113" s="11" t="n">
        <v>-23430123</v>
      </c>
      <c r="AY113" s="11" t="n">
        <v>-2142129</v>
      </c>
      <c r="AZ113" s="11" t="n">
        <v>-365277</v>
      </c>
      <c r="BA113" s="11" t="n">
        <v>12602172</v>
      </c>
      <c r="BB113" s="11" t="n">
        <v>-3840903</v>
      </c>
      <c r="BC113" s="11" t="n">
        <v>3576969</v>
      </c>
      <c r="BD113" s="11" t="n">
        <v>8034255</v>
      </c>
      <c r="BE113" s="11" t="n">
        <v>341332764</v>
      </c>
      <c r="BF113" s="11" t="n">
        <v>-90752792</v>
      </c>
      <c r="BG113" s="11" t="n">
        <v>87439409</v>
      </c>
      <c r="BH113" s="11" t="n">
        <v>105469872</v>
      </c>
      <c r="BI113" s="11" t="n">
        <v>-29880881</v>
      </c>
      <c r="BJ113" s="11" t="n">
        <v>28325972</v>
      </c>
      <c r="BK113" s="11" t="n">
        <v>-78120292</v>
      </c>
      <c r="BL113" s="11" t="n">
        <v>55556992</v>
      </c>
      <c r="BM113" s="11" t="n">
        <v>5240751</v>
      </c>
      <c r="BN113" s="11" t="n">
        <v>-396828</v>
      </c>
      <c r="BO113" s="11" t="n">
        <v>-56816322</v>
      </c>
      <c r="BP113" s="11" t="n">
        <v>-2849620</v>
      </c>
      <c r="BQ113" s="11" t="n">
        <v>66011968</v>
      </c>
      <c r="BR113" s="11" t="n">
        <v>-34468263</v>
      </c>
      <c r="BS113" s="11" t="n">
        <v>52722779</v>
      </c>
      <c r="BT113" s="11" t="n">
        <v>147186</v>
      </c>
      <c r="BU113" s="11" t="n">
        <v>-15540</v>
      </c>
      <c r="BV113" s="11" t="n">
        <v>134592</v>
      </c>
      <c r="BW113" s="11" t="n">
        <v>17001</v>
      </c>
      <c r="BX113" s="11" t="n">
        <v>-119121</v>
      </c>
      <c r="BY113" s="11" t="n">
        <v>-3281900</v>
      </c>
      <c r="BZ113" s="11" t="n">
        <v>43754624</v>
      </c>
      <c r="CA113" s="11" t="n">
        <v>-10350357</v>
      </c>
      <c r="CB113" s="11" t="n">
        <v>2499919</v>
      </c>
      <c r="CC113" s="11" t="n">
        <v>-1618560</v>
      </c>
      <c r="CD113" s="11" t="n">
        <v>1471880</v>
      </c>
      <c r="CE113" s="11" t="n">
        <v>-2920060</v>
      </c>
      <c r="CF113" s="11" t="n">
        <v>-14518688</v>
      </c>
      <c r="CG113" s="11" t="n">
        <v>37697632</v>
      </c>
      <c r="CH113" s="11" t="n">
        <v>-8088023</v>
      </c>
      <c r="CI113" s="11" t="n">
        <v>41461614</v>
      </c>
      <c r="CJ113" s="11" t="n">
        <v>-171648</v>
      </c>
      <c r="CK113" s="11" t="n">
        <v>-65632752</v>
      </c>
      <c r="CL113" s="11" t="n">
        <v>30343113</v>
      </c>
      <c r="CM113" s="11" t="n">
        <v>-46663929</v>
      </c>
      <c r="CN113" s="11" t="n">
        <v>-322311562</v>
      </c>
      <c r="CO113" s="11" t="n">
        <v>-2499946664</v>
      </c>
      <c r="CP113" s="11" t="n">
        <v>743078268</v>
      </c>
      <c r="CQ113" s="11" t="n">
        <v>-1172551594</v>
      </c>
      <c r="CR113" s="11" t="n">
        <v>-499861968</v>
      </c>
      <c r="CS113" s="11" t="n">
        <v>232803003</v>
      </c>
      <c r="CT113" s="11" t="n">
        <v>-357898699</v>
      </c>
      <c r="CU113" s="11" t="n">
        <v>653276364</v>
      </c>
      <c r="CV113" s="11" t="n">
        <v>-957501212</v>
      </c>
      <c r="CW113" s="11" t="n">
        <v>-21801225</v>
      </c>
      <c r="CX113" s="11" t="n">
        <v>-1559994</v>
      </c>
      <c r="CY113" s="11" t="n">
        <v>38406120</v>
      </c>
      <c r="CZ113" s="11" t="n">
        <v>-9478143</v>
      </c>
      <c r="DA113" s="11" t="n">
        <v>4861875</v>
      </c>
      <c r="DB113" s="11" t="n">
        <v>-2628432</v>
      </c>
      <c r="DC113" s="11" t="n">
        <v>1180899</v>
      </c>
      <c r="DD113" s="11" t="n">
        <v>-1775859</v>
      </c>
      <c r="DE113" s="11" t="n">
        <v>-13103316</v>
      </c>
      <c r="DF113" s="11" t="n">
        <v>35528820</v>
      </c>
      <c r="DG113" s="11" t="n">
        <v>-7109298</v>
      </c>
      <c r="DH113" s="11" t="n">
        <v>-392619504</v>
      </c>
      <c r="DI113" s="11" t="n">
        <v>101638897</v>
      </c>
      <c r="DJ113" s="11" t="n">
        <v>-81912199</v>
      </c>
      <c r="DK113" s="11" t="n">
        <v>-116828572</v>
      </c>
      <c r="DL113" s="11" t="n">
        <v>792992020</v>
      </c>
      <c r="DM113" s="11" t="n">
        <v>-180910903</v>
      </c>
      <c r="DN113" s="11" t="n">
        <v>-125957568</v>
      </c>
      <c r="DO113" s="11" t="n">
        <v>308934672</v>
      </c>
      <c r="DP113" s="11" t="n">
        <v>-53696563</v>
      </c>
      <c r="DQ113" s="11" t="n">
        <v>-162475244</v>
      </c>
      <c r="DR113" s="11" t="n">
        <v>156933</v>
      </c>
      <c r="DS113" s="11" t="n">
        <v>1169</v>
      </c>
      <c r="DT113" s="11" t="n">
        <v>-143423</v>
      </c>
      <c r="DU113" s="11" t="n">
        <v>-3780</v>
      </c>
      <c r="DV113" s="11" t="n">
        <v>-64288</v>
      </c>
      <c r="DW113" s="11" t="n">
        <v>9695</v>
      </c>
      <c r="DX113" s="11" t="n">
        <v>56</v>
      </c>
      <c r="DY113" s="11" t="n">
        <v>158449</v>
      </c>
      <c r="DZ113" s="11" t="n">
        <v>-17163220</v>
      </c>
      <c r="EA113" s="11" t="n">
        <v>150957</v>
      </c>
      <c r="EB113" s="11" t="n">
        <v>-40584704</v>
      </c>
      <c r="EC113" s="11" t="n">
        <v>10738252</v>
      </c>
      <c r="ED113" s="11" t="n">
        <v>-8642519</v>
      </c>
      <c r="EE113" s="11" t="n">
        <v>16959</v>
      </c>
      <c r="EF113" s="11" t="n">
        <v>4941</v>
      </c>
      <c r="EG113" s="11" t="n">
        <v>-237408</v>
      </c>
      <c r="EH113" s="11" t="n">
        <v>70201</v>
      </c>
      <c r="EI113" s="11" t="n">
        <v>-64435</v>
      </c>
      <c r="EJ113" s="11" t="n">
        <v>-551367</v>
      </c>
      <c r="EK113" s="11" t="n">
        <v>30059904</v>
      </c>
      <c r="EL113" s="11" t="n">
        <v>-8753512</v>
      </c>
      <c r="EM113" s="11" t="n">
        <v>7904629</v>
      </c>
      <c r="EN113" s="11" t="n">
        <v>1039392</v>
      </c>
      <c r="EO113" s="11" t="n">
        <v>-267975</v>
      </c>
      <c r="EP113" s="11" t="n">
        <v>208116</v>
      </c>
      <c r="EQ113" s="11" t="n">
        <v>-1891712</v>
      </c>
      <c r="ER113" s="11" t="n">
        <v>3554912</v>
      </c>
      <c r="ES113" s="11" t="n">
        <v>-537749</v>
      </c>
      <c r="ET113" s="11" t="n">
        <v>5636</v>
      </c>
      <c r="EU113" s="11" t="n">
        <v>-1306586</v>
      </c>
      <c r="EV113" s="11" t="n">
        <v>5940</v>
      </c>
      <c r="EW113" s="11" t="n">
        <v>-496816</v>
      </c>
      <c r="EX113" s="11" t="n">
        <v>-75019</v>
      </c>
      <c r="EY113" s="11" t="n">
        <v>410927</v>
      </c>
      <c r="EZ113" s="11" t="n">
        <v>-4582</v>
      </c>
      <c r="FA113" s="11" t="n">
        <v>180</v>
      </c>
      <c r="FB113" s="11" t="n">
        <v>-1392</v>
      </c>
      <c r="FC113" s="11" t="n">
        <v>-907</v>
      </c>
      <c r="FD113" s="11" t="n">
        <v>3059</v>
      </c>
      <c r="FE113" s="11" t="n">
        <v>-36900</v>
      </c>
      <c r="FF113" s="11" t="n">
        <v>-81200</v>
      </c>
      <c r="FG113" s="11" t="n">
        <v>149279</v>
      </c>
      <c r="FH113" s="11" t="n">
        <v>-375085</v>
      </c>
      <c r="FI113" s="11" t="n">
        <v>14400</v>
      </c>
      <c r="FJ113" s="11" t="n">
        <v>1440</v>
      </c>
      <c r="FK113" s="11" t="n">
        <v>-9900</v>
      </c>
      <c r="FL113" s="11" t="n">
        <v>61424</v>
      </c>
      <c r="FM113" s="11" t="n">
        <v>-168160</v>
      </c>
      <c r="FN113" s="11" t="n">
        <v>25413</v>
      </c>
      <c r="FO113" s="11" t="n">
        <v>-702818</v>
      </c>
      <c r="FP113" s="11" t="n">
        <v>576</v>
      </c>
      <c r="FQ113" s="11" t="n">
        <v>955920</v>
      </c>
      <c r="FR113" s="11" t="n">
        <v>-461391</v>
      </c>
      <c r="FS113" s="11" t="n">
        <v>725279</v>
      </c>
      <c r="FT113" s="11" t="n">
        <v>607194</v>
      </c>
      <c r="FU113" s="11" t="n">
        <v>-283563328</v>
      </c>
      <c r="FV113" s="11" t="n">
        <v>97608644</v>
      </c>
      <c r="FW113" s="11" t="n">
        <v>-116897178</v>
      </c>
      <c r="FX113" s="11" t="n">
        <v>1058256</v>
      </c>
      <c r="FY113" s="11" t="n">
        <v>-478611</v>
      </c>
      <c r="FZ113" s="11" t="n">
        <v>722403</v>
      </c>
      <c r="GA113" s="11" t="n">
        <v>53395776</v>
      </c>
      <c r="GB113" s="11" t="n">
        <v>-133630864</v>
      </c>
      <c r="GC113" s="11" t="n">
        <v>23986571</v>
      </c>
      <c r="GD113" s="11" t="n">
        <v>21978</v>
      </c>
      <c r="GE113" s="11" t="n">
        <v>-950736</v>
      </c>
      <c r="GF113" s="11" t="n">
        <v>262001</v>
      </c>
      <c r="GG113" s="11" t="n">
        <v>-208181</v>
      </c>
      <c r="GH113" s="11" t="n">
        <v>30672</v>
      </c>
      <c r="GI113" s="11" t="n">
        <v>-14643</v>
      </c>
      <c r="GJ113" s="11" t="n">
        <v>22851</v>
      </c>
      <c r="GK113" s="11" t="n">
        <v>267792</v>
      </c>
      <c r="GL113" s="11" t="n">
        <v>-697968</v>
      </c>
      <c r="GM113" s="11" t="n">
        <v>133706</v>
      </c>
      <c r="GN113" s="11" t="n">
        <v>-8046000</v>
      </c>
      <c r="GO113" s="11" t="n">
        <v>2825991</v>
      </c>
      <c r="GP113" s="11" t="n">
        <v>-3475665</v>
      </c>
      <c r="GQ113" s="11" t="n">
        <v>-26331392</v>
      </c>
      <c r="GR113" s="11" t="n">
        <v>74138480</v>
      </c>
      <c r="GS113" s="11" t="n">
        <v>-14665123</v>
      </c>
      <c r="GT113" s="11" t="n">
        <v>-1416816</v>
      </c>
      <c r="GU113" s="11" t="n">
        <v>3515040</v>
      </c>
      <c r="GV113" s="11" t="n">
        <v>-622557</v>
      </c>
      <c r="GW113" s="11" t="n">
        <v>-1551664</v>
      </c>
      <c r="GX113" s="11" t="n">
        <v>-117442</v>
      </c>
      <c r="GY113" s="11" t="n">
        <v>5582692</v>
      </c>
      <c r="GZ113" s="11" t="n">
        <v>-477405</v>
      </c>
      <c r="HA113" s="11" t="n">
        <v>14865866</v>
      </c>
      <c r="HB113" s="11" t="n">
        <v>-4218172</v>
      </c>
      <c r="HC113" s="11" t="n">
        <v>3313460</v>
      </c>
      <c r="HD113" s="11" t="n">
        <v>-65746</v>
      </c>
      <c r="HE113" s="11" t="n">
        <v>-6385</v>
      </c>
      <c r="HF113" s="11" t="n">
        <v>62626</v>
      </c>
      <c r="HG113" s="11" t="n">
        <v>-24166</v>
      </c>
      <c r="HH113" s="11" t="n">
        <v>24724</v>
      </c>
      <c r="HI113" s="11" t="n">
        <v>570775</v>
      </c>
      <c r="HJ113" s="11" t="n">
        <v>-11299134</v>
      </c>
      <c r="HK113" s="11" t="n">
        <v>3510152</v>
      </c>
      <c r="HL113" s="11" t="n">
        <v>-3030204</v>
      </c>
      <c r="HM113" s="11" t="n">
        <v>-553640</v>
      </c>
      <c r="HN113" s="11" t="n">
        <v>131095</v>
      </c>
      <c r="HO113" s="11" t="n">
        <v>-79640</v>
      </c>
      <c r="HP113" s="11" t="n">
        <v>809602</v>
      </c>
      <c r="HQ113" s="11" t="n">
        <v>-1362672</v>
      </c>
      <c r="HR113" s="11" t="n">
        <v>206204</v>
      </c>
      <c r="HS113" s="11" t="n">
        <v>-7207604</v>
      </c>
      <c r="HT113" s="11" t="n">
        <v>-369047</v>
      </c>
      <c r="HU113" s="11" t="n">
        <v>-15362398</v>
      </c>
      <c r="HV113" s="11" t="n">
        <v>3777132</v>
      </c>
      <c r="HW113" s="11" t="n">
        <v>-3122226</v>
      </c>
      <c r="HX113" s="11" t="n">
        <v>46842032</v>
      </c>
      <c r="HY113" s="11" t="n">
        <v>-182079144</v>
      </c>
      <c r="HZ113" s="11" t="n">
        <v>79327232</v>
      </c>
      <c r="IA113" s="11" t="n">
        <v>-54935044</v>
      </c>
      <c r="IB113" s="11" t="n">
        <v>-109162726</v>
      </c>
      <c r="IC113" s="11" t="n">
        <v>28609232</v>
      </c>
      <c r="ID113" s="11" t="n">
        <v>-23104075</v>
      </c>
      <c r="IE113" s="11" t="n">
        <v>73661032</v>
      </c>
      <c r="IF113" s="11" t="n">
        <v>-38215442</v>
      </c>
      <c r="IG113" s="11" t="n">
        <v>-5574756</v>
      </c>
      <c r="IH113" s="11" t="n">
        <v>185259</v>
      </c>
      <c r="II113" s="11" t="n">
        <v>-12443586</v>
      </c>
      <c r="IJ113" s="11" t="n">
        <v>3597608</v>
      </c>
      <c r="IK113" s="11" t="n">
        <v>-3265226</v>
      </c>
      <c r="IL113" s="11" t="n">
        <v>-1032006</v>
      </c>
      <c r="IM113" s="11" t="n">
        <v>281291</v>
      </c>
      <c r="IN113" s="11" t="n">
        <v>-247439</v>
      </c>
      <c r="IO113" s="11" t="n">
        <v>1146958</v>
      </c>
      <c r="IP113" s="11" t="n">
        <v>-1569178</v>
      </c>
      <c r="IQ113" s="11" t="n">
        <v>152706</v>
      </c>
      <c r="IR113" s="11" t="n">
        <v>76190514</v>
      </c>
      <c r="IS113" s="11" t="n">
        <v>-21341792</v>
      </c>
      <c r="IT113" s="11" t="n">
        <v>19808609</v>
      </c>
      <c r="IU113" s="11" t="n">
        <v>-46071600</v>
      </c>
      <c r="IV113" s="11" t="n">
        <v>12356310</v>
      </c>
      <c r="IW113" s="11" t="n">
        <v>8516920</v>
      </c>
      <c r="IX113" s="11" t="n">
        <v>3201742</v>
      </c>
      <c r="IY113" s="11" t="n">
        <v>-8583112</v>
      </c>
      <c r="IZ113" s="11" t="n">
        <v>1571809</v>
      </c>
      <c r="JA113" s="11" t="n">
        <v>4670870</v>
      </c>
      <c r="JB113" s="11" t="n">
        <v>-777300</v>
      </c>
      <c r="JC113" s="11" t="n">
        <v>-12700</v>
      </c>
      <c r="JD113" s="11" t="n">
        <v>162088</v>
      </c>
      <c r="JE113" s="11" t="n">
        <v>-207630</v>
      </c>
      <c r="JF113" s="11" t="n">
        <v>426518</v>
      </c>
      <c r="JG113" s="11" t="n">
        <v>3763450</v>
      </c>
      <c r="JH113" s="11" t="n">
        <v>-106095988</v>
      </c>
      <c r="JI113" s="11" t="n">
        <v>37788180</v>
      </c>
      <c r="JJ113" s="11" t="n">
        <v>-42205268</v>
      </c>
      <c r="JK113" s="11" t="n">
        <v>-948680</v>
      </c>
      <c r="JL113" s="11" t="n">
        <v>-387875</v>
      </c>
      <c r="JM113" s="11" t="n">
        <v>1375495</v>
      </c>
      <c r="JN113" s="11" t="n">
        <v>20460182</v>
      </c>
      <c r="JO113" s="11" t="n">
        <v>-49415774</v>
      </c>
      <c r="JP113" s="11" t="n">
        <v>9461288</v>
      </c>
      <c r="JQ113" s="11" t="n">
        <v>35150</v>
      </c>
      <c r="JR113" s="11" t="n">
        <v>-323756</v>
      </c>
      <c r="JS113" s="11" t="n">
        <v>43710</v>
      </c>
      <c r="JT113" s="11" t="n">
        <v>75134</v>
      </c>
      <c r="JU113" s="11" t="n">
        <v>2040</v>
      </c>
      <c r="JV113" s="11" t="n">
        <v>-8675</v>
      </c>
      <c r="JW113" s="11" t="n">
        <v>20515</v>
      </c>
      <c r="JX113" s="11" t="n">
        <v>77366</v>
      </c>
      <c r="JY113" s="11" t="n">
        <v>-193318</v>
      </c>
      <c r="JZ113" s="11" t="n">
        <v>44054</v>
      </c>
      <c r="KA113" s="11" t="n">
        <v>-3230200</v>
      </c>
      <c r="KB113" s="11" t="n">
        <v>1497175</v>
      </c>
      <c r="KC113" s="11" t="n">
        <v>-2272325</v>
      </c>
      <c r="KD113" s="11" t="n">
        <v>-9773182</v>
      </c>
      <c r="KE113" s="11" t="n">
        <v>27834330</v>
      </c>
      <c r="KF113" s="11" t="n">
        <v>-6025948</v>
      </c>
      <c r="KG113" s="11" t="n">
        <v>-710320</v>
      </c>
      <c r="KH113" s="11" t="n">
        <v>1753400</v>
      </c>
      <c r="KI113" s="11" t="n">
        <v>-313005</v>
      </c>
      <c r="KJ113" s="11" t="n">
        <v>-815734</v>
      </c>
      <c r="KK113" s="11" t="n">
        <v>1663150</v>
      </c>
      <c r="KL113" s="11" t="n">
        <v>111624956</v>
      </c>
      <c r="KM113" s="11" t="n">
        <v>-37741860</v>
      </c>
      <c r="KN113" s="11" t="n">
        <v>46840816</v>
      </c>
      <c r="KO113" s="11" t="n">
        <v>2170608</v>
      </c>
      <c r="KP113" s="11" t="n">
        <v>-1060905</v>
      </c>
      <c r="KQ113" s="11" t="n">
        <v>1677913</v>
      </c>
      <c r="KR113" s="11" t="n">
        <v>-21946722</v>
      </c>
      <c r="KS113" s="11" t="n">
        <v>51482978</v>
      </c>
      <c r="KT113" s="11" t="n">
        <v>-8197638</v>
      </c>
      <c r="KU113" s="11" t="n">
        <v>-767462348</v>
      </c>
      <c r="KV113" s="11" t="n">
        <v>263588080</v>
      </c>
      <c r="KW113" s="11" t="n">
        <v>-317093478</v>
      </c>
      <c r="KX113" s="11" t="n">
        <v>275111288</v>
      </c>
      <c r="KY113" s="11" t="n">
        <v>332511860</v>
      </c>
      <c r="KZ113" s="11" t="n">
        <v>-227870668</v>
      </c>
      <c r="LA113" s="11" t="n">
        <v>-145542042</v>
      </c>
      <c r="LB113" s="11" t="n">
        <v>360430154</v>
      </c>
      <c r="LC113" s="11" t="n">
        <v>-63657403</v>
      </c>
      <c r="LD113" s="11" t="n">
        <v>-192260714</v>
      </c>
      <c r="LE113" s="11" t="n">
        <v>-5740476</v>
      </c>
      <c r="LF113" s="11" t="n">
        <v>1800235</v>
      </c>
      <c r="LG113" s="11" t="n">
        <v>-1957411</v>
      </c>
      <c r="LH113" s="11" t="n">
        <v>-9442978</v>
      </c>
      <c r="LI113" s="11" t="n">
        <v>30299530</v>
      </c>
      <c r="LJ113" s="11" t="n">
        <v>-6282142</v>
      </c>
      <c r="LK113" s="11" t="n">
        <v>-1312266</v>
      </c>
      <c r="LL113" s="11" t="n">
        <v>3236778</v>
      </c>
      <c r="LM113" s="11" t="n">
        <v>-567604</v>
      </c>
      <c r="LN113" s="11" t="n">
        <v>-1601996</v>
      </c>
      <c r="LO113" s="11" t="n">
        <v>79071922</v>
      </c>
      <c r="LP113" s="11" t="n">
        <v>-191220430</v>
      </c>
      <c r="LQ113" s="11" t="n">
        <v>33005183</v>
      </c>
      <c r="LR113" s="11" t="n">
        <v>102805370</v>
      </c>
      <c r="LS113" s="11" t="n">
        <v>872086</v>
      </c>
    </row>
    <row r="114" customFormat="false" ht="15" hidden="false" customHeight="true" outlineLevel="0" collapsed="false">
      <c r="A114" s="7" t="s">
        <v>180</v>
      </c>
      <c r="B114" s="11" t="n">
        <v>-836595</v>
      </c>
      <c r="C114" s="11" t="n">
        <v>200464464</v>
      </c>
      <c r="D114" s="11" t="n">
        <v>945483</v>
      </c>
      <c r="E114" s="11" t="n">
        <v>-119944188</v>
      </c>
      <c r="F114" s="11" t="n">
        <v>-2832591</v>
      </c>
      <c r="G114" s="11" t="n">
        <v>-96832452</v>
      </c>
      <c r="H114" s="11" t="n">
        <v>51360954</v>
      </c>
      <c r="I114" s="11" t="n">
        <v>-14694921</v>
      </c>
      <c r="J114" s="11" t="n">
        <v>-9848404</v>
      </c>
      <c r="K114" s="11" t="n">
        <v>-21848</v>
      </c>
      <c r="L114" s="11" t="n">
        <v>-350682</v>
      </c>
      <c r="M114" s="11" t="n">
        <v>250516</v>
      </c>
      <c r="N114" s="11" t="n">
        <v>-1722848</v>
      </c>
      <c r="O114" s="11" t="n">
        <v>-726689</v>
      </c>
      <c r="P114" s="11" t="n">
        <v>1704441</v>
      </c>
      <c r="Q114" s="11" t="n">
        <v>-5895028</v>
      </c>
      <c r="R114" s="11" t="n">
        <v>1496014320</v>
      </c>
      <c r="S114" s="11" t="n">
        <v>-26683228</v>
      </c>
      <c r="T114" s="11" t="n">
        <v>1552740464</v>
      </c>
      <c r="U114" s="11" t="n">
        <v>-430492776</v>
      </c>
      <c r="V114" s="11" t="n">
        <v>-235428532</v>
      </c>
      <c r="W114" s="11" t="n">
        <v>3528714</v>
      </c>
      <c r="X114" s="11" t="n">
        <v>-209148</v>
      </c>
      <c r="Y114" s="11" t="n">
        <v>4475904</v>
      </c>
      <c r="Z114" s="11" t="n">
        <v>-520039</v>
      </c>
      <c r="AA114" s="11" t="n">
        <v>-1542521</v>
      </c>
      <c r="AB114" s="11" t="n">
        <v>37104306</v>
      </c>
      <c r="AC114" s="11" t="n">
        <v>-206417928</v>
      </c>
      <c r="AD114" s="11" t="n">
        <v>-125716128</v>
      </c>
      <c r="AE114" s="11" t="n">
        <v>250528674</v>
      </c>
      <c r="AF114" s="11" t="n">
        <v>-34829520</v>
      </c>
      <c r="AG114" s="11" t="n">
        <v>12919427</v>
      </c>
      <c r="AH114" s="11" t="n">
        <v>1370641</v>
      </c>
      <c r="AI114" s="11" t="n">
        <v>-189881836</v>
      </c>
      <c r="AJ114" s="11" t="n">
        <v>227544172</v>
      </c>
      <c r="AK114" s="11" t="n">
        <v>-91876091</v>
      </c>
      <c r="AL114" s="11" t="n">
        <v>-76585223</v>
      </c>
      <c r="AM114" s="11" t="n">
        <v>-655831</v>
      </c>
      <c r="AN114" s="11" t="n">
        <v>39656481</v>
      </c>
      <c r="AO114" s="11" t="n">
        <v>-1162888</v>
      </c>
      <c r="AP114" s="11" t="n">
        <v>32319404</v>
      </c>
      <c r="AQ114" s="11" t="n">
        <v>-20124058</v>
      </c>
      <c r="AR114" s="11" t="n">
        <v>5479512</v>
      </c>
      <c r="AS114" s="11" t="n">
        <v>70596625</v>
      </c>
      <c r="AT114" s="11" t="n">
        <v>1477700892</v>
      </c>
      <c r="AU114" s="11" t="n">
        <v>537957235</v>
      </c>
      <c r="AV114" s="11" t="n">
        <v>1120067572</v>
      </c>
      <c r="AW114" s="11" t="n">
        <v>120331086</v>
      </c>
      <c r="AX114" s="11" t="n">
        <v>32233477</v>
      </c>
      <c r="AY114" s="11" t="n">
        <v>49209699</v>
      </c>
      <c r="AZ114" s="11" t="n">
        <v>3534795</v>
      </c>
      <c r="BA114" s="11" t="n">
        <v>39383784</v>
      </c>
      <c r="BB114" s="11" t="n">
        <v>-17520008</v>
      </c>
      <c r="BC114" s="11" t="n">
        <v>5327069</v>
      </c>
      <c r="BD114" s="11" t="n">
        <v>-300996597</v>
      </c>
      <c r="BE114" s="11" t="n">
        <v>43617732</v>
      </c>
      <c r="BF114" s="11" t="n">
        <v>-450599274</v>
      </c>
      <c r="BG114" s="11" t="n">
        <v>89035629</v>
      </c>
      <c r="BH114" s="11" t="n">
        <v>244028412</v>
      </c>
      <c r="BI114" s="11" t="n">
        <v>-139530194</v>
      </c>
      <c r="BJ114" s="11" t="n">
        <v>38979152</v>
      </c>
      <c r="BK114" s="11" t="n">
        <v>-345097040</v>
      </c>
      <c r="BL114" s="11" t="n">
        <v>66535772</v>
      </c>
      <c r="BM114" s="11" t="n">
        <v>17079326</v>
      </c>
      <c r="BN114" s="11" t="n">
        <v>-5720396</v>
      </c>
      <c r="BO114" s="11" t="n">
        <v>498939278</v>
      </c>
      <c r="BP114" s="11" t="n">
        <v>-36622756</v>
      </c>
      <c r="BQ114" s="11" t="n">
        <v>538180656</v>
      </c>
      <c r="BR114" s="11" t="n">
        <v>-170376603</v>
      </c>
      <c r="BS114" s="11" t="n">
        <v>-91526421</v>
      </c>
      <c r="BT114" s="11" t="n">
        <v>1310554</v>
      </c>
      <c r="BU114" s="11" t="n">
        <v>-226756</v>
      </c>
      <c r="BV114" s="11" t="n">
        <v>2194624</v>
      </c>
      <c r="BW114" s="11" t="n">
        <v>44125</v>
      </c>
      <c r="BX114" s="11" t="n">
        <v>-1193061</v>
      </c>
      <c r="BY114" s="11" t="n">
        <v>11387564</v>
      </c>
      <c r="BZ114" s="11" t="n">
        <v>-68119288</v>
      </c>
      <c r="CA114" s="11" t="n">
        <v>-42882247</v>
      </c>
      <c r="CB114" s="11" t="n">
        <v>83091219</v>
      </c>
      <c r="CC114" s="11" t="n">
        <v>-7283152</v>
      </c>
      <c r="CD114" s="11" t="n">
        <v>7036208</v>
      </c>
      <c r="CE114" s="11" t="n">
        <v>-4010040</v>
      </c>
      <c r="CF114" s="11" t="n">
        <v>-69516132</v>
      </c>
      <c r="CG114" s="11" t="n">
        <v>77130372</v>
      </c>
      <c r="CH114" s="11" t="n">
        <v>-36240198</v>
      </c>
      <c r="CI114" s="11" t="n">
        <v>-570298834</v>
      </c>
      <c r="CJ114" s="11" t="n">
        <v>-6422720</v>
      </c>
      <c r="CK114" s="11" t="n">
        <v>-579758944</v>
      </c>
      <c r="CL114" s="11" t="n">
        <v>148066053</v>
      </c>
      <c r="CM114" s="11" t="n">
        <v>81961871</v>
      </c>
      <c r="CN114" s="11" t="n">
        <v>4211327734</v>
      </c>
      <c r="CO114" s="11" t="n">
        <v>-3087075032</v>
      </c>
      <c r="CP114" s="11" t="n">
        <v>4071328008</v>
      </c>
      <c r="CQ114" s="11" t="n">
        <v>1975984606</v>
      </c>
      <c r="CR114" s="11" t="n">
        <v>-4315951904</v>
      </c>
      <c r="CS114" s="11" t="n">
        <v>1139233743</v>
      </c>
      <c r="CT114" s="11" t="n">
        <v>627494701</v>
      </c>
      <c r="CU114" s="11" t="n">
        <v>3337369284</v>
      </c>
      <c r="CV114" s="11" t="n">
        <v>1565095788</v>
      </c>
      <c r="CW114" s="11" t="n">
        <v>72098025</v>
      </c>
      <c r="CX114" s="11" t="n">
        <v>24078054</v>
      </c>
      <c r="CY114" s="11" t="n">
        <v>-85970640</v>
      </c>
      <c r="CZ114" s="11" t="n">
        <v>-38321297</v>
      </c>
      <c r="DA114" s="11" t="n">
        <v>100165415</v>
      </c>
      <c r="DB114" s="11" t="n">
        <v>-25445664</v>
      </c>
      <c r="DC114" s="11" t="n">
        <v>5819783</v>
      </c>
      <c r="DD114" s="11" t="n">
        <v>4588501</v>
      </c>
      <c r="DE114" s="11" t="n">
        <v>-61277432</v>
      </c>
      <c r="DF114" s="11" t="n">
        <v>89471480</v>
      </c>
      <c r="DG114" s="11" t="n">
        <v>-31513273</v>
      </c>
      <c r="DH114" s="11" t="n">
        <v>504507048</v>
      </c>
      <c r="DI114" s="11" t="n">
        <v>454872395</v>
      </c>
      <c r="DJ114" s="11" t="n">
        <v>-656237579</v>
      </c>
      <c r="DK114" s="11" t="n">
        <v>-821175436</v>
      </c>
      <c r="DL114" s="11" t="n">
        <v>244330660</v>
      </c>
      <c r="DM114" s="11" t="n">
        <v>-847851203</v>
      </c>
      <c r="DN114" s="11" t="n">
        <v>-602650516</v>
      </c>
      <c r="DO114" s="11" t="n">
        <v>597368452</v>
      </c>
      <c r="DP114" s="11" t="n">
        <v>-245299838</v>
      </c>
      <c r="DQ114" s="11" t="n">
        <v>-680462844</v>
      </c>
      <c r="DR114" s="11" t="n">
        <v>423658</v>
      </c>
      <c r="DS114" s="11" t="n">
        <v>4316</v>
      </c>
      <c r="DT114" s="11" t="n">
        <v>-516126</v>
      </c>
      <c r="DU114" s="11" t="n">
        <v>-11197</v>
      </c>
      <c r="DV114" s="11" t="n">
        <v>-341554</v>
      </c>
      <c r="DW114" s="11" t="n">
        <v>41393</v>
      </c>
      <c r="DX114" s="11" t="n">
        <v>-25932</v>
      </c>
      <c r="DY114" s="11" t="n">
        <v>-555398</v>
      </c>
      <c r="DZ114" s="11" t="n">
        <v>62933208</v>
      </c>
      <c r="EA114" s="11" t="n">
        <v>1248574</v>
      </c>
      <c r="EB114" s="11" t="n">
        <v>32806312</v>
      </c>
      <c r="EC114" s="11" t="n">
        <v>16091004</v>
      </c>
      <c r="ED114" s="11" t="n">
        <v>-1227806</v>
      </c>
      <c r="EE114" s="11" t="n">
        <v>-35490</v>
      </c>
      <c r="EF114" s="11" t="n">
        <v>-1959</v>
      </c>
      <c r="EG114" s="11" t="n">
        <v>-113550</v>
      </c>
      <c r="EH114" s="11" t="n">
        <v>218191</v>
      </c>
      <c r="EI114" s="11" t="n">
        <v>-46504</v>
      </c>
      <c r="EJ114" s="11" t="n">
        <v>142194</v>
      </c>
      <c r="EK114" s="11" t="n">
        <v>10770240</v>
      </c>
      <c r="EL114" s="11" t="n">
        <v>-25751856</v>
      </c>
      <c r="EM114" s="11" t="n">
        <v>5347914</v>
      </c>
      <c r="EN114" s="11" t="n">
        <v>139554</v>
      </c>
      <c r="EO114" s="11" t="n">
        <v>-547265</v>
      </c>
      <c r="EP114" s="11" t="n">
        <v>108875</v>
      </c>
      <c r="EQ114" s="11" t="n">
        <v>-16177904</v>
      </c>
      <c r="ER114" s="11" t="n">
        <v>2997926</v>
      </c>
      <c r="ES114" s="11" t="n">
        <v>864965</v>
      </c>
      <c r="ET114" s="11" t="n">
        <v>39744</v>
      </c>
      <c r="EU114" s="11" t="n">
        <v>-6253428</v>
      </c>
      <c r="EV114" s="11" t="n">
        <v>-4948</v>
      </c>
      <c r="EW114" s="11" t="n">
        <v>-4893240</v>
      </c>
      <c r="EX114" s="11" t="n">
        <v>119278</v>
      </c>
      <c r="EY114" s="11" t="n">
        <v>557870</v>
      </c>
      <c r="EZ114" s="11" t="n">
        <v>-15288</v>
      </c>
      <c r="FA114" s="11" t="n">
        <v>1000</v>
      </c>
      <c r="FB114" s="11" t="n">
        <v>-17808</v>
      </c>
      <c r="FC114" s="11" t="n">
        <v>-2668</v>
      </c>
      <c r="FD114" s="11" t="n">
        <v>8116</v>
      </c>
      <c r="FE114" s="11" t="n">
        <v>-159246</v>
      </c>
      <c r="FF114" s="11" t="n">
        <v>919716</v>
      </c>
      <c r="FG114" s="11" t="n">
        <v>465672</v>
      </c>
      <c r="FH114" s="11" t="n">
        <v>-1062402</v>
      </c>
      <c r="FI114" s="11" t="n">
        <v>125336</v>
      </c>
      <c r="FJ114" s="11" t="n">
        <v>-2669</v>
      </c>
      <c r="FK114" s="11" t="n">
        <v>-15047</v>
      </c>
      <c r="FL114" s="11" t="n">
        <v>381926</v>
      </c>
      <c r="FM114" s="11" t="n">
        <v>-749270</v>
      </c>
      <c r="FN114" s="11" t="n">
        <v>61807</v>
      </c>
      <c r="FO114" s="11" t="n">
        <v>2294124</v>
      </c>
      <c r="FP114" s="11" t="n">
        <v>-110644</v>
      </c>
      <c r="FQ114" s="11" t="n">
        <v>3337224</v>
      </c>
      <c r="FR114" s="11" t="n">
        <v>-1665890</v>
      </c>
      <c r="FS114" s="11" t="n">
        <v>-616162</v>
      </c>
      <c r="FT114" s="11" t="n">
        <v>17694636</v>
      </c>
      <c r="FU114" s="11" t="n">
        <v>-242637648</v>
      </c>
      <c r="FV114" s="11" t="n">
        <v>255230592</v>
      </c>
      <c r="FW114" s="11" t="n">
        <v>64746924</v>
      </c>
      <c r="FX114" s="11" t="n">
        <v>-14037848</v>
      </c>
      <c r="FY114" s="11" t="n">
        <v>539458</v>
      </c>
      <c r="FZ114" s="11" t="n">
        <v>1629774</v>
      </c>
      <c r="GA114" s="11" t="n">
        <v>195087112</v>
      </c>
      <c r="GB114" s="11" t="n">
        <v>29018000</v>
      </c>
      <c r="GC114" s="11" t="n">
        <v>21534206</v>
      </c>
      <c r="GD114" s="11" t="n">
        <v>-15162</v>
      </c>
      <c r="GE114" s="11" t="n">
        <v>-255780</v>
      </c>
      <c r="GF114" s="11" t="n">
        <v>794808</v>
      </c>
      <c r="GG114" s="11" t="n">
        <v>-231462</v>
      </c>
      <c r="GH114" s="11" t="n">
        <v>34392</v>
      </c>
      <c r="GI114" s="11" t="n">
        <v>-49343</v>
      </c>
      <c r="GJ114" s="11" t="n">
        <v>7091</v>
      </c>
      <c r="GK114" s="11" t="n">
        <v>970458</v>
      </c>
      <c r="GL114" s="11" t="n">
        <v>-405402</v>
      </c>
      <c r="GM114" s="11" t="n">
        <v>381549</v>
      </c>
      <c r="GN114" s="11" t="n">
        <v>-3576444</v>
      </c>
      <c r="GO114" s="11" t="n">
        <v>7817208</v>
      </c>
      <c r="GP114" s="11" t="n">
        <v>-1357356</v>
      </c>
      <c r="GQ114" s="11" t="n">
        <v>-55606176</v>
      </c>
      <c r="GR114" s="11" t="n">
        <v>31699404</v>
      </c>
      <c r="GS114" s="11" t="n">
        <v>-48182904</v>
      </c>
      <c r="GT114" s="11" t="n">
        <v>-6092662</v>
      </c>
      <c r="GU114" s="11" t="n">
        <v>1406254</v>
      </c>
      <c r="GV114" s="11" t="n">
        <v>-761390</v>
      </c>
      <c r="GW114" s="11" t="n">
        <v>-32137326</v>
      </c>
      <c r="GX114" s="11" t="n">
        <v>62986</v>
      </c>
      <c r="GY114" s="11" t="n">
        <v>-27165880</v>
      </c>
      <c r="GZ114" s="11" t="n">
        <v>-1613913</v>
      </c>
      <c r="HA114" s="11" t="n">
        <v>-14900418</v>
      </c>
      <c r="HB114" s="11" t="n">
        <v>-6401695</v>
      </c>
      <c r="HC114" s="11" t="n">
        <v>400948</v>
      </c>
      <c r="HD114" s="11" t="n">
        <v>-200018</v>
      </c>
      <c r="HE114" s="11" t="n">
        <v>-14777</v>
      </c>
      <c r="HF114" s="11" t="n">
        <v>-101018</v>
      </c>
      <c r="HG114" s="11" t="n">
        <v>-71371</v>
      </c>
      <c r="HH114" s="11" t="n">
        <v>7940</v>
      </c>
      <c r="HI114" s="11" t="n">
        <v>1248191</v>
      </c>
      <c r="HJ114" s="11" t="n">
        <v>-3748594</v>
      </c>
      <c r="HK114" s="11" t="n">
        <v>10453145</v>
      </c>
      <c r="HL114" s="11" t="n">
        <v>-2151276</v>
      </c>
      <c r="HM114" s="11" t="n">
        <v>-907332</v>
      </c>
      <c r="HN114" s="11" t="n">
        <v>326878</v>
      </c>
      <c r="HO114" s="11" t="n">
        <v>-109384</v>
      </c>
      <c r="HP114" s="11" t="n">
        <v>6616888</v>
      </c>
      <c r="HQ114" s="11" t="n">
        <v>-1235296</v>
      </c>
      <c r="HR114" s="11" t="n">
        <v>-352672</v>
      </c>
      <c r="HS114" s="11" t="n">
        <v>26256944</v>
      </c>
      <c r="HT114" s="11" t="n">
        <v>1930145</v>
      </c>
      <c r="HU114" s="11" t="n">
        <v>14656454</v>
      </c>
      <c r="HV114" s="11" t="n">
        <v>6000077</v>
      </c>
      <c r="HW114" s="11" t="n">
        <v>-343086</v>
      </c>
      <c r="HX114" s="11" t="n">
        <v>-159680948</v>
      </c>
      <c r="HY114" s="11" t="n">
        <v>-109802648</v>
      </c>
      <c r="HZ114" s="11" t="n">
        <v>80836620</v>
      </c>
      <c r="IA114" s="11" t="n">
        <v>-19169912</v>
      </c>
      <c r="IB114" s="11" t="n">
        <v>81061278</v>
      </c>
      <c r="IC114" s="11" t="n">
        <v>42431609</v>
      </c>
      <c r="ID114" s="11" t="n">
        <v>-3495647</v>
      </c>
      <c r="IE114" s="11" t="n">
        <v>70213904</v>
      </c>
      <c r="IF114" s="11" t="n">
        <v>-12135254</v>
      </c>
      <c r="IG114" s="11" t="n">
        <v>-3324341</v>
      </c>
      <c r="IH114" s="11" t="n">
        <v>30723</v>
      </c>
      <c r="II114" s="11" t="n">
        <v>-4431630</v>
      </c>
      <c r="IJ114" s="11" t="n">
        <v>10698583</v>
      </c>
      <c r="IK114" s="11" t="n">
        <v>-2220442</v>
      </c>
      <c r="IL114" s="11" t="n">
        <v>-342918</v>
      </c>
      <c r="IM114" s="11" t="n">
        <v>779431</v>
      </c>
      <c r="IN114" s="11" t="n">
        <v>-162823</v>
      </c>
      <c r="IO114" s="11" t="n">
        <v>6984568</v>
      </c>
      <c r="IP114" s="11" t="n">
        <v>-1297342</v>
      </c>
      <c r="IQ114" s="11" t="n">
        <v>-367609</v>
      </c>
      <c r="IR114" s="11" t="n">
        <v>27079326</v>
      </c>
      <c r="IS114" s="11" t="n">
        <v>-65157751</v>
      </c>
      <c r="IT114" s="11" t="n">
        <v>13525993</v>
      </c>
      <c r="IU114" s="11" t="n">
        <v>-31096336</v>
      </c>
      <c r="IV114" s="11" t="n">
        <v>6050074</v>
      </c>
      <c r="IW114" s="11" t="n">
        <v>974899</v>
      </c>
      <c r="IX114" s="11" t="n">
        <v>40272744</v>
      </c>
      <c r="IY114" s="11" t="n">
        <v>-7459212</v>
      </c>
      <c r="IZ114" s="11" t="n">
        <v>-2167830</v>
      </c>
      <c r="JA114" s="11" t="n">
        <v>-432024</v>
      </c>
      <c r="JB114" s="11" t="n">
        <v>-1618764</v>
      </c>
      <c r="JC114" s="11" t="n">
        <v>-150668</v>
      </c>
      <c r="JD114" s="11" t="n">
        <v>-670344</v>
      </c>
      <c r="JE114" s="11" t="n">
        <v>-618286</v>
      </c>
      <c r="JF114" s="11" t="n">
        <v>-45326</v>
      </c>
      <c r="JG114" s="11" t="n">
        <v>23504978</v>
      </c>
      <c r="JH114" s="11" t="n">
        <v>-93826812</v>
      </c>
      <c r="JI114" s="11" t="n">
        <v>102140950</v>
      </c>
      <c r="JJ114" s="11" t="n">
        <v>29853632</v>
      </c>
      <c r="JK114" s="11" t="n">
        <v>-18466632</v>
      </c>
      <c r="JL114" s="11" t="n">
        <v>529153</v>
      </c>
      <c r="JM114" s="11" t="n">
        <v>2120507</v>
      </c>
      <c r="JN114" s="11" t="n">
        <v>78134538</v>
      </c>
      <c r="JO114" s="11" t="n">
        <v>14989830</v>
      </c>
      <c r="JP114" s="11" t="n">
        <v>8542593</v>
      </c>
      <c r="JQ114" s="11" t="n">
        <v>98686</v>
      </c>
      <c r="JR114" s="11" t="n">
        <v>-467460</v>
      </c>
      <c r="JS114" s="11" t="n">
        <v>129164</v>
      </c>
      <c r="JT114" s="11" t="n">
        <v>347998</v>
      </c>
      <c r="JU114" s="11" t="n">
        <v>-84376</v>
      </c>
      <c r="JV114" s="11" t="n">
        <v>-25671</v>
      </c>
      <c r="JW114" s="11" t="n">
        <v>29627</v>
      </c>
      <c r="JX114" s="11" t="n">
        <v>232034</v>
      </c>
      <c r="JY114" s="11" t="n">
        <v>157198</v>
      </c>
      <c r="JZ114" s="11" t="n">
        <v>129301</v>
      </c>
      <c r="KA114" s="11" t="n">
        <v>1067632</v>
      </c>
      <c r="KB114" s="11" t="n">
        <v>4351397</v>
      </c>
      <c r="KC114" s="11" t="n">
        <v>-3233053</v>
      </c>
      <c r="KD114" s="11" t="n">
        <v>-22009238</v>
      </c>
      <c r="KE114" s="11" t="n">
        <v>11549654</v>
      </c>
      <c r="KF114" s="11" t="n">
        <v>-19575943</v>
      </c>
      <c r="KG114" s="11" t="n">
        <v>-3442700</v>
      </c>
      <c r="KH114" s="11" t="n">
        <v>2443724</v>
      </c>
      <c r="KI114" s="11" t="n">
        <v>-465346</v>
      </c>
      <c r="KJ114" s="11" t="n">
        <v>-13134216</v>
      </c>
      <c r="KK114" s="11" t="n">
        <v>-13203442</v>
      </c>
      <c r="KL114" s="11" t="n">
        <v>97230420</v>
      </c>
      <c r="KM114" s="11" t="n">
        <v>-103540346</v>
      </c>
      <c r="KN114" s="11" t="n">
        <v>-27712468</v>
      </c>
      <c r="KO114" s="11" t="n">
        <v>14517472</v>
      </c>
      <c r="KP114" s="11" t="n">
        <v>-4594069</v>
      </c>
      <c r="KQ114" s="11" t="n">
        <v>-2209663</v>
      </c>
      <c r="KR114" s="11" t="n">
        <v>-80014046</v>
      </c>
      <c r="KS114" s="11" t="n">
        <v>-14198458</v>
      </c>
      <c r="KT114" s="11" t="n">
        <v>-7685593</v>
      </c>
      <c r="KU114" s="11" t="n">
        <v>-646519204</v>
      </c>
      <c r="KV114" s="11" t="n">
        <v>670327142</v>
      </c>
      <c r="KW114" s="11" t="n">
        <v>158892990</v>
      </c>
      <c r="KX114" s="11" t="n">
        <v>133649432</v>
      </c>
      <c r="KY114" s="11" t="n">
        <v>186876316</v>
      </c>
      <c r="KZ114" s="11" t="n">
        <v>-160911398</v>
      </c>
      <c r="LA114" s="11" t="n">
        <v>-512086294</v>
      </c>
      <c r="LB114" s="11" t="n">
        <v>-66508034</v>
      </c>
      <c r="LC114" s="11" t="n">
        <v>-56896658</v>
      </c>
      <c r="LD114" s="11" t="n">
        <v>-134269854</v>
      </c>
      <c r="LE114" s="11" t="n">
        <v>-2114700</v>
      </c>
      <c r="LF114" s="11" t="n">
        <v>5258687</v>
      </c>
      <c r="LG114" s="11" t="n">
        <v>-1148987</v>
      </c>
      <c r="LH114" s="11" t="n">
        <v>-22141770</v>
      </c>
      <c r="LI114" s="11" t="n">
        <v>12899670</v>
      </c>
      <c r="LJ114" s="11" t="n">
        <v>-20047629</v>
      </c>
      <c r="LK114" s="11" t="n">
        <v>-5046242</v>
      </c>
      <c r="LL114" s="11" t="n">
        <v>1617242</v>
      </c>
      <c r="LM114" s="11" t="n">
        <v>-1279852</v>
      </c>
      <c r="LN114" s="11" t="n">
        <v>-13848894</v>
      </c>
      <c r="LO114" s="11" t="n">
        <v>150135194</v>
      </c>
      <c r="LP114" s="11" t="n">
        <v>-81709994</v>
      </c>
      <c r="LQ114" s="11" t="n">
        <v>121617202</v>
      </c>
      <c r="LR114" s="11" t="n">
        <v>60287778</v>
      </c>
      <c r="LS114" s="11" t="n">
        <v>-80164308</v>
      </c>
    </row>
    <row r="115" customFormat="false" ht="15" hidden="false" customHeight="true" outlineLevel="0" collapsed="false">
      <c r="A115" s="7" t="s">
        <v>181</v>
      </c>
      <c r="B115" s="11" t="n">
        <v>-738001</v>
      </c>
      <c r="C115" s="11" t="n">
        <v>453574792</v>
      </c>
      <c r="D115" s="11" t="n">
        <v>911295</v>
      </c>
      <c r="E115" s="11" t="n">
        <v>-38284158</v>
      </c>
      <c r="F115" s="11" t="n">
        <v>-13289397</v>
      </c>
      <c r="G115" s="11" t="n">
        <v>32263440</v>
      </c>
      <c r="H115" s="11" t="n">
        <v>59427302</v>
      </c>
      <c r="I115" s="11" t="n">
        <v>-4488077</v>
      </c>
      <c r="J115" s="11" t="n">
        <v>-12954300</v>
      </c>
      <c r="K115" s="11" t="n">
        <v>-20464</v>
      </c>
      <c r="L115" s="11" t="n">
        <v>-1350406</v>
      </c>
      <c r="M115" s="11" t="n">
        <v>387356</v>
      </c>
      <c r="N115" s="11" t="n">
        <v>-3334192</v>
      </c>
      <c r="O115" s="11" t="n">
        <v>-858731</v>
      </c>
      <c r="P115" s="11" t="n">
        <v>1372907</v>
      </c>
      <c r="Q115" s="11" t="n">
        <v>-3419012</v>
      </c>
      <c r="R115" s="11" t="n">
        <v>1501968952</v>
      </c>
      <c r="S115" s="11" t="n">
        <v>-4796852</v>
      </c>
      <c r="T115" s="11" t="n">
        <v>1482864064</v>
      </c>
      <c r="U115" s="11" t="n">
        <v>-515365648</v>
      </c>
      <c r="V115" s="11" t="n">
        <v>-765007244</v>
      </c>
      <c r="W115" s="11" t="n">
        <v>2729082</v>
      </c>
      <c r="X115" s="11" t="n">
        <v>-109812</v>
      </c>
      <c r="Y115" s="11" t="n">
        <v>3222480</v>
      </c>
      <c r="Z115" s="11" t="n">
        <v>-587483</v>
      </c>
      <c r="AA115" s="11" t="n">
        <v>-1570837</v>
      </c>
      <c r="AB115" s="11" t="n">
        <v>44411430</v>
      </c>
      <c r="AC115" s="11" t="n">
        <v>-231998976</v>
      </c>
      <c r="AD115" s="11" t="n">
        <v>-153288110</v>
      </c>
      <c r="AE115" s="11" t="n">
        <v>79432568</v>
      </c>
      <c r="AF115" s="11" t="n">
        <v>-43105584</v>
      </c>
      <c r="AG115" s="11" t="n">
        <v>15728305</v>
      </c>
      <c r="AH115" s="11" t="n">
        <v>22366667</v>
      </c>
      <c r="AI115" s="11" t="n">
        <v>-230943344</v>
      </c>
      <c r="AJ115" s="11" t="n">
        <v>-39743296</v>
      </c>
      <c r="AK115" s="11" t="n">
        <v>-105330627</v>
      </c>
      <c r="AL115" s="11" t="n">
        <v>-175022801</v>
      </c>
      <c r="AM115" s="11" t="n">
        <v>-608534</v>
      </c>
      <c r="AN115" s="11" t="n">
        <v>8761482</v>
      </c>
      <c r="AO115" s="11" t="n">
        <v>3164432</v>
      </c>
      <c r="AP115" s="11" t="n">
        <v>-17189142</v>
      </c>
      <c r="AQ115" s="11" t="n">
        <v>-23235290</v>
      </c>
      <c r="AR115" s="11" t="n">
        <v>1542679</v>
      </c>
      <c r="AS115" s="11" t="n">
        <v>157883633</v>
      </c>
      <c r="AT115" s="11" t="n">
        <v>3694592814</v>
      </c>
      <c r="AU115" s="11" t="n">
        <v>1206828853</v>
      </c>
      <c r="AV115" s="11" t="n">
        <v>2912901024</v>
      </c>
      <c r="AW115" s="11" t="n">
        <v>186732778</v>
      </c>
      <c r="AX115" s="11" t="n">
        <v>116253909</v>
      </c>
      <c r="AY115" s="11" t="n">
        <v>20749182</v>
      </c>
      <c r="AZ115" s="11" t="n">
        <v>7050558</v>
      </c>
      <c r="BA115" s="11" t="n">
        <v>-5378070</v>
      </c>
      <c r="BB115" s="11" t="n">
        <v>-20310718</v>
      </c>
      <c r="BC115" s="11" t="n">
        <v>1795813</v>
      </c>
      <c r="BD115" s="11" t="n">
        <v>6385902</v>
      </c>
      <c r="BE115" s="11" t="n">
        <v>-508666356</v>
      </c>
      <c r="BF115" s="11" t="n">
        <v>-499826256</v>
      </c>
      <c r="BG115" s="11" t="n">
        <v>26745168</v>
      </c>
      <c r="BH115" s="11" t="n">
        <v>-171189294</v>
      </c>
      <c r="BI115" s="11" t="n">
        <v>-163589666</v>
      </c>
      <c r="BJ115" s="11" t="n">
        <v>8535299</v>
      </c>
      <c r="BK115" s="11" t="n">
        <v>-368365284</v>
      </c>
      <c r="BL115" s="11" t="n">
        <v>37092174</v>
      </c>
      <c r="BM115" s="11" t="n">
        <v>17079272</v>
      </c>
      <c r="BN115" s="11" t="n">
        <v>-5828536</v>
      </c>
      <c r="BO115" s="11" t="n">
        <v>474051806</v>
      </c>
      <c r="BP115" s="11" t="n">
        <v>-36318556</v>
      </c>
      <c r="BQ115" s="11" t="n">
        <v>489005192</v>
      </c>
      <c r="BR115" s="11" t="n">
        <v>-204199469</v>
      </c>
      <c r="BS115" s="11" t="n">
        <v>-298516807</v>
      </c>
      <c r="BT115" s="11" t="n">
        <v>1356452</v>
      </c>
      <c r="BU115" s="11" t="n">
        <v>-231656</v>
      </c>
      <c r="BV115" s="11" t="n">
        <v>2272640</v>
      </c>
      <c r="BW115" s="11" t="n">
        <v>63794</v>
      </c>
      <c r="BX115" s="11" t="n">
        <v>-1089282</v>
      </c>
      <c r="BY115" s="11" t="n">
        <v>10388984</v>
      </c>
      <c r="BZ115" s="11" t="n">
        <v>-71036196</v>
      </c>
      <c r="CA115" s="11" t="n">
        <v>-52711082</v>
      </c>
      <c r="CB115" s="11" t="n">
        <v>19121848</v>
      </c>
      <c r="CC115" s="11" t="n">
        <v>-5274392</v>
      </c>
      <c r="CD115" s="11" t="n">
        <v>8513448</v>
      </c>
      <c r="CE115" s="11" t="n">
        <v>5077100</v>
      </c>
      <c r="CF115" s="11" t="n">
        <v>-84972878</v>
      </c>
      <c r="CG115" s="11" t="n">
        <v>-25007426</v>
      </c>
      <c r="CH115" s="11" t="n">
        <v>-41429681</v>
      </c>
      <c r="CI115" s="11" t="n">
        <v>-550665902</v>
      </c>
      <c r="CJ115" s="11" t="n">
        <v>-7427260</v>
      </c>
      <c r="CK115" s="11" t="n">
        <v>-538123400</v>
      </c>
      <c r="CL115" s="11" t="n">
        <v>177984669</v>
      </c>
      <c r="CM115" s="11" t="n">
        <v>265413007</v>
      </c>
      <c r="CN115" s="11" t="n">
        <v>4035369502</v>
      </c>
      <c r="CO115" s="11" t="n">
        <v>-2432877744</v>
      </c>
      <c r="CP115" s="11" t="n">
        <v>4816257634</v>
      </c>
      <c r="CQ115" s="11" t="n">
        <v>6616328952</v>
      </c>
      <c r="CR115" s="11" t="n">
        <v>-3976270120</v>
      </c>
      <c r="CS115" s="11" t="n">
        <v>1369261289</v>
      </c>
      <c r="CT115" s="11" t="n">
        <v>2034229367</v>
      </c>
      <c r="CU115" s="11" t="n">
        <v>3920210032</v>
      </c>
      <c r="CV115" s="11" t="n">
        <v>5293017096</v>
      </c>
      <c r="CW115" s="11" t="n">
        <v>182855525</v>
      </c>
      <c r="CX115" s="11" t="n">
        <v>23614812</v>
      </c>
      <c r="CY115" s="11" t="n">
        <v>-89478180</v>
      </c>
      <c r="CZ115" s="11" t="n">
        <v>-47448766</v>
      </c>
      <c r="DA115" s="11" t="n">
        <v>41144200</v>
      </c>
      <c r="DB115" s="11" t="n">
        <v>-24283800</v>
      </c>
      <c r="DC115" s="11" t="n">
        <v>6992734</v>
      </c>
      <c r="DD115" s="11" t="n">
        <v>11936942</v>
      </c>
      <c r="DE115" s="11" t="n">
        <v>-75288910</v>
      </c>
      <c r="DF115" s="11" t="n">
        <v>-2920130</v>
      </c>
      <c r="DG115" s="11" t="n">
        <v>-36168131</v>
      </c>
      <c r="DH115" s="11" t="n">
        <v>551378916</v>
      </c>
      <c r="DI115" s="11" t="n">
        <v>554253170</v>
      </c>
      <c r="DJ115" s="11" t="n">
        <v>-17776088</v>
      </c>
      <c r="DK115" s="11" t="n">
        <v>-992229612</v>
      </c>
      <c r="DL115" s="11" t="n">
        <v>-893315280</v>
      </c>
      <c r="DM115" s="11" t="n">
        <v>-929960816</v>
      </c>
      <c r="DN115" s="11" t="n">
        <v>-733227062</v>
      </c>
      <c r="DO115" s="11" t="n">
        <v>-260434306</v>
      </c>
      <c r="DP115" s="11" t="n">
        <v>-285430661</v>
      </c>
      <c r="DQ115" s="11" t="n">
        <v>-719273618</v>
      </c>
      <c r="DR115" s="11" t="n">
        <v>143162</v>
      </c>
      <c r="DS115" s="11" t="n">
        <v>3743</v>
      </c>
      <c r="DT115" s="11" t="n">
        <v>-511559</v>
      </c>
      <c r="DU115" s="11" t="n">
        <v>-887</v>
      </c>
      <c r="DV115" s="11" t="n">
        <v>-399352</v>
      </c>
      <c r="DW115" s="11" t="n">
        <v>24751</v>
      </c>
      <c r="DX115" s="11" t="n">
        <v>-29937</v>
      </c>
      <c r="DY115" s="11" t="n">
        <v>-2123666</v>
      </c>
      <c r="DZ115" s="11" t="n">
        <v>306977132</v>
      </c>
      <c r="EA115" s="11" t="n">
        <v>-2032810</v>
      </c>
      <c r="EB115" s="11" t="n">
        <v>251700064</v>
      </c>
      <c r="EC115" s="11" t="n">
        <v>-3683868</v>
      </c>
      <c r="ED115" s="11" t="n">
        <v>17528630</v>
      </c>
      <c r="EE115" s="11" t="n">
        <v>437511</v>
      </c>
      <c r="EF115" s="11" t="n">
        <v>-66306</v>
      </c>
      <c r="EG115" s="11" t="n">
        <v>656760</v>
      </c>
      <c r="EH115" s="11" t="n">
        <v>270841</v>
      </c>
      <c r="EI115" s="11" t="n">
        <v>14204</v>
      </c>
      <c r="EJ115" s="11" t="n">
        <v>9165777</v>
      </c>
      <c r="EK115" s="11" t="n">
        <v>-43080576</v>
      </c>
      <c r="EL115" s="11" t="n">
        <v>-39909160</v>
      </c>
      <c r="EM115" s="11" t="n">
        <v>1557997</v>
      </c>
      <c r="EN115" s="11" t="n">
        <v>-7230024</v>
      </c>
      <c r="EO115" s="11" t="n">
        <v>374273</v>
      </c>
      <c r="EP115" s="11" t="n">
        <v>-533690</v>
      </c>
      <c r="EQ115" s="11" t="n">
        <v>-33239744</v>
      </c>
      <c r="ER115" s="11" t="n">
        <v>3737384</v>
      </c>
      <c r="ES115" s="11" t="n">
        <v>2260147</v>
      </c>
      <c r="ET115" s="11" t="n">
        <v>61732</v>
      </c>
      <c r="EU115" s="11" t="n">
        <v>-9241472</v>
      </c>
      <c r="EV115" s="11" t="n">
        <v>59572</v>
      </c>
      <c r="EW115" s="11" t="n">
        <v>-7656704</v>
      </c>
      <c r="EX115" s="11" t="n">
        <v>267878</v>
      </c>
      <c r="EY115" s="11" t="n">
        <v>-259166</v>
      </c>
      <c r="EZ115" s="11" t="n">
        <v>-21034</v>
      </c>
      <c r="FA115" s="11" t="n">
        <v>1940</v>
      </c>
      <c r="FB115" s="11" t="n">
        <v>-27984</v>
      </c>
      <c r="FC115" s="11" t="n">
        <v>-3669</v>
      </c>
      <c r="FD115" s="11" t="n">
        <v>6133</v>
      </c>
      <c r="FE115" s="11" t="n">
        <v>-270126</v>
      </c>
      <c r="FF115" s="11" t="n">
        <v>1580416</v>
      </c>
      <c r="FG115" s="11" t="n">
        <v>640535</v>
      </c>
      <c r="FH115" s="11" t="n">
        <v>-1006435</v>
      </c>
      <c r="FI115" s="11" t="n">
        <v>213616</v>
      </c>
      <c r="FJ115" s="11" t="n">
        <v>-11959</v>
      </c>
      <c r="FK115" s="11" t="n">
        <v>14063</v>
      </c>
      <c r="FL115" s="11" t="n">
        <v>576504</v>
      </c>
      <c r="FM115" s="11" t="n">
        <v>-878168</v>
      </c>
      <c r="FN115" s="11" t="n">
        <v>11210</v>
      </c>
      <c r="FO115" s="11" t="n">
        <v>4718344</v>
      </c>
      <c r="FP115" s="11" t="n">
        <v>-7136</v>
      </c>
      <c r="FQ115" s="11" t="n">
        <v>5045568</v>
      </c>
      <c r="FR115" s="11" t="n">
        <v>-2385206</v>
      </c>
      <c r="FS115" s="11" t="n">
        <v>-3713942</v>
      </c>
      <c r="FT115" s="11" t="n">
        <v>-3484968</v>
      </c>
      <c r="FU115" s="11" t="n">
        <v>-170114560</v>
      </c>
      <c r="FV115" s="11" t="n">
        <v>336598100</v>
      </c>
      <c r="FW115" s="11" t="n">
        <v>575797404</v>
      </c>
      <c r="FX115" s="11" t="n">
        <v>3983936</v>
      </c>
      <c r="FY115" s="11" t="n">
        <v>-2270782</v>
      </c>
      <c r="FZ115" s="11" t="n">
        <v>-3613950</v>
      </c>
      <c r="GA115" s="11" t="n">
        <v>273945760</v>
      </c>
      <c r="GB115" s="11" t="n">
        <v>481827808</v>
      </c>
      <c r="GC115" s="11" t="n">
        <v>-26129846</v>
      </c>
      <c r="GD115" s="11" t="n">
        <v>-145848</v>
      </c>
      <c r="GE115" s="11" t="n">
        <v>419712</v>
      </c>
      <c r="GF115" s="11" t="n">
        <v>1093145</v>
      </c>
      <c r="GG115" s="11" t="n">
        <v>796693</v>
      </c>
      <c r="GH115" s="11" t="n">
        <v>155328</v>
      </c>
      <c r="GI115" s="11" t="n">
        <v>-75382</v>
      </c>
      <c r="GJ115" s="11" t="n">
        <v>-116006</v>
      </c>
      <c r="GK115" s="11" t="n">
        <v>1381128</v>
      </c>
      <c r="GL115" s="11" t="n">
        <v>1182312</v>
      </c>
      <c r="GM115" s="11" t="n">
        <v>457703</v>
      </c>
      <c r="GN115" s="11" t="n">
        <v>-5568384</v>
      </c>
      <c r="GO115" s="11" t="n">
        <v>9597135</v>
      </c>
      <c r="GP115" s="11" t="n">
        <v>17209947</v>
      </c>
      <c r="GQ115" s="11" t="n">
        <v>-69353600</v>
      </c>
      <c r="GR115" s="11" t="n">
        <v>-79942912</v>
      </c>
      <c r="GS115" s="11" t="n">
        <v>-76565995</v>
      </c>
      <c r="GT115" s="11" t="n">
        <v>-7342904</v>
      </c>
      <c r="GU115" s="11" t="n">
        <v>-13899544</v>
      </c>
      <c r="GV115" s="11" t="n">
        <v>1261553</v>
      </c>
      <c r="GW115" s="11" t="n">
        <v>-67698328</v>
      </c>
      <c r="GX115" s="11" t="n">
        <v>769635</v>
      </c>
      <c r="GY115" s="11" t="n">
        <v>-119620675</v>
      </c>
      <c r="GZ115" s="11" t="n">
        <v>403497</v>
      </c>
      <c r="HA115" s="11" t="n">
        <v>-98043956</v>
      </c>
      <c r="HB115" s="11" t="n">
        <v>1362571</v>
      </c>
      <c r="HC115" s="11" t="n">
        <v>-6800539</v>
      </c>
      <c r="HD115" s="11" t="n">
        <v>-377380</v>
      </c>
      <c r="HE115" s="11" t="n">
        <v>15318</v>
      </c>
      <c r="HF115" s="11" t="n">
        <v>-416474</v>
      </c>
      <c r="HG115" s="11" t="n">
        <v>-97436</v>
      </c>
      <c r="HH115" s="11" t="n">
        <v>-16861</v>
      </c>
      <c r="HI115" s="11" t="n">
        <v>-2182954</v>
      </c>
      <c r="HJ115" s="11" t="n">
        <v>16656042</v>
      </c>
      <c r="HK115" s="11" t="n">
        <v>15812128</v>
      </c>
      <c r="HL115" s="11" t="n">
        <v>-713927</v>
      </c>
      <c r="HM115" s="11" t="n">
        <v>1733018</v>
      </c>
      <c r="HN115" s="11" t="n">
        <v>-78202</v>
      </c>
      <c r="HO115" s="11" t="n">
        <v>126511</v>
      </c>
      <c r="HP115" s="11" t="n">
        <v>13149722</v>
      </c>
      <c r="HQ115" s="11" t="n">
        <v>-1532062</v>
      </c>
      <c r="HR115" s="11" t="n">
        <v>-890801</v>
      </c>
      <c r="HS115" s="11" t="n">
        <v>124153165</v>
      </c>
      <c r="HT115" s="11" t="n">
        <v>4942854</v>
      </c>
      <c r="HU115" s="11" t="n">
        <v>101251988</v>
      </c>
      <c r="HV115" s="11" t="n">
        <v>-408013</v>
      </c>
      <c r="HW115" s="11" t="n">
        <v>6645802</v>
      </c>
      <c r="HX115" s="11" t="n">
        <v>-833333933</v>
      </c>
      <c r="HY115" s="11" t="n">
        <v>78785784</v>
      </c>
      <c r="HZ115" s="11" t="n">
        <v>-156386744</v>
      </c>
      <c r="IA115" s="11" t="n">
        <v>64099371</v>
      </c>
      <c r="IB115" s="11" t="n">
        <v>682754596</v>
      </c>
      <c r="IC115" s="11" t="n">
        <v>-8964797</v>
      </c>
      <c r="ID115" s="11" t="n">
        <v>47159540</v>
      </c>
      <c r="IE115" s="11" t="n">
        <v>-127280872</v>
      </c>
      <c r="IF115" s="11" t="n">
        <v>48058332</v>
      </c>
      <c r="IG115" s="11" t="n">
        <v>8160581</v>
      </c>
      <c r="IH115" s="11" t="n">
        <v>-4894674</v>
      </c>
      <c r="II115" s="11" t="n">
        <v>17535702</v>
      </c>
      <c r="IJ115" s="11" t="n">
        <v>15917888</v>
      </c>
      <c r="IK115" s="11" t="n">
        <v>-538757</v>
      </c>
      <c r="IL115" s="11" t="n">
        <v>4689948</v>
      </c>
      <c r="IM115" s="11" t="n">
        <v>617646</v>
      </c>
      <c r="IN115" s="11" t="n">
        <v>240558</v>
      </c>
      <c r="IO115" s="11" t="n">
        <v>13039318</v>
      </c>
      <c r="IP115" s="11" t="n">
        <v>-1378048</v>
      </c>
      <c r="IQ115" s="11" t="n">
        <v>-850299</v>
      </c>
      <c r="IR115" s="11" t="n">
        <v>-114596070</v>
      </c>
      <c r="IS115" s="11" t="n">
        <v>-113008624</v>
      </c>
      <c r="IT115" s="11" t="n">
        <v>6143299</v>
      </c>
      <c r="IU115" s="11" t="n">
        <v>32189712</v>
      </c>
      <c r="IV115" s="11" t="n">
        <v>-9395442</v>
      </c>
      <c r="IW115" s="11" t="n">
        <v>-7539656</v>
      </c>
      <c r="IX115" s="11" t="n">
        <v>93821318</v>
      </c>
      <c r="IY115" s="11" t="n">
        <v>-11518388</v>
      </c>
      <c r="IZ115" s="11" t="n">
        <v>-6329229</v>
      </c>
      <c r="JA115" s="11" t="n">
        <v>-4456690</v>
      </c>
      <c r="JB115" s="11" t="n">
        <v>-1898990</v>
      </c>
      <c r="JC115" s="11" t="n">
        <v>-146268</v>
      </c>
      <c r="JD115" s="11" t="n">
        <v>-1114696</v>
      </c>
      <c r="JE115" s="11" t="n">
        <v>-852559</v>
      </c>
      <c r="JF115" s="11" t="n">
        <v>-1539149</v>
      </c>
      <c r="JG115" s="11" t="n">
        <v>23729318</v>
      </c>
      <c r="JH115" s="11" t="n">
        <v>-68660864</v>
      </c>
      <c r="JI115" s="11" t="n">
        <v>135871149</v>
      </c>
      <c r="JJ115" s="11" t="n">
        <v>222442959</v>
      </c>
      <c r="JK115" s="11" t="n">
        <v>-19217512</v>
      </c>
      <c r="JL115" s="11" t="n">
        <v>-188017</v>
      </c>
      <c r="JM115" s="11" t="n">
        <v>-2099363</v>
      </c>
      <c r="JN115" s="11" t="n">
        <v>110581132</v>
      </c>
      <c r="JO115" s="11" t="n">
        <v>186222980</v>
      </c>
      <c r="JP115" s="11" t="n">
        <v>-10258188</v>
      </c>
      <c r="JQ115" s="11" t="n">
        <v>109516</v>
      </c>
      <c r="JR115" s="11" t="n">
        <v>-481028</v>
      </c>
      <c r="JS115" s="11" t="n">
        <v>177628</v>
      </c>
      <c r="JT115" s="11" t="n">
        <v>713098</v>
      </c>
      <c r="JU115" s="11" t="n">
        <v>-101336</v>
      </c>
      <c r="JV115" s="11" t="n">
        <v>-35486</v>
      </c>
      <c r="JW115" s="11" t="n">
        <v>-33838</v>
      </c>
      <c r="JX115" s="11" t="n">
        <v>320226</v>
      </c>
      <c r="JY115" s="11" t="n">
        <v>808462</v>
      </c>
      <c r="JZ115" s="11" t="n">
        <v>176179</v>
      </c>
      <c r="KA115" s="11" t="n">
        <v>2051092</v>
      </c>
      <c r="KB115" s="11" t="n">
        <v>5616182</v>
      </c>
      <c r="KC115" s="11" t="n">
        <v>3917732</v>
      </c>
      <c r="KD115" s="11" t="n">
        <v>-27994742</v>
      </c>
      <c r="KE115" s="11" t="n">
        <v>-30563282</v>
      </c>
      <c r="KF115" s="11" t="n">
        <v>-30214665</v>
      </c>
      <c r="KG115" s="11" t="n">
        <v>-4532090</v>
      </c>
      <c r="KH115" s="11" t="n">
        <v>-2991366</v>
      </c>
      <c r="KI115" s="11" t="n">
        <v>465829</v>
      </c>
      <c r="KJ115" s="11" t="n">
        <v>-26704324</v>
      </c>
      <c r="KK115" s="11" t="n">
        <v>-11399176</v>
      </c>
      <c r="KL115" s="11" t="n">
        <v>70011728</v>
      </c>
      <c r="KM115" s="11" t="n">
        <v>-138536723</v>
      </c>
      <c r="KN115" s="11" t="n">
        <v>-231889023</v>
      </c>
      <c r="KO115" s="11" t="n">
        <v>12083840</v>
      </c>
      <c r="KP115" s="11" t="n">
        <v>-5552962</v>
      </c>
      <c r="KQ115" s="11" t="n">
        <v>-8621906</v>
      </c>
      <c r="KR115" s="11" t="n">
        <v>-112752284</v>
      </c>
      <c r="KS115" s="11" t="n">
        <v>-192862652</v>
      </c>
      <c r="KT115" s="11" t="n">
        <v>8177813</v>
      </c>
      <c r="KU115" s="11" t="n">
        <v>-462695056</v>
      </c>
      <c r="KV115" s="11" t="n">
        <v>915519731</v>
      </c>
      <c r="KW115" s="11" t="n">
        <v>1562357847</v>
      </c>
      <c r="KX115" s="11" t="n">
        <v>275320</v>
      </c>
      <c r="KY115" s="11" t="n">
        <v>-183299928</v>
      </c>
      <c r="KZ115" s="11" t="n">
        <v>363619293</v>
      </c>
      <c r="LA115" s="11" t="n">
        <v>-745112268</v>
      </c>
      <c r="LB115" s="11" t="n">
        <v>-1306232044</v>
      </c>
      <c r="LC115" s="11" t="n">
        <v>68618003</v>
      </c>
      <c r="LD115" s="11" t="n">
        <v>295958764</v>
      </c>
      <c r="LE115" s="11" t="n">
        <v>-1150128</v>
      </c>
      <c r="LF115" s="11" t="n">
        <v>6923246</v>
      </c>
      <c r="LG115" s="11" t="n">
        <v>9092638</v>
      </c>
      <c r="LH115" s="11" t="n">
        <v>-28543594</v>
      </c>
      <c r="LI115" s="11" t="n">
        <v>-32448770</v>
      </c>
      <c r="LJ115" s="11" t="n">
        <v>-30332059</v>
      </c>
      <c r="LK115" s="11" t="n">
        <v>-6778804</v>
      </c>
      <c r="LL115" s="11" t="n">
        <v>-8768852</v>
      </c>
      <c r="LM115" s="11" t="n">
        <v>-807120</v>
      </c>
      <c r="LN115" s="11" t="n">
        <v>-26371586</v>
      </c>
      <c r="LO115" s="11" t="n">
        <v>188644058</v>
      </c>
      <c r="LP115" s="11" t="n">
        <v>211436962</v>
      </c>
      <c r="LQ115" s="11" t="n">
        <v>218620909</v>
      </c>
      <c r="LR115" s="11" t="n">
        <v>-74858494</v>
      </c>
      <c r="LS115" s="11" t="n">
        <v>-192067406</v>
      </c>
    </row>
    <row r="116" customFormat="false" ht="15" hidden="false" customHeight="true" outlineLevel="0" collapsed="false">
      <c r="A116" s="7" t="s">
        <v>182</v>
      </c>
      <c r="B116" s="11" t="n">
        <v>-1317331</v>
      </c>
      <c r="C116" s="11" t="n">
        <v>40725533</v>
      </c>
      <c r="D116" s="11" t="n">
        <v>608036</v>
      </c>
      <c r="E116" s="11" t="n">
        <v>-67329939</v>
      </c>
      <c r="F116" s="11" t="n">
        <v>1163405</v>
      </c>
      <c r="G116" s="11" t="n">
        <v>-208874788</v>
      </c>
      <c r="H116" s="11" t="n">
        <v>79203025</v>
      </c>
      <c r="I116" s="11" t="n">
        <v>-49479473</v>
      </c>
      <c r="J116" s="11" t="n">
        <v>-2820796</v>
      </c>
      <c r="K116" s="11" t="n">
        <v>6240</v>
      </c>
      <c r="L116" s="11" t="n">
        <v>-6160610</v>
      </c>
      <c r="M116" s="11" t="n">
        <v>134964</v>
      </c>
      <c r="N116" s="11" t="n">
        <v>-110304</v>
      </c>
      <c r="O116" s="11" t="n">
        <v>-1067129</v>
      </c>
      <c r="P116" s="11" t="n">
        <v>3899353</v>
      </c>
      <c r="Q116" s="11" t="n">
        <v>-1494896</v>
      </c>
      <c r="R116" s="11" t="n">
        <v>334629754</v>
      </c>
      <c r="S116" s="11" t="n">
        <v>-6663632</v>
      </c>
      <c r="T116" s="11" t="n">
        <v>450672880</v>
      </c>
      <c r="U116" s="11" t="n">
        <v>-136606653</v>
      </c>
      <c r="V116" s="11" t="n">
        <v>-14599011</v>
      </c>
      <c r="W116" s="11" t="n">
        <v>2524600</v>
      </c>
      <c r="X116" s="11" t="n">
        <v>-56784</v>
      </c>
      <c r="Y116" s="11" t="n">
        <v>-938496</v>
      </c>
      <c r="Z116" s="11" t="n">
        <v>867724</v>
      </c>
      <c r="AA116" s="11" t="n">
        <v>-2034188</v>
      </c>
      <c r="AB116" s="11" t="n">
        <v>1457366</v>
      </c>
      <c r="AC116" s="11" t="n">
        <v>971182904</v>
      </c>
      <c r="AD116" s="11" t="n">
        <v>-424941551</v>
      </c>
      <c r="AE116" s="11" t="n">
        <v>430694287</v>
      </c>
      <c r="AF116" s="11" t="n">
        <v>-21302352</v>
      </c>
      <c r="AG116" s="11" t="n">
        <v>9056995</v>
      </c>
      <c r="AH116" s="11" t="n">
        <v>-8513027</v>
      </c>
      <c r="AI116" s="11" t="n">
        <v>-175834892</v>
      </c>
      <c r="AJ116" s="11" t="n">
        <v>622420876</v>
      </c>
      <c r="AK116" s="11" t="n">
        <v>-194362368</v>
      </c>
      <c r="AL116" s="11" t="n">
        <v>-19816656</v>
      </c>
      <c r="AM116" s="11" t="n">
        <v>-709852</v>
      </c>
      <c r="AN116" s="11" t="n">
        <v>17894380</v>
      </c>
      <c r="AO116" s="11" t="n">
        <v>-3892500</v>
      </c>
      <c r="AP116" s="11" t="n">
        <v>71564428</v>
      </c>
      <c r="AQ116" s="11" t="n">
        <v>-31075269</v>
      </c>
      <c r="AR116" s="11" t="n">
        <v>18283328</v>
      </c>
      <c r="AS116" s="11" t="n">
        <v>12798500</v>
      </c>
      <c r="AT116" s="11" t="n">
        <v>459638524</v>
      </c>
      <c r="AU116" s="11" t="n">
        <v>102836220</v>
      </c>
      <c r="AV116" s="11" t="n">
        <v>929683084</v>
      </c>
      <c r="AW116" s="11" t="n">
        <v>-230756133</v>
      </c>
      <c r="AX116" s="11" t="n">
        <v>179088944</v>
      </c>
      <c r="AY116" s="11" t="n">
        <v>28021708</v>
      </c>
      <c r="AZ116" s="11" t="n">
        <v>1169740</v>
      </c>
      <c r="BA116" s="11" t="n">
        <v>79521728</v>
      </c>
      <c r="BB116" s="11" t="n">
        <v>-28335736</v>
      </c>
      <c r="BC116" s="11" t="n">
        <v>18223348</v>
      </c>
      <c r="BD116" s="11" t="n">
        <v>-183145600</v>
      </c>
      <c r="BE116" s="11" t="n">
        <v>820404092</v>
      </c>
      <c r="BF116" s="11" t="n">
        <v>-512404961</v>
      </c>
      <c r="BG116" s="11" t="n">
        <v>262356892</v>
      </c>
      <c r="BH116" s="11" t="n">
        <v>553988860</v>
      </c>
      <c r="BI116" s="11" t="n">
        <v>-206587905</v>
      </c>
      <c r="BJ116" s="11" t="n">
        <v>130056860</v>
      </c>
      <c r="BK116" s="11" t="n">
        <v>-624536312</v>
      </c>
      <c r="BL116" s="11" t="n">
        <v>210999420</v>
      </c>
      <c r="BM116" s="11" t="n">
        <v>67935127</v>
      </c>
      <c r="BN116" s="11" t="n">
        <v>-1613872</v>
      </c>
      <c r="BO116" s="11" t="n">
        <v>130991440</v>
      </c>
      <c r="BP116" s="11" t="n">
        <v>-10365264</v>
      </c>
      <c r="BQ116" s="11" t="n">
        <v>154899952</v>
      </c>
      <c r="BR116" s="11" t="n">
        <v>-50488500</v>
      </c>
      <c r="BS116" s="11" t="n">
        <v>-19508080</v>
      </c>
      <c r="BT116" s="11" t="n">
        <v>3234920</v>
      </c>
      <c r="BU116" s="11" t="n">
        <v>-54288</v>
      </c>
      <c r="BV116" s="11" t="n">
        <v>-279552</v>
      </c>
      <c r="BW116" s="11" t="n">
        <v>722228</v>
      </c>
      <c r="BX116" s="11" t="n">
        <v>-2187796</v>
      </c>
      <c r="BY116" s="11" t="n">
        <v>-16370280</v>
      </c>
      <c r="BZ116" s="11" t="n">
        <v>333178760</v>
      </c>
      <c r="CA116" s="11" t="n">
        <v>-159821810</v>
      </c>
      <c r="CB116" s="11" t="n">
        <v>138471620</v>
      </c>
      <c r="CC116" s="11" t="n">
        <v>-7006032</v>
      </c>
      <c r="CD116" s="11" t="n">
        <v>6336936</v>
      </c>
      <c r="CE116" s="11" t="n">
        <v>-13395132</v>
      </c>
      <c r="CF116" s="11" t="n">
        <v>-60574148</v>
      </c>
      <c r="CG116" s="11" t="n">
        <v>213364516</v>
      </c>
      <c r="CH116" s="11" t="n">
        <v>-77173295</v>
      </c>
      <c r="CI116" s="11" t="n">
        <v>-122033288</v>
      </c>
      <c r="CJ116" s="11" t="n">
        <v>-1680640</v>
      </c>
      <c r="CK116" s="11" t="n">
        <v>-175755008</v>
      </c>
      <c r="CL116" s="11" t="n">
        <v>51400596</v>
      </c>
      <c r="CM116" s="11" t="n">
        <v>-1985828</v>
      </c>
      <c r="CN116" s="11" t="n">
        <v>920182456</v>
      </c>
      <c r="CO116" s="11" t="n">
        <v>2552526552</v>
      </c>
      <c r="CP116" s="11" t="n">
        <v>-354278670</v>
      </c>
      <c r="CQ116" s="11" t="n">
        <v>1636289380</v>
      </c>
      <c r="CR116" s="11" t="n">
        <v>-1290113536</v>
      </c>
      <c r="CS116" s="11" t="n">
        <v>382703052</v>
      </c>
      <c r="CT116" s="11" t="n">
        <v>7560964</v>
      </c>
      <c r="CU116" s="11" t="n">
        <v>564887964</v>
      </c>
      <c r="CV116" s="11" t="n">
        <v>2315082868</v>
      </c>
      <c r="CW116" s="11" t="n">
        <v>-683442315</v>
      </c>
      <c r="CX116" s="11" t="n">
        <v>7473752</v>
      </c>
      <c r="CY116" s="11" t="n">
        <v>373429888</v>
      </c>
      <c r="CZ116" s="11" t="n">
        <v>-157641172</v>
      </c>
      <c r="DA116" s="11" t="n">
        <v>169411164</v>
      </c>
      <c r="DB116" s="11" t="n">
        <v>-5620992</v>
      </c>
      <c r="DC116" s="11" t="n">
        <v>976924</v>
      </c>
      <c r="DD116" s="11" t="n">
        <v>2211508</v>
      </c>
      <c r="DE116" s="11" t="n">
        <v>-69749056</v>
      </c>
      <c r="DF116" s="11" t="n">
        <v>237912896</v>
      </c>
      <c r="DG116" s="11" t="n">
        <v>-68790956</v>
      </c>
      <c r="DH116" s="11" t="n">
        <v>-2659493048</v>
      </c>
      <c r="DI116" s="11" t="n">
        <v>1166983634</v>
      </c>
      <c r="DJ116" s="11" t="n">
        <v>-1177219448</v>
      </c>
      <c r="DK116" s="11" t="n">
        <v>2213207868</v>
      </c>
      <c r="DL116" s="11" t="n">
        <v>1463640524</v>
      </c>
      <c r="DM116" s="11" t="n">
        <v>-1621916585</v>
      </c>
      <c r="DN116" s="11" t="n">
        <v>-530052788</v>
      </c>
      <c r="DO116" s="11" t="n">
        <v>1672336900</v>
      </c>
      <c r="DP116" s="11" t="n">
        <v>-499193387</v>
      </c>
      <c r="DQ116" s="11" t="n">
        <v>-1683417044</v>
      </c>
      <c r="DR116" s="11" t="n">
        <v>-292187</v>
      </c>
      <c r="DS116" s="11" t="n">
        <v>3723</v>
      </c>
      <c r="DT116" s="11" t="n">
        <v>-388639</v>
      </c>
      <c r="DU116" s="11" t="n">
        <v>1991</v>
      </c>
      <c r="DV116" s="11" t="n">
        <v>-734610</v>
      </c>
      <c r="DW116" s="11" t="n">
        <v>59346</v>
      </c>
      <c r="DX116" s="11" t="n">
        <v>-132740</v>
      </c>
      <c r="DY116" s="11" t="n">
        <v>-249961</v>
      </c>
      <c r="DZ116" s="11" t="n">
        <v>26948780</v>
      </c>
      <c r="EA116" s="11" t="n">
        <v>-319598</v>
      </c>
      <c r="EB116" s="11" t="n">
        <v>69039506</v>
      </c>
      <c r="EC116" s="11" t="n">
        <v>-19402103</v>
      </c>
      <c r="ED116" s="11" t="n">
        <v>15078341</v>
      </c>
      <c r="EE116" s="11" t="n">
        <v>-10903</v>
      </c>
      <c r="EF116" s="11" t="n">
        <v>2369</v>
      </c>
      <c r="EG116" s="11" t="n">
        <v>-251244</v>
      </c>
      <c r="EH116" s="11" t="n">
        <v>196449</v>
      </c>
      <c r="EI116" s="11" t="n">
        <v>-78569</v>
      </c>
      <c r="EJ116" s="11" t="n">
        <v>-241466</v>
      </c>
      <c r="EK116" s="11" t="n">
        <v>24075682</v>
      </c>
      <c r="EL116" s="11" t="n">
        <v>-20333251</v>
      </c>
      <c r="EM116" s="11" t="n">
        <v>7812977</v>
      </c>
      <c r="EN116" s="11" t="n">
        <v>333082</v>
      </c>
      <c r="EO116" s="11" t="n">
        <v>67295</v>
      </c>
      <c r="EP116" s="11" t="n">
        <v>42447</v>
      </c>
      <c r="EQ116" s="11" t="n">
        <v>-34757742</v>
      </c>
      <c r="ER116" s="11" t="n">
        <v>6545110</v>
      </c>
      <c r="ES116" s="11" t="n">
        <v>5751782</v>
      </c>
      <c r="ET116" s="11" t="n">
        <v>6588</v>
      </c>
      <c r="EU116" s="11" t="n">
        <v>534246</v>
      </c>
      <c r="EV116" s="11" t="n">
        <v>-25672</v>
      </c>
      <c r="EW116" s="11" t="n">
        <v>-1548552</v>
      </c>
      <c r="EX116" s="11" t="n">
        <v>363769</v>
      </c>
      <c r="EY116" s="11" t="n">
        <v>-1149121</v>
      </c>
      <c r="EZ116" s="11" t="n">
        <v>-15570</v>
      </c>
      <c r="FA116" s="11" t="n">
        <v>372</v>
      </c>
      <c r="FB116" s="11" t="n">
        <v>3168</v>
      </c>
      <c r="FC116" s="11" t="n">
        <v>-3297</v>
      </c>
      <c r="FD116" s="11" t="n">
        <v>11649</v>
      </c>
      <c r="FE116" s="11" t="n">
        <v>-30506</v>
      </c>
      <c r="FF116" s="11" t="n">
        <v>-3402924</v>
      </c>
      <c r="FG116" s="11" t="n">
        <v>592361</v>
      </c>
      <c r="FH116" s="11" t="n">
        <v>-1771157</v>
      </c>
      <c r="FI116" s="11" t="n">
        <v>75096</v>
      </c>
      <c r="FJ116" s="11" t="n">
        <v>-7693</v>
      </c>
      <c r="FK116" s="11" t="n">
        <v>19493</v>
      </c>
      <c r="FL116" s="11" t="n">
        <v>600054</v>
      </c>
      <c r="FM116" s="11" t="n">
        <v>-2185590</v>
      </c>
      <c r="FN116" s="11" t="n">
        <v>68138</v>
      </c>
      <c r="FO116" s="11" t="n">
        <v>1064658</v>
      </c>
      <c r="FP116" s="11" t="n">
        <v>-29168</v>
      </c>
      <c r="FQ116" s="11" t="n">
        <v>231888</v>
      </c>
      <c r="FR116" s="11" t="n">
        <v>-126265</v>
      </c>
      <c r="FS116" s="11" t="n">
        <v>-643079</v>
      </c>
      <c r="FT116" s="11" t="n">
        <v>1783396</v>
      </c>
      <c r="FU116" s="11" t="n">
        <v>269059428</v>
      </c>
      <c r="FV116" s="11" t="n">
        <v>-69026434</v>
      </c>
      <c r="FW116" s="11" t="n">
        <v>133554718</v>
      </c>
      <c r="FX116" s="11" t="n">
        <v>-7759744</v>
      </c>
      <c r="FY116" s="11" t="n">
        <v>2102594</v>
      </c>
      <c r="FZ116" s="11" t="n">
        <v>-2581730</v>
      </c>
      <c r="GA116" s="11" t="n">
        <v>16875266</v>
      </c>
      <c r="GB116" s="11" t="n">
        <v>191607262</v>
      </c>
      <c r="GC116" s="11" t="n">
        <v>-57532782</v>
      </c>
      <c r="GD116" s="11" t="n">
        <v>8818</v>
      </c>
      <c r="GE116" s="11" t="n">
        <v>-1060008</v>
      </c>
      <c r="GF116" s="11" t="n">
        <v>831227</v>
      </c>
      <c r="GG116" s="11" t="n">
        <v>-362699</v>
      </c>
      <c r="GH116" s="11" t="n">
        <v>27120</v>
      </c>
      <c r="GI116" s="11" t="n">
        <v>-21727</v>
      </c>
      <c r="GJ116" s="11" t="n">
        <v>15263</v>
      </c>
      <c r="GK116" s="11" t="n">
        <v>55332</v>
      </c>
      <c r="GL116" s="11" t="n">
        <v>-719268</v>
      </c>
      <c r="GM116" s="11" t="n">
        <v>545096</v>
      </c>
      <c r="GN116" s="11" t="n">
        <v>-4004084</v>
      </c>
      <c r="GO116" s="11" t="n">
        <v>1964088</v>
      </c>
      <c r="GP116" s="11" t="n">
        <v>-1713716</v>
      </c>
      <c r="GQ116" s="11" t="n">
        <v>141341998</v>
      </c>
      <c r="GR116" s="11" t="n">
        <v>41310434</v>
      </c>
      <c r="GS116" s="11" t="n">
        <v>-80756890</v>
      </c>
      <c r="GT116" s="11" t="n">
        <v>-3825206</v>
      </c>
      <c r="GU116" s="11" t="n">
        <v>1660054</v>
      </c>
      <c r="GV116" s="11" t="n">
        <v>822866</v>
      </c>
      <c r="GW116" s="11" t="n">
        <v>-98063944</v>
      </c>
      <c r="GX116" s="11" t="n">
        <v>213452</v>
      </c>
      <c r="GY116" s="11" t="n">
        <v>-9815324</v>
      </c>
      <c r="GZ116" s="11" t="n">
        <v>893316</v>
      </c>
      <c r="HA116" s="11" t="n">
        <v>-26923916</v>
      </c>
      <c r="HB116" s="11" t="n">
        <v>7785309</v>
      </c>
      <c r="HC116" s="11" t="n">
        <v>-6052096</v>
      </c>
      <c r="HD116" s="11" t="n">
        <v>-158848</v>
      </c>
      <c r="HE116" s="11" t="n">
        <v>-9928</v>
      </c>
      <c r="HF116" s="11" t="n">
        <v>-193596</v>
      </c>
      <c r="HG116" s="11" t="n">
        <v>-55845</v>
      </c>
      <c r="HH116" s="11" t="n">
        <v>-19856</v>
      </c>
      <c r="HI116" s="11" t="n">
        <v>1121320</v>
      </c>
      <c r="HJ116" s="11" t="n">
        <v>-11134132</v>
      </c>
      <c r="HK116" s="11" t="n">
        <v>8361681</v>
      </c>
      <c r="HL116" s="11" t="n">
        <v>-3590832</v>
      </c>
      <c r="HM116" s="11" t="n">
        <v>-2062492</v>
      </c>
      <c r="HN116" s="11" t="n">
        <v>128391</v>
      </c>
      <c r="HO116" s="11" t="n">
        <v>-364592</v>
      </c>
      <c r="HP116" s="11" t="n">
        <v>14105142</v>
      </c>
      <c r="HQ116" s="11" t="n">
        <v>-2984560</v>
      </c>
      <c r="HR116" s="11" t="n">
        <v>-2307612</v>
      </c>
      <c r="HS116" s="11" t="n">
        <v>11290108</v>
      </c>
      <c r="HT116" s="11" t="n">
        <v>530740</v>
      </c>
      <c r="HU116" s="11" t="n">
        <v>27402628</v>
      </c>
      <c r="HV116" s="11" t="n">
        <v>-7513661</v>
      </c>
      <c r="HW116" s="11" t="n">
        <v>5837748</v>
      </c>
      <c r="HX116" s="11" t="n">
        <v>-71655544</v>
      </c>
      <c r="HY116" s="11" t="n">
        <v>164009928</v>
      </c>
      <c r="HZ116" s="11" t="n">
        <v>-66281704</v>
      </c>
      <c r="IA116" s="11" t="n">
        <v>51671708</v>
      </c>
      <c r="IB116" s="11" t="n">
        <v>181627744</v>
      </c>
      <c r="IC116" s="11" t="n">
        <v>-50803218</v>
      </c>
      <c r="ID116" s="11" t="n">
        <v>39479804</v>
      </c>
      <c r="IE116" s="11" t="n">
        <v>-51724738</v>
      </c>
      <c r="IF116" s="11" t="n">
        <v>40610060</v>
      </c>
      <c r="IG116" s="11" t="n">
        <v>-115837</v>
      </c>
      <c r="IH116" s="11" t="n">
        <v>130152</v>
      </c>
      <c r="II116" s="11" t="n">
        <v>-10152788</v>
      </c>
      <c r="IJ116" s="11" t="n">
        <v>8545369</v>
      </c>
      <c r="IK116" s="11" t="n">
        <v>-3294128</v>
      </c>
      <c r="IL116" s="11" t="n">
        <v>-793172</v>
      </c>
      <c r="IM116" s="11" t="n">
        <v>488329</v>
      </c>
      <c r="IN116" s="11" t="n">
        <v>-222152</v>
      </c>
      <c r="IO116" s="11" t="n">
        <v>13984008</v>
      </c>
      <c r="IP116" s="11" t="n">
        <v>-2745620</v>
      </c>
      <c r="IQ116" s="11" t="n">
        <v>-2226263</v>
      </c>
      <c r="IR116" s="11" t="n">
        <v>62546552</v>
      </c>
      <c r="IS116" s="11" t="n">
        <v>-53471266</v>
      </c>
      <c r="IT116" s="11" t="n">
        <v>20311352</v>
      </c>
      <c r="IU116" s="11" t="n">
        <v>64532710</v>
      </c>
      <c r="IV116" s="11" t="n">
        <v>-1386860</v>
      </c>
      <c r="IW116" s="11" t="n">
        <v>-19770705</v>
      </c>
      <c r="IX116" s="11" t="n">
        <v>91190422</v>
      </c>
      <c r="IY116" s="11" t="n">
        <v>-17022820</v>
      </c>
      <c r="IZ116" s="11" t="n">
        <v>-15060287</v>
      </c>
      <c r="JA116" s="11" t="n">
        <v>-15541390</v>
      </c>
      <c r="JB116" s="11" t="n">
        <v>611592</v>
      </c>
      <c r="JC116" s="11" t="n">
        <v>-38896</v>
      </c>
      <c r="JD116" s="11" t="n">
        <v>-524208</v>
      </c>
      <c r="JE116" s="11" t="n">
        <v>90208</v>
      </c>
      <c r="JF116" s="11" t="n">
        <v>-703012</v>
      </c>
      <c r="JG116" s="11" t="n">
        <v>-770984</v>
      </c>
      <c r="JH116" s="11" t="n">
        <v>101248632</v>
      </c>
      <c r="JI116" s="11" t="n">
        <v>-26454910</v>
      </c>
      <c r="JJ116" s="11" t="n">
        <v>49667860</v>
      </c>
      <c r="JK116" s="11" t="n">
        <v>-7100032</v>
      </c>
      <c r="JL116" s="11" t="n">
        <v>1796196</v>
      </c>
      <c r="JM116" s="11" t="n">
        <v>-4045004</v>
      </c>
      <c r="JN116" s="11" t="n">
        <v>7741172</v>
      </c>
      <c r="JO116" s="11" t="n">
        <v>73811812</v>
      </c>
      <c r="JP116" s="11" t="n">
        <v>-23083495</v>
      </c>
      <c r="JQ116" s="11" t="n">
        <v>57392</v>
      </c>
      <c r="JR116" s="11" t="n">
        <v>944808</v>
      </c>
      <c r="JS116" s="11" t="n">
        <v>92878</v>
      </c>
      <c r="JT116" s="11" t="n">
        <v>580064</v>
      </c>
      <c r="JU116" s="11" t="n">
        <v>-10896</v>
      </c>
      <c r="JV116" s="11" t="n">
        <v>-14372</v>
      </c>
      <c r="JW116" s="11" t="n">
        <v>29080</v>
      </c>
      <c r="JX116" s="11" t="n">
        <v>-218964</v>
      </c>
      <c r="JY116" s="11" t="n">
        <v>588852</v>
      </c>
      <c r="JZ116" s="11" t="n">
        <v>192319</v>
      </c>
      <c r="KA116" s="11" t="n">
        <v>-10692248</v>
      </c>
      <c r="KB116" s="11" t="n">
        <v>2365454</v>
      </c>
      <c r="KC116" s="11" t="n">
        <v>-5392088</v>
      </c>
      <c r="KD116" s="11" t="n">
        <v>56244328</v>
      </c>
      <c r="KE116" s="11" t="n">
        <v>19300604</v>
      </c>
      <c r="KF116" s="11" t="n">
        <v>-32633835</v>
      </c>
      <c r="KG116" s="11" t="n">
        <v>-3126620</v>
      </c>
      <c r="KH116" s="11" t="n">
        <v>6441364</v>
      </c>
      <c r="KI116" s="11" t="n">
        <v>151723</v>
      </c>
      <c r="KJ116" s="11" t="n">
        <v>-39527314</v>
      </c>
      <c r="KK116" s="11" t="n">
        <v>-3578024</v>
      </c>
      <c r="KL116" s="11" t="n">
        <v>-106242120</v>
      </c>
      <c r="KM116" s="11" t="n">
        <v>26299838</v>
      </c>
      <c r="KN116" s="11" t="n">
        <v>-53910956</v>
      </c>
      <c r="KO116" s="11" t="n">
        <v>3689984</v>
      </c>
      <c r="KP116" s="11" t="n">
        <v>-1144868</v>
      </c>
      <c r="KQ116" s="11" t="n">
        <v>-684236</v>
      </c>
      <c r="KR116" s="11" t="n">
        <v>-6871732</v>
      </c>
      <c r="KS116" s="11" t="n">
        <v>-75914876</v>
      </c>
      <c r="KT116" s="11" t="n">
        <v>22279399</v>
      </c>
      <c r="KU116" s="11" t="n">
        <v>726270144</v>
      </c>
      <c r="KV116" s="11" t="n">
        <v>-187924396</v>
      </c>
      <c r="KW116" s="11" t="n">
        <v>358535232</v>
      </c>
      <c r="KX116" s="11" t="n">
        <v>-241669452</v>
      </c>
      <c r="KY116" s="11" t="n">
        <v>-296916576</v>
      </c>
      <c r="KZ116" s="11" t="n">
        <v>196132090</v>
      </c>
      <c r="LA116" s="11" t="n">
        <v>-38581472</v>
      </c>
      <c r="LB116" s="11" t="n">
        <v>-508640928</v>
      </c>
      <c r="LC116" s="11" t="n">
        <v>150658618</v>
      </c>
      <c r="LD116" s="11" t="n">
        <v>153479386</v>
      </c>
      <c r="LE116" s="11" t="n">
        <v>-4442344</v>
      </c>
      <c r="LF116" s="11" t="n">
        <v>3011354</v>
      </c>
      <c r="LG116" s="11" t="n">
        <v>-1665448</v>
      </c>
      <c r="LH116" s="11" t="n">
        <v>56763092</v>
      </c>
      <c r="LI116" s="11" t="n">
        <v>17481796</v>
      </c>
      <c r="LJ116" s="11" t="n">
        <v>-33131125</v>
      </c>
      <c r="LK116" s="11" t="n">
        <v>-1684156</v>
      </c>
      <c r="LL116" s="11" t="n">
        <v>2567084</v>
      </c>
      <c r="LM116" s="11" t="n">
        <v>-1108767</v>
      </c>
      <c r="LN116" s="11" t="n">
        <v>-39429116</v>
      </c>
      <c r="LO116" s="11" t="n">
        <v>-377926948</v>
      </c>
      <c r="LP116" s="11" t="n">
        <v>-107090304</v>
      </c>
      <c r="LQ116" s="11" t="n">
        <v>214279780</v>
      </c>
      <c r="LR116" s="11" t="n">
        <v>-118870810</v>
      </c>
      <c r="LS116" s="11" t="n">
        <v>-258990974</v>
      </c>
    </row>
    <row r="117" customFormat="false" ht="15" hidden="false" customHeight="true" outlineLevel="0" collapsed="false">
      <c r="A117" s="7" t="s">
        <v>183</v>
      </c>
      <c r="B117" s="11" t="n">
        <v>-2245169</v>
      </c>
      <c r="C117" s="11" t="n">
        <v>74617723</v>
      </c>
      <c r="D117" s="11" t="n">
        <v>457030</v>
      </c>
      <c r="E117" s="11" t="n">
        <v>22754873</v>
      </c>
      <c r="F117" s="11" t="n">
        <v>-1901393</v>
      </c>
      <c r="G117" s="11" t="n">
        <v>-310066640</v>
      </c>
      <c r="H117" s="11" t="n">
        <v>144178063</v>
      </c>
      <c r="I117" s="11" t="n">
        <v>-97113413</v>
      </c>
      <c r="J117" s="11" t="n">
        <v>-4705700</v>
      </c>
      <c r="K117" s="11" t="n">
        <v>-696</v>
      </c>
      <c r="L117" s="11" t="n">
        <v>-7809934</v>
      </c>
      <c r="M117" s="11" t="n">
        <v>154044</v>
      </c>
      <c r="N117" s="11" t="n">
        <v>710352</v>
      </c>
      <c r="O117" s="11" t="n">
        <v>-1638979</v>
      </c>
      <c r="P117" s="11" t="n">
        <v>6395723</v>
      </c>
      <c r="Q117" s="11" t="n">
        <v>-934768</v>
      </c>
      <c r="R117" s="11" t="n">
        <v>211869078</v>
      </c>
      <c r="S117" s="11" t="n">
        <v>-1134448</v>
      </c>
      <c r="T117" s="11" t="n">
        <v>626267216</v>
      </c>
      <c r="U117" s="11" t="n">
        <v>-247714907</v>
      </c>
      <c r="V117" s="11" t="n">
        <v>-9018341</v>
      </c>
      <c r="W117" s="11" t="n">
        <v>1582748</v>
      </c>
      <c r="X117" s="11" t="n">
        <v>-30768</v>
      </c>
      <c r="Y117" s="11" t="n">
        <v>-48480</v>
      </c>
      <c r="Z117" s="11" t="n">
        <v>288938</v>
      </c>
      <c r="AA117" s="11" t="n">
        <v>-1271818</v>
      </c>
      <c r="AB117" s="11" t="n">
        <v>5052850</v>
      </c>
      <c r="AC117" s="11" t="n">
        <v>1071383056</v>
      </c>
      <c r="AD117" s="11" t="n">
        <v>-484919575</v>
      </c>
      <c r="AE117" s="11" t="n">
        <v>272993027</v>
      </c>
      <c r="AF117" s="11" t="n">
        <v>-20672496</v>
      </c>
      <c r="AG117" s="11" t="n">
        <v>8504225</v>
      </c>
      <c r="AH117" s="11" t="n">
        <v>-1246657</v>
      </c>
      <c r="AI117" s="11" t="n">
        <v>-180732736</v>
      </c>
      <c r="AJ117" s="11" t="n">
        <v>852548576</v>
      </c>
      <c r="AK117" s="11" t="n">
        <v>-339821238</v>
      </c>
      <c r="AL117" s="11" t="n">
        <v>-35925594</v>
      </c>
      <c r="AM117" s="11" t="n">
        <v>-970523</v>
      </c>
      <c r="AN117" s="11" t="n">
        <v>-26307755</v>
      </c>
      <c r="AO117" s="11" t="n">
        <v>-5029500</v>
      </c>
      <c r="AP117" s="11" t="n">
        <v>102997322</v>
      </c>
      <c r="AQ117" s="11" t="n">
        <v>-56758981</v>
      </c>
      <c r="AR117" s="11" t="n">
        <v>36442047</v>
      </c>
      <c r="AS117" s="11" t="n">
        <v>24942061</v>
      </c>
      <c r="AT117" s="11" t="n">
        <v>510225487</v>
      </c>
      <c r="AU117" s="11" t="n">
        <v>197579118</v>
      </c>
      <c r="AV117" s="11" t="n">
        <v>1538370866</v>
      </c>
      <c r="AW117" s="11" t="n">
        <v>-420661711</v>
      </c>
      <c r="AX117" s="11" t="n">
        <v>342795789</v>
      </c>
      <c r="AY117" s="11" t="n">
        <v>-4481041</v>
      </c>
      <c r="AZ117" s="11" t="n">
        <v>1845731</v>
      </c>
      <c r="BA117" s="11" t="n">
        <v>113066740</v>
      </c>
      <c r="BB117" s="11" t="n">
        <v>-50770151</v>
      </c>
      <c r="BC117" s="11" t="n">
        <v>34561181</v>
      </c>
      <c r="BD117" s="11" t="n">
        <v>73253735</v>
      </c>
      <c r="BE117" s="11" t="n">
        <v>2589322326</v>
      </c>
      <c r="BF117" s="11" t="n">
        <v>-1114151208</v>
      </c>
      <c r="BG117" s="11" t="n">
        <v>768584336</v>
      </c>
      <c r="BH117" s="11" t="n">
        <v>781820234</v>
      </c>
      <c r="BI117" s="11" t="n">
        <v>-371047657</v>
      </c>
      <c r="BJ117" s="11" t="n">
        <v>248410059</v>
      </c>
      <c r="BK117" s="11" t="n">
        <v>-1224456666</v>
      </c>
      <c r="BL117" s="11" t="n">
        <v>577703326</v>
      </c>
      <c r="BM117" s="11" t="n">
        <v>114875368</v>
      </c>
      <c r="BN117" s="11" t="n">
        <v>-2023004</v>
      </c>
      <c r="BO117" s="11" t="n">
        <v>69829984</v>
      </c>
      <c r="BP117" s="11" t="n">
        <v>-13006344</v>
      </c>
      <c r="BQ117" s="11" t="n">
        <v>204507848</v>
      </c>
      <c r="BR117" s="11" t="n">
        <v>-92736646</v>
      </c>
      <c r="BS117" s="11" t="n">
        <v>-25960098</v>
      </c>
      <c r="BT117" s="11" t="n">
        <v>3367858</v>
      </c>
      <c r="BU117" s="11" t="n">
        <v>-68148</v>
      </c>
      <c r="BV117" s="11" t="n">
        <v>-275136</v>
      </c>
      <c r="BW117" s="11" t="n">
        <v>690889</v>
      </c>
      <c r="BX117" s="11" t="n">
        <v>-2753393</v>
      </c>
      <c r="BY117" s="11" t="n">
        <v>-19300380</v>
      </c>
      <c r="BZ117" s="11" t="n">
        <v>349957852</v>
      </c>
      <c r="CA117" s="11" t="n">
        <v>-178234261</v>
      </c>
      <c r="CB117" s="11" t="n">
        <v>51823657</v>
      </c>
      <c r="CC117" s="11" t="n">
        <v>-8658072</v>
      </c>
      <c r="CD117" s="11" t="n">
        <v>7565856</v>
      </c>
      <c r="CE117" s="11" t="n">
        <v>-16827672</v>
      </c>
      <c r="CF117" s="11" t="n">
        <v>-57230254</v>
      </c>
      <c r="CG117" s="11" t="n">
        <v>281874398</v>
      </c>
      <c r="CH117" s="11" t="n">
        <v>-135084250</v>
      </c>
      <c r="CI117" s="11" t="n">
        <v>-77212138</v>
      </c>
      <c r="CJ117" s="11" t="n">
        <v>-2095952</v>
      </c>
      <c r="CK117" s="11" t="n">
        <v>-228610768</v>
      </c>
      <c r="CL117" s="11" t="n">
        <v>88072125</v>
      </c>
      <c r="CM117" s="11" t="n">
        <v>-1279837</v>
      </c>
      <c r="CN117" s="11" t="n">
        <v>568762060</v>
      </c>
      <c r="CO117" s="11" t="n">
        <v>85713172</v>
      </c>
      <c r="CP117" s="11" t="n">
        <v>499415537</v>
      </c>
      <c r="CQ117" s="11" t="n">
        <v>1034998283</v>
      </c>
      <c r="CR117" s="11" t="n">
        <v>-1681671872</v>
      </c>
      <c r="CS117" s="11" t="n">
        <v>662315998</v>
      </c>
      <c r="CT117" s="11" t="n">
        <v>18667842</v>
      </c>
      <c r="CU117" s="11" t="n">
        <v>1576445282</v>
      </c>
      <c r="CV117" s="11" t="n">
        <v>3063016510</v>
      </c>
      <c r="CW117" s="11" t="n">
        <v>-1188850238</v>
      </c>
      <c r="CX117" s="11" t="n">
        <v>6090310</v>
      </c>
      <c r="CY117" s="11" t="n">
        <v>391087928</v>
      </c>
      <c r="CZ117" s="11" t="n">
        <v>-172989983</v>
      </c>
      <c r="DA117" s="11" t="n">
        <v>107219595</v>
      </c>
      <c r="DB117" s="11" t="n">
        <v>-7416048</v>
      </c>
      <c r="DC117" s="11" t="n">
        <v>2251043</v>
      </c>
      <c r="DD117" s="11" t="n">
        <v>2809565</v>
      </c>
      <c r="DE117" s="11" t="n">
        <v>-66096188</v>
      </c>
      <c r="DF117" s="11" t="n">
        <v>310974748</v>
      </c>
      <c r="DG117" s="11" t="n">
        <v>-119432758</v>
      </c>
      <c r="DH117" s="11" t="n">
        <v>-2874081220</v>
      </c>
      <c r="DI117" s="11" t="n">
        <v>1313676025</v>
      </c>
      <c r="DJ117" s="11" t="n">
        <v>-708165565</v>
      </c>
      <c r="DK117" s="11" t="n">
        <v>2721630474</v>
      </c>
      <c r="DL117" s="11" t="n">
        <v>5123355118</v>
      </c>
      <c r="DM117" s="11" t="n">
        <v>-3012369208</v>
      </c>
      <c r="DN117" s="11" t="n">
        <v>-537346054</v>
      </c>
      <c r="DO117" s="11" t="n">
        <v>2188182182</v>
      </c>
      <c r="DP117" s="11" t="n">
        <v>-867766882</v>
      </c>
      <c r="DQ117" s="11" t="n">
        <v>-3029990212</v>
      </c>
      <c r="DR117" s="11" t="n">
        <v>-527947</v>
      </c>
      <c r="DS117" s="11" t="n">
        <v>9678</v>
      </c>
      <c r="DT117" s="11" t="n">
        <v>-1453512</v>
      </c>
      <c r="DU117" s="11" t="n">
        <v>25741</v>
      </c>
      <c r="DV117" s="11" t="n">
        <v>-1516248</v>
      </c>
      <c r="DW117" s="11" t="n">
        <v>48272</v>
      </c>
      <c r="DX117" s="11" t="n">
        <v>-152681</v>
      </c>
      <c r="DY117" s="11" t="n">
        <v>-429116</v>
      </c>
      <c r="DZ117" s="11" t="n">
        <v>42956405</v>
      </c>
      <c r="EA117" s="11" t="n">
        <v>-408388</v>
      </c>
      <c r="EB117" s="11" t="n">
        <v>123303736</v>
      </c>
      <c r="EC117" s="11" t="n">
        <v>-35507493</v>
      </c>
      <c r="ED117" s="11" t="n">
        <v>27910346</v>
      </c>
      <c r="EE117" s="11" t="n">
        <v>393966</v>
      </c>
      <c r="EF117" s="11" t="n">
        <v>-13436</v>
      </c>
      <c r="EG117" s="11" t="n">
        <v>-1027920</v>
      </c>
      <c r="EH117" s="11" t="n">
        <v>611666</v>
      </c>
      <c r="EI117" s="11" t="n">
        <v>-387536</v>
      </c>
      <c r="EJ117" s="11" t="n">
        <v>970067</v>
      </c>
      <c r="EK117" s="11" t="n">
        <v>216102936</v>
      </c>
      <c r="EL117" s="11" t="n">
        <v>-93829448</v>
      </c>
      <c r="EM117" s="11" t="n">
        <v>64418201</v>
      </c>
      <c r="EN117" s="11" t="n">
        <v>-4839016</v>
      </c>
      <c r="EO117" s="11" t="n">
        <v>1693891</v>
      </c>
      <c r="EP117" s="11" t="n">
        <v>-1242714</v>
      </c>
      <c r="EQ117" s="11" t="n">
        <v>-90702376</v>
      </c>
      <c r="ER117" s="11" t="n">
        <v>44498536</v>
      </c>
      <c r="ES117" s="11" t="n">
        <v>7716743</v>
      </c>
      <c r="ET117" s="11" t="n">
        <v>20448</v>
      </c>
      <c r="EU117" s="11" t="n">
        <v>-1209958</v>
      </c>
      <c r="EV117" s="11" t="n">
        <v>17728</v>
      </c>
      <c r="EW117" s="11" t="n">
        <v>-3344976</v>
      </c>
      <c r="EX117" s="11" t="n">
        <v>486577</v>
      </c>
      <c r="EY117" s="11" t="n">
        <v>-1823949</v>
      </c>
      <c r="EZ117" s="11" t="n">
        <v>-34116</v>
      </c>
      <c r="FA117" s="11" t="n">
        <v>672</v>
      </c>
      <c r="FB117" s="11" t="n">
        <v>2592</v>
      </c>
      <c r="FC117" s="11" t="n">
        <v>-7050</v>
      </c>
      <c r="FD117" s="11" t="n">
        <v>27522</v>
      </c>
      <c r="FE117" s="11" t="n">
        <v>-10186</v>
      </c>
      <c r="FF117" s="11" t="n">
        <v>-5734224</v>
      </c>
      <c r="FG117" s="11" t="n">
        <v>1228984</v>
      </c>
      <c r="FH117" s="11" t="n">
        <v>-4671670</v>
      </c>
      <c r="FI117" s="11" t="n">
        <v>112176</v>
      </c>
      <c r="FJ117" s="11" t="n">
        <v>-22103</v>
      </c>
      <c r="FK117" s="11" t="n">
        <v>83803</v>
      </c>
      <c r="FL117" s="11" t="n">
        <v>1091592</v>
      </c>
      <c r="FM117" s="11" t="n">
        <v>-4270968</v>
      </c>
      <c r="FN117" s="11" t="n">
        <v>26053</v>
      </c>
      <c r="FO117" s="11" t="n">
        <v>680296</v>
      </c>
      <c r="FP117" s="11" t="n">
        <v>-1408</v>
      </c>
      <c r="FQ117" s="11" t="n">
        <v>2056896</v>
      </c>
      <c r="FR117" s="11" t="n">
        <v>-979756</v>
      </c>
      <c r="FS117" s="11" t="n">
        <v>-401508</v>
      </c>
      <c r="FT117" s="11" t="n">
        <v>-506488</v>
      </c>
      <c r="FU117" s="11" t="n">
        <v>-10425664</v>
      </c>
      <c r="FV117" s="11" t="n">
        <v>41786347</v>
      </c>
      <c r="FW117" s="11" t="n">
        <v>84440191</v>
      </c>
      <c r="FX117" s="11" t="n">
        <v>1552960</v>
      </c>
      <c r="FY117" s="11" t="n">
        <v>-815924</v>
      </c>
      <c r="FZ117" s="11" t="n">
        <v>-473692</v>
      </c>
      <c r="GA117" s="11" t="n">
        <v>111327368</v>
      </c>
      <c r="GB117" s="11" t="n">
        <v>249154344</v>
      </c>
      <c r="GC117" s="11" t="n">
        <v>-96947845</v>
      </c>
      <c r="GD117" s="11" t="n">
        <v>-20008</v>
      </c>
      <c r="GE117" s="11" t="n">
        <v>-3518016</v>
      </c>
      <c r="GF117" s="11" t="n">
        <v>1869202</v>
      </c>
      <c r="GG117" s="11" t="n">
        <v>-245758</v>
      </c>
      <c r="GH117" s="11" t="n">
        <v>67776</v>
      </c>
      <c r="GI117" s="11" t="n">
        <v>-32684</v>
      </c>
      <c r="GJ117" s="11" t="n">
        <v>-11300</v>
      </c>
      <c r="GK117" s="11" t="n">
        <v>584976</v>
      </c>
      <c r="GL117" s="11" t="n">
        <v>-2819376</v>
      </c>
      <c r="GM117" s="11" t="n">
        <v>1457134</v>
      </c>
      <c r="GN117" s="11" t="n">
        <v>2312576</v>
      </c>
      <c r="GO117" s="11" t="n">
        <v>-162675</v>
      </c>
      <c r="GP117" s="11" t="n">
        <v>2666417</v>
      </c>
      <c r="GQ117" s="11" t="n">
        <v>187443944</v>
      </c>
      <c r="GR117" s="11" t="n">
        <v>440432008</v>
      </c>
      <c r="GS117" s="11" t="n">
        <v>-247105823</v>
      </c>
      <c r="GT117" s="11" t="n">
        <v>-3226648</v>
      </c>
      <c r="GU117" s="11" t="n">
        <v>-10338424</v>
      </c>
      <c r="GV117" s="11" t="n">
        <v>4447591</v>
      </c>
      <c r="GW117" s="11" t="n">
        <v>-223454672</v>
      </c>
      <c r="GX117" s="11" t="n">
        <v>383077</v>
      </c>
      <c r="GY117" s="11" t="n">
        <v>-17071847</v>
      </c>
      <c r="GZ117" s="11" t="n">
        <v>1594566</v>
      </c>
      <c r="HA117" s="11" t="n">
        <v>-48481534</v>
      </c>
      <c r="HB117" s="11" t="n">
        <v>14119175</v>
      </c>
      <c r="HC117" s="11" t="n">
        <v>-11012367</v>
      </c>
      <c r="HD117" s="11" t="n">
        <v>-741714</v>
      </c>
      <c r="HE117" s="11" t="n">
        <v>-10553</v>
      </c>
      <c r="HF117" s="11" t="n">
        <v>-211452</v>
      </c>
      <c r="HG117" s="11" t="n">
        <v>-223798</v>
      </c>
      <c r="HH117" s="11" t="n">
        <v>91087</v>
      </c>
      <c r="HI117" s="11" t="n">
        <v>3557695</v>
      </c>
      <c r="HJ117" s="11" t="n">
        <v>-84446616</v>
      </c>
      <c r="HK117" s="11" t="n">
        <v>37311128</v>
      </c>
      <c r="HL117" s="11" t="n">
        <v>-25381451</v>
      </c>
      <c r="HM117" s="11" t="n">
        <v>-2215742</v>
      </c>
      <c r="HN117" s="11" t="n">
        <v>-542609</v>
      </c>
      <c r="HO117" s="11" t="n">
        <v>75783</v>
      </c>
      <c r="HP117" s="11" t="n">
        <v>36117016</v>
      </c>
      <c r="HQ117" s="11" t="n">
        <v>-17606446</v>
      </c>
      <c r="HR117" s="11" t="n">
        <v>-3076333</v>
      </c>
      <c r="HS117" s="11" t="n">
        <v>17293039</v>
      </c>
      <c r="HT117" s="11" t="n">
        <v>999740</v>
      </c>
      <c r="HU117" s="11" t="n">
        <v>50063024</v>
      </c>
      <c r="HV117" s="11" t="n">
        <v>-14288063</v>
      </c>
      <c r="HW117" s="11" t="n">
        <v>11300810</v>
      </c>
      <c r="HX117" s="11" t="n">
        <v>-116536102</v>
      </c>
      <c r="HY117" s="11" t="n">
        <v>-42485526</v>
      </c>
      <c r="HZ117" s="11" t="n">
        <v>-626032</v>
      </c>
      <c r="IA117" s="11" t="n">
        <v>-6495841</v>
      </c>
      <c r="IB117" s="11" t="n">
        <v>334913672</v>
      </c>
      <c r="IC117" s="11" t="n">
        <v>-96322054</v>
      </c>
      <c r="ID117" s="11" t="n">
        <v>75779520</v>
      </c>
      <c r="IE117" s="11" t="n">
        <v>-36915254</v>
      </c>
      <c r="IF117" s="11" t="n">
        <v>8958484</v>
      </c>
      <c r="IG117" s="11" t="n">
        <v>5776177</v>
      </c>
      <c r="IH117" s="11" t="n">
        <v>-1459309</v>
      </c>
      <c r="II117" s="11" t="n">
        <v>-87386604</v>
      </c>
      <c r="IJ117" s="11" t="n">
        <v>37767352</v>
      </c>
      <c r="IK117" s="11" t="n">
        <v>-25992529</v>
      </c>
      <c r="IL117" s="11" t="n">
        <v>-827296</v>
      </c>
      <c r="IM117" s="11" t="n">
        <v>977667</v>
      </c>
      <c r="IN117" s="11" t="n">
        <v>-549030</v>
      </c>
      <c r="IO117" s="11" t="n">
        <v>37134164</v>
      </c>
      <c r="IP117" s="11" t="n">
        <v>-18141704</v>
      </c>
      <c r="IQ117" s="11" t="n">
        <v>-3204687</v>
      </c>
      <c r="IR117" s="11" t="n">
        <v>585304566</v>
      </c>
      <c r="IS117" s="11" t="n">
        <v>-254563328</v>
      </c>
      <c r="IT117" s="11" t="n">
        <v>174612951</v>
      </c>
      <c r="IU117" s="11" t="n">
        <v>-95950320</v>
      </c>
      <c r="IV117" s="11" t="n">
        <v>31033110</v>
      </c>
      <c r="IW117" s="11" t="n">
        <v>15127640</v>
      </c>
      <c r="IX117" s="11" t="n">
        <v>247811626</v>
      </c>
      <c r="IY117" s="11" t="n">
        <v>-121217076</v>
      </c>
      <c r="IZ117" s="11" t="n">
        <v>-21208953</v>
      </c>
      <c r="JA117" s="11" t="n">
        <v>6732310</v>
      </c>
      <c r="JB117" s="11" t="n">
        <v>-216730</v>
      </c>
      <c r="JC117" s="11" t="n">
        <v>-48896</v>
      </c>
      <c r="JD117" s="11" t="n">
        <v>-549360</v>
      </c>
      <c r="JE117" s="11" t="n">
        <v>-193793</v>
      </c>
      <c r="JF117" s="11" t="n">
        <v>-896931</v>
      </c>
      <c r="JG117" s="11" t="n">
        <v>3081196</v>
      </c>
      <c r="JH117" s="11" t="n">
        <v>-2946700</v>
      </c>
      <c r="JI117" s="11" t="n">
        <v>16624473</v>
      </c>
      <c r="JJ117" s="11" t="n">
        <v>33741411</v>
      </c>
      <c r="JK117" s="11" t="n">
        <v>-8474912</v>
      </c>
      <c r="JL117" s="11" t="n">
        <v>995506</v>
      </c>
      <c r="JM117" s="11" t="n">
        <v>-5139114</v>
      </c>
      <c r="JN117" s="11" t="n">
        <v>44774006</v>
      </c>
      <c r="JO117" s="11" t="n">
        <v>97721442</v>
      </c>
      <c r="JP117" s="11" t="n">
        <v>-38629428</v>
      </c>
      <c r="JQ117" s="11" t="n">
        <v>88702</v>
      </c>
      <c r="JR117" s="11" t="n">
        <v>944040</v>
      </c>
      <c r="JS117" s="11" t="n">
        <v>248606</v>
      </c>
      <c r="JT117" s="11" t="n">
        <v>1788172</v>
      </c>
      <c r="JU117" s="11" t="n">
        <v>-11856</v>
      </c>
      <c r="JV117" s="11" t="n">
        <v>-23227</v>
      </c>
      <c r="JW117" s="11" t="n">
        <v>36335</v>
      </c>
      <c r="JX117" s="11" t="n">
        <v>-213972</v>
      </c>
      <c r="JY117" s="11" t="n">
        <v>625716</v>
      </c>
      <c r="JZ117" s="11" t="n">
        <v>570077</v>
      </c>
      <c r="KA117" s="11" t="n">
        <v>-14627188</v>
      </c>
      <c r="KB117" s="11" t="n">
        <v>3269599</v>
      </c>
      <c r="KC117" s="11" t="n">
        <v>-11612503</v>
      </c>
      <c r="KD117" s="11" t="n">
        <v>75793544</v>
      </c>
      <c r="KE117" s="11" t="n">
        <v>171284308</v>
      </c>
      <c r="KF117" s="11" t="n">
        <v>-98459373</v>
      </c>
      <c r="KG117" s="11" t="n">
        <v>-4267210</v>
      </c>
      <c r="KH117" s="11" t="n">
        <v>7543874</v>
      </c>
      <c r="KI117" s="11" t="n">
        <v>1701458</v>
      </c>
      <c r="KJ117" s="11" t="n">
        <v>-89059022</v>
      </c>
      <c r="KK117" s="11" t="n">
        <v>-1641672</v>
      </c>
      <c r="KL117" s="11" t="n">
        <v>3524240</v>
      </c>
      <c r="KM117" s="11" t="n">
        <v>-16831921</v>
      </c>
      <c r="KN117" s="11" t="n">
        <v>-34096117</v>
      </c>
      <c r="KO117" s="11" t="n">
        <v>4956352</v>
      </c>
      <c r="KP117" s="11" t="n">
        <v>-2329484</v>
      </c>
      <c r="KQ117" s="11" t="n">
        <v>-898340</v>
      </c>
      <c r="KR117" s="11" t="n">
        <v>-45816256</v>
      </c>
      <c r="KS117" s="11" t="n">
        <v>-101010672</v>
      </c>
      <c r="KT117" s="11" t="n">
        <v>39170779</v>
      </c>
      <c r="KU117" s="11" t="n">
        <v>-27782768</v>
      </c>
      <c r="KV117" s="11" t="n">
        <v>113369242</v>
      </c>
      <c r="KW117" s="11" t="n">
        <v>229153738</v>
      </c>
      <c r="KX117" s="11" t="n">
        <v>41480234</v>
      </c>
      <c r="KY117" s="11" t="n">
        <v>85091138</v>
      </c>
      <c r="KZ117" s="11" t="n">
        <v>-5088303</v>
      </c>
      <c r="LA117" s="11" t="n">
        <v>-302848776</v>
      </c>
      <c r="LB117" s="11" t="n">
        <v>-676632248</v>
      </c>
      <c r="LC117" s="11" t="n">
        <v>263125546</v>
      </c>
      <c r="LD117" s="11" t="n">
        <v>82681358</v>
      </c>
      <c r="LE117" s="11" t="n">
        <v>-8593232</v>
      </c>
      <c r="LF117" s="11" t="n">
        <v>5005747</v>
      </c>
      <c r="LG117" s="11" t="n">
        <v>409735</v>
      </c>
      <c r="LH117" s="11" t="n">
        <v>77359636</v>
      </c>
      <c r="LI117" s="11" t="n">
        <v>177594452</v>
      </c>
      <c r="LJ117" s="11" t="n">
        <v>-99764087</v>
      </c>
      <c r="LK117" s="11" t="n">
        <v>-2919248</v>
      </c>
      <c r="LL117" s="11" t="n">
        <v>3465280</v>
      </c>
      <c r="LM117" s="11" t="n">
        <v>-2157795</v>
      </c>
      <c r="LN117" s="11" t="n">
        <v>-91527268</v>
      </c>
      <c r="LO117" s="11" t="n">
        <v>-508709834</v>
      </c>
      <c r="LP117" s="11" t="n">
        <v>-1192557138</v>
      </c>
      <c r="LQ117" s="11" t="n">
        <v>670434953</v>
      </c>
      <c r="LR117" s="11" t="n">
        <v>222470650</v>
      </c>
      <c r="LS117" s="11" t="n">
        <v>-610270042</v>
      </c>
    </row>
    <row r="118" customFormat="false" ht="15" hidden="false" customHeight="true" outlineLevel="0" collapsed="false">
      <c r="A118" s="7" t="s">
        <v>184</v>
      </c>
      <c r="B118" s="11" t="n">
        <v>-4809886</v>
      </c>
      <c r="C118" s="11" t="n">
        <v>122371412</v>
      </c>
      <c r="D118" s="11" t="n">
        <v>5148395</v>
      </c>
      <c r="E118" s="11" t="n">
        <v>-940967763</v>
      </c>
      <c r="F118" s="11" t="n">
        <v>23883458</v>
      </c>
      <c r="G118" s="11" t="n">
        <v>-994813510</v>
      </c>
      <c r="H118" s="11" t="n">
        <v>242732272</v>
      </c>
      <c r="I118" s="11" t="n">
        <v>-116035397</v>
      </c>
      <c r="J118" s="11" t="n">
        <v>-9084520</v>
      </c>
      <c r="K118" s="11" t="n">
        <v>-112344</v>
      </c>
      <c r="L118" s="11" t="n">
        <v>9583124</v>
      </c>
      <c r="M118" s="11" t="n">
        <v>-413304</v>
      </c>
      <c r="N118" s="11" t="n">
        <v>10310448</v>
      </c>
      <c r="O118" s="11" t="n">
        <v>-1752586</v>
      </c>
      <c r="P118" s="11" t="n">
        <v>11255282</v>
      </c>
      <c r="Q118" s="11" t="n">
        <v>-6865652</v>
      </c>
      <c r="R118" s="11" t="n">
        <v>1533412652</v>
      </c>
      <c r="S118" s="11" t="n">
        <v>-34593992</v>
      </c>
      <c r="T118" s="11" t="n">
        <v>1616607784</v>
      </c>
      <c r="U118" s="11" t="n">
        <v>-413864228</v>
      </c>
      <c r="V118" s="11" t="n">
        <v>-67194704</v>
      </c>
      <c r="W118" s="11" t="n">
        <v>11720522</v>
      </c>
      <c r="X118" s="11" t="n">
        <v>-115452</v>
      </c>
      <c r="Y118" s="11" t="n">
        <v>12199680</v>
      </c>
      <c r="Z118" s="11" t="n">
        <v>-3793543</v>
      </c>
      <c r="AA118" s="11" t="n">
        <v>-9337177</v>
      </c>
      <c r="AB118" s="11" t="n">
        <v>-33270560</v>
      </c>
      <c r="AC118" s="11" t="n">
        <v>35006644</v>
      </c>
      <c r="AD118" s="11" t="n">
        <v>140753135</v>
      </c>
      <c r="AE118" s="11" t="n">
        <v>1970706983</v>
      </c>
      <c r="AF118" s="11" t="n">
        <v>34285896</v>
      </c>
      <c r="AG118" s="11" t="n">
        <v>-12155050</v>
      </c>
      <c r="AH118" s="11" t="n">
        <v>-45917338</v>
      </c>
      <c r="AI118" s="11" t="n">
        <v>157837886</v>
      </c>
      <c r="AJ118" s="11" t="n">
        <v>2079161474</v>
      </c>
      <c r="AK118" s="11" t="n">
        <v>-525721017</v>
      </c>
      <c r="AL118" s="11" t="n">
        <v>-62705034</v>
      </c>
      <c r="AM118" s="11" t="n">
        <v>-3665215</v>
      </c>
      <c r="AN118" s="11" t="n">
        <v>320137833</v>
      </c>
      <c r="AO118" s="11" t="n">
        <v>-21409896</v>
      </c>
      <c r="AP118" s="11" t="n">
        <v>346398142</v>
      </c>
      <c r="AQ118" s="11" t="n">
        <v>-96434368</v>
      </c>
      <c r="AR118" s="11" t="n">
        <v>43068031</v>
      </c>
      <c r="AS118" s="11" t="n">
        <v>26131025</v>
      </c>
      <c r="AT118" s="11" t="n">
        <v>4122280011</v>
      </c>
      <c r="AU118" s="11" t="n">
        <v>233341530</v>
      </c>
      <c r="AV118" s="11" t="n">
        <v>4156145326</v>
      </c>
      <c r="AW118" s="11" t="n">
        <v>-710978512</v>
      </c>
      <c r="AX118" s="11" t="n">
        <v>416996941</v>
      </c>
      <c r="AY118" s="11" t="n">
        <v>374365035</v>
      </c>
      <c r="AZ118" s="11" t="n">
        <v>4717075</v>
      </c>
      <c r="BA118" s="11" t="n">
        <v>387287960</v>
      </c>
      <c r="BB118" s="11" t="n">
        <v>-81744920</v>
      </c>
      <c r="BC118" s="11" t="n">
        <v>42321885</v>
      </c>
      <c r="BD118" s="11" t="n">
        <v>-2598819069</v>
      </c>
      <c r="BE118" s="11" t="n">
        <v>1553476206</v>
      </c>
      <c r="BF118" s="11" t="n">
        <v>-2709803928</v>
      </c>
      <c r="BG118" s="11" t="n">
        <v>702367632</v>
      </c>
      <c r="BH118" s="11" t="n">
        <v>2708103334</v>
      </c>
      <c r="BI118" s="11" t="n">
        <v>-601612288</v>
      </c>
      <c r="BJ118" s="11" t="n">
        <v>302645899</v>
      </c>
      <c r="BK118" s="11" t="n">
        <v>-2464134096</v>
      </c>
      <c r="BL118" s="11" t="n">
        <v>550992926</v>
      </c>
      <c r="BM118" s="11" t="n">
        <v>152976424</v>
      </c>
      <c r="BN118" s="11" t="n">
        <v>-5457964</v>
      </c>
      <c r="BO118" s="11" t="n">
        <v>479717904</v>
      </c>
      <c r="BP118" s="11" t="n">
        <v>-35049144</v>
      </c>
      <c r="BQ118" s="11" t="n">
        <v>519834328</v>
      </c>
      <c r="BR118" s="11" t="n">
        <v>-159289426</v>
      </c>
      <c r="BS118" s="11" t="n">
        <v>-65388338</v>
      </c>
      <c r="BT118" s="11" t="n">
        <v>174922</v>
      </c>
      <c r="BU118" s="11" t="n">
        <v>-185124</v>
      </c>
      <c r="BV118" s="11" t="n">
        <v>234048</v>
      </c>
      <c r="BW118" s="11" t="n">
        <v>-916907</v>
      </c>
      <c r="BX118" s="11" t="n">
        <v>-7570781</v>
      </c>
      <c r="BY118" s="11" t="n">
        <v>15147852</v>
      </c>
      <c r="BZ118" s="11" t="n">
        <v>-3911084</v>
      </c>
      <c r="CA118" s="11" t="n">
        <v>75484829</v>
      </c>
      <c r="CB118" s="11" t="n">
        <v>663324517</v>
      </c>
      <c r="CC118" s="11" t="n">
        <v>-16128840</v>
      </c>
      <c r="CD118" s="11" t="n">
        <v>-485256</v>
      </c>
      <c r="CE118" s="11" t="n">
        <v>-46399068</v>
      </c>
      <c r="CF118" s="11" t="n">
        <v>80498582</v>
      </c>
      <c r="CG118" s="11" t="n">
        <v>718261946</v>
      </c>
      <c r="CH118" s="11" t="n">
        <v>-209966635</v>
      </c>
      <c r="CI118" s="11" t="n">
        <v>-558723506</v>
      </c>
      <c r="CJ118" s="11" t="n">
        <v>-5704480</v>
      </c>
      <c r="CK118" s="11" t="n">
        <v>-578388896</v>
      </c>
      <c r="CL118" s="11" t="n">
        <v>128265477</v>
      </c>
      <c r="CM118" s="11" t="n">
        <v>-9046961</v>
      </c>
      <c r="CN118" s="11" t="n">
        <v>4089312756</v>
      </c>
      <c r="CO118" s="11" t="n">
        <v>-2378203556</v>
      </c>
      <c r="CP118" s="11" t="n">
        <v>5032554407</v>
      </c>
      <c r="CQ118" s="11" t="n">
        <v>7488871423</v>
      </c>
      <c r="CR118" s="11" t="n">
        <v>-4257525376</v>
      </c>
      <c r="CS118" s="11" t="n">
        <v>990160162</v>
      </c>
      <c r="CT118" s="11" t="n">
        <v>10245254</v>
      </c>
      <c r="CU118" s="11" t="n">
        <v>4663723910</v>
      </c>
      <c r="CV118" s="11" t="n">
        <v>7790965554</v>
      </c>
      <c r="CW118" s="11" t="n">
        <v>-1800699233</v>
      </c>
      <c r="CX118" s="11" t="n">
        <v>19133686</v>
      </c>
      <c r="CY118" s="11" t="n">
        <v>-5422384</v>
      </c>
      <c r="CZ118" s="11" t="n">
        <v>89751607</v>
      </c>
      <c r="DA118" s="11" t="n">
        <v>775299327</v>
      </c>
      <c r="DB118" s="11" t="n">
        <v>-19862496</v>
      </c>
      <c r="DC118" s="11" t="n">
        <v>5308847</v>
      </c>
      <c r="DD118" s="11" t="n">
        <v>7605869</v>
      </c>
      <c r="DE118" s="11" t="n">
        <v>91665784</v>
      </c>
      <c r="DF118" s="11" t="n">
        <v>802675336</v>
      </c>
      <c r="DG118" s="11" t="n">
        <v>-179437801</v>
      </c>
      <c r="DH118" s="11" t="n">
        <v>-41755852</v>
      </c>
      <c r="DI118" s="11" t="n">
        <v>-484552865</v>
      </c>
      <c r="DJ118" s="11" t="n">
        <v>-5417978089</v>
      </c>
      <c r="DK118" s="11" t="n">
        <v>333186534</v>
      </c>
      <c r="DL118" s="11" t="n">
        <v>3227378230</v>
      </c>
      <c r="DM118" s="11" t="n">
        <v>-5780314888</v>
      </c>
      <c r="DN118" s="11" t="n">
        <v>514595294</v>
      </c>
      <c r="DO118" s="11" t="n">
        <v>5640949562</v>
      </c>
      <c r="DP118" s="11" t="n">
        <v>-1310660743</v>
      </c>
      <c r="DQ118" s="11" t="n">
        <v>-5237464294</v>
      </c>
      <c r="DR118" s="11" t="n">
        <v>-1158704</v>
      </c>
      <c r="DS118" s="11" t="n">
        <v>23811</v>
      </c>
      <c r="DT118" s="11" t="n">
        <v>-3844457</v>
      </c>
      <c r="DU118" s="11" t="n">
        <v>75782</v>
      </c>
      <c r="DV118" s="11" t="n">
        <v>-3492294</v>
      </c>
      <c r="DW118" s="11" t="n">
        <v>54590</v>
      </c>
      <c r="DX118" s="11" t="n">
        <v>-259173</v>
      </c>
      <c r="DY118" s="11" t="n">
        <v>-1846042</v>
      </c>
      <c r="DZ118" s="11" t="n">
        <v>324488926</v>
      </c>
      <c r="EA118" s="11" t="n">
        <v>-7681556</v>
      </c>
      <c r="EB118" s="11" t="n">
        <v>328500788</v>
      </c>
      <c r="EC118" s="11" t="n">
        <v>-59863188</v>
      </c>
      <c r="ED118" s="11" t="n">
        <v>34546774</v>
      </c>
      <c r="EE118" s="11" t="n">
        <v>-543173</v>
      </c>
      <c r="EF118" s="11" t="n">
        <v>37118</v>
      </c>
      <c r="EG118" s="11" t="n">
        <v>-1186680</v>
      </c>
      <c r="EH118" s="11" t="n">
        <v>1143197</v>
      </c>
      <c r="EI118" s="11" t="n">
        <v>-297012</v>
      </c>
      <c r="EJ118" s="11" t="n">
        <v>-4264240</v>
      </c>
      <c r="EK118" s="11" t="n">
        <v>111932318</v>
      </c>
      <c r="EL118" s="11" t="n">
        <v>-183332069</v>
      </c>
      <c r="EM118" s="11" t="n">
        <v>42042505</v>
      </c>
      <c r="EN118" s="11" t="n">
        <v>1667212</v>
      </c>
      <c r="EO118" s="11" t="n">
        <v>3553294</v>
      </c>
      <c r="EP118" s="11" t="n">
        <v>-541270</v>
      </c>
      <c r="EQ118" s="11" t="n">
        <v>-164948938</v>
      </c>
      <c r="ER118" s="11" t="n">
        <v>30645408</v>
      </c>
      <c r="ES118" s="11" t="n">
        <v>11762291</v>
      </c>
      <c r="ET118" s="11" t="n">
        <v>72036</v>
      </c>
      <c r="EU118" s="11" t="n">
        <v>-9569676</v>
      </c>
      <c r="EV118" s="11" t="n">
        <v>242696</v>
      </c>
      <c r="EW118" s="11" t="n">
        <v>-9079752</v>
      </c>
      <c r="EX118" s="11" t="n">
        <v>525304</v>
      </c>
      <c r="EY118" s="11" t="n">
        <v>-3200908</v>
      </c>
      <c r="EZ118" s="11" t="n">
        <v>-42354</v>
      </c>
      <c r="FA118" s="11" t="n">
        <v>-276</v>
      </c>
      <c r="FB118" s="11" t="n">
        <v>-30528</v>
      </c>
      <c r="FC118" s="11" t="n">
        <v>-7401</v>
      </c>
      <c r="FD118" s="11" t="n">
        <v>49665</v>
      </c>
      <c r="FE118" s="11" t="n">
        <v>179360</v>
      </c>
      <c r="FF118" s="11" t="n">
        <v>-1282980</v>
      </c>
      <c r="FG118" s="11" t="n">
        <v>1292047</v>
      </c>
      <c r="FH118" s="11" t="n">
        <v>-8479777</v>
      </c>
      <c r="FI118" s="11" t="n">
        <v>-137640</v>
      </c>
      <c r="FJ118" s="11" t="n">
        <v>-22922</v>
      </c>
      <c r="FK118" s="11" t="n">
        <v>155062</v>
      </c>
      <c r="FL118" s="11" t="n">
        <v>1155474</v>
      </c>
      <c r="FM118" s="11" t="n">
        <v>-7616514</v>
      </c>
      <c r="FN118" s="11" t="n">
        <v>33307</v>
      </c>
      <c r="FO118" s="11" t="n">
        <v>4926936</v>
      </c>
      <c r="FP118" s="11" t="n">
        <v>-90896</v>
      </c>
      <c r="FQ118" s="11" t="n">
        <v>5956896</v>
      </c>
      <c r="FR118" s="11" t="n">
        <v>-2884750</v>
      </c>
      <c r="FS118" s="11" t="n">
        <v>-2951918</v>
      </c>
      <c r="FT118" s="11" t="n">
        <v>-4524160</v>
      </c>
      <c r="FU118" s="11" t="n">
        <v>-170334384</v>
      </c>
      <c r="FV118" s="11" t="n">
        <v>347298346</v>
      </c>
      <c r="FW118" s="11" t="n">
        <v>611077346</v>
      </c>
      <c r="FX118" s="11" t="n">
        <v>8612384</v>
      </c>
      <c r="FY118" s="11" t="n">
        <v>-9056156</v>
      </c>
      <c r="FZ118" s="11" t="n">
        <v>-13984236</v>
      </c>
      <c r="GA118" s="11" t="n">
        <v>320168156</v>
      </c>
      <c r="GB118" s="11" t="n">
        <v>636767164</v>
      </c>
      <c r="GC118" s="11" t="n">
        <v>-149709502</v>
      </c>
      <c r="GD118" s="11" t="n">
        <v>72320</v>
      </c>
      <c r="GE118" s="11" t="n">
        <v>-1414416</v>
      </c>
      <c r="GF118" s="11" t="n">
        <v>2202301</v>
      </c>
      <c r="GG118" s="11" t="n">
        <v>-1661263</v>
      </c>
      <c r="GH118" s="11" t="n">
        <v>-61344</v>
      </c>
      <c r="GI118" s="11" t="n">
        <v>1714</v>
      </c>
      <c r="GJ118" s="11" t="n">
        <v>73978</v>
      </c>
      <c r="GK118" s="11" t="n">
        <v>1834536</v>
      </c>
      <c r="GL118" s="11" t="n">
        <v>-2855976</v>
      </c>
      <c r="GM118" s="11" t="n">
        <v>2292163</v>
      </c>
      <c r="GN118" s="11" t="n">
        <v>3799040</v>
      </c>
      <c r="GO118" s="11" t="n">
        <v>-7120080</v>
      </c>
      <c r="GP118" s="11" t="n">
        <v>-7444240</v>
      </c>
      <c r="GQ118" s="11" t="n">
        <v>23563682</v>
      </c>
      <c r="GR118" s="11" t="n">
        <v>232860298</v>
      </c>
      <c r="GS118" s="11" t="n">
        <v>-390248654</v>
      </c>
      <c r="GT118" s="11" t="n">
        <v>5949428</v>
      </c>
      <c r="GU118" s="11" t="n">
        <v>2428292</v>
      </c>
      <c r="GV118" s="11" t="n">
        <v>7106884</v>
      </c>
      <c r="GW118" s="11" t="n">
        <v>-349605710</v>
      </c>
      <c r="GX118" s="11" t="n">
        <v>1193369</v>
      </c>
      <c r="GY118" s="11" t="n">
        <v>-127240395</v>
      </c>
      <c r="GZ118" s="11" t="n">
        <v>6145602</v>
      </c>
      <c r="HA118" s="11" t="n">
        <v>-128975474</v>
      </c>
      <c r="HB118" s="11" t="n">
        <v>23942762</v>
      </c>
      <c r="HC118" s="11" t="n">
        <v>-13753871</v>
      </c>
      <c r="HD118" s="11" t="n">
        <v>-1344722</v>
      </c>
      <c r="HE118" s="11" t="n">
        <v>-48241</v>
      </c>
      <c r="HF118" s="11" t="n">
        <v>-946368</v>
      </c>
      <c r="HG118" s="11" t="n">
        <v>-435793</v>
      </c>
      <c r="HH118" s="11" t="n">
        <v>15711</v>
      </c>
      <c r="HI118" s="11" t="n">
        <v>12068631</v>
      </c>
      <c r="HJ118" s="11" t="n">
        <v>-44428772</v>
      </c>
      <c r="HK118" s="11" t="n">
        <v>73444871</v>
      </c>
      <c r="HL118" s="11" t="n">
        <v>-17173403</v>
      </c>
      <c r="HM118" s="11" t="n">
        <v>-10087330</v>
      </c>
      <c r="HN118" s="11" t="n">
        <v>-1276376</v>
      </c>
      <c r="HO118" s="11" t="n">
        <v>-475081</v>
      </c>
      <c r="HP118" s="11" t="n">
        <v>66086242</v>
      </c>
      <c r="HQ118" s="11" t="n">
        <v>-12605118</v>
      </c>
      <c r="HR118" s="11" t="n">
        <v>-4707409</v>
      </c>
      <c r="HS118" s="11" t="n">
        <v>131477851</v>
      </c>
      <c r="HT118" s="11" t="n">
        <v>1879780</v>
      </c>
      <c r="HU118" s="11" t="n">
        <v>132845416</v>
      </c>
      <c r="HV118" s="11" t="n">
        <v>-23508617</v>
      </c>
      <c r="HW118" s="11" t="n">
        <v>13667706</v>
      </c>
      <c r="HX118" s="11" t="n">
        <v>-877511058</v>
      </c>
      <c r="HY118" s="11" t="n">
        <v>45346366</v>
      </c>
      <c r="HZ118" s="11" t="n">
        <v>-131306563</v>
      </c>
      <c r="IA118" s="11" t="n">
        <v>58024879</v>
      </c>
      <c r="IB118" s="11" t="n">
        <v>887286808</v>
      </c>
      <c r="IC118" s="11" t="n">
        <v>-158778826</v>
      </c>
      <c r="ID118" s="11" t="n">
        <v>92050768</v>
      </c>
      <c r="IE118" s="11" t="n">
        <v>-124564286</v>
      </c>
      <c r="IF118" s="11" t="n">
        <v>53914468</v>
      </c>
      <c r="IG118" s="11" t="n">
        <v>3274885</v>
      </c>
      <c r="IH118" s="11" t="n">
        <v>3196699</v>
      </c>
      <c r="II118" s="11" t="n">
        <v>-45429136</v>
      </c>
      <c r="IJ118" s="11" t="n">
        <v>74503093</v>
      </c>
      <c r="IK118" s="11" t="n">
        <v>-17132097</v>
      </c>
      <c r="IL118" s="11" t="n">
        <v>-3879464</v>
      </c>
      <c r="IM118" s="11" t="n">
        <v>1636773</v>
      </c>
      <c r="IN118" s="11" t="n">
        <v>-577254</v>
      </c>
      <c r="IO118" s="11" t="n">
        <v>67155176</v>
      </c>
      <c r="IP118" s="11" t="n">
        <v>-12587736</v>
      </c>
      <c r="IQ118" s="11" t="n">
        <v>-4681659</v>
      </c>
      <c r="IR118" s="11" t="n">
        <v>302101154</v>
      </c>
      <c r="IS118" s="11" t="n">
        <v>-494056907</v>
      </c>
      <c r="IT118" s="11" t="n">
        <v>112932455</v>
      </c>
      <c r="IU118" s="11" t="n">
        <v>-19674030</v>
      </c>
      <c r="IV118" s="11" t="n">
        <v>14140342</v>
      </c>
      <c r="IW118" s="11" t="n">
        <v>-15770536</v>
      </c>
      <c r="IX118" s="11" t="n">
        <v>444897994</v>
      </c>
      <c r="IY118" s="11" t="n">
        <v>-82500196</v>
      </c>
      <c r="IZ118" s="11" t="n">
        <v>-31392237</v>
      </c>
      <c r="JA118" s="11" t="n">
        <v>-15451442</v>
      </c>
      <c r="JB118" s="11" t="n">
        <v>-1945506</v>
      </c>
      <c r="JC118" s="11" t="n">
        <v>-132112</v>
      </c>
      <c r="JD118" s="11" t="n">
        <v>-1333056</v>
      </c>
      <c r="JE118" s="11" t="n">
        <v>-947489</v>
      </c>
      <c r="JF118" s="11" t="n">
        <v>-2441599</v>
      </c>
      <c r="JG118" s="11" t="n">
        <v>24105108</v>
      </c>
      <c r="JH118" s="11" t="n">
        <v>-68129796</v>
      </c>
      <c r="JI118" s="11" t="n">
        <v>140056983</v>
      </c>
      <c r="JJ118" s="11" t="n">
        <v>237907791</v>
      </c>
      <c r="JK118" s="11" t="n">
        <v>-21143200</v>
      </c>
      <c r="JL118" s="11" t="n">
        <v>-2228786</v>
      </c>
      <c r="JM118" s="11" t="n">
        <v>-14096350</v>
      </c>
      <c r="JN118" s="11" t="n">
        <v>129146882</v>
      </c>
      <c r="JO118" s="11" t="n">
        <v>248516350</v>
      </c>
      <c r="JP118" s="11" t="n">
        <v>-59906253</v>
      </c>
      <c r="JQ118" s="11" t="n">
        <v>70222</v>
      </c>
      <c r="JR118" s="11" t="n">
        <v>-40704</v>
      </c>
      <c r="JS118" s="11" t="n">
        <v>357200</v>
      </c>
      <c r="JT118" s="11" t="n">
        <v>2776876</v>
      </c>
      <c r="JU118" s="11" t="n">
        <v>-50880</v>
      </c>
      <c r="JV118" s="11" t="n">
        <v>-9943</v>
      </c>
      <c r="JW118" s="11" t="n">
        <v>100439</v>
      </c>
      <c r="JX118" s="11" t="n">
        <v>264576</v>
      </c>
      <c r="JY118" s="11" t="n">
        <v>1953792</v>
      </c>
      <c r="JZ118" s="11" t="n">
        <v>904094</v>
      </c>
      <c r="KA118" s="11" t="n">
        <v>-1954780</v>
      </c>
      <c r="KB118" s="11" t="n">
        <v>629521</v>
      </c>
      <c r="KC118" s="11" t="n">
        <v>-25818751</v>
      </c>
      <c r="KD118" s="11" t="n">
        <v>9578528</v>
      </c>
      <c r="KE118" s="11" t="n">
        <v>92266072</v>
      </c>
      <c r="KF118" s="11" t="n">
        <v>-156226818</v>
      </c>
      <c r="KG118" s="11" t="n">
        <v>-732910</v>
      </c>
      <c r="KH118" s="11" t="n">
        <v>21503150</v>
      </c>
      <c r="KI118" s="11" t="n">
        <v>2755367</v>
      </c>
      <c r="KJ118" s="11" t="n">
        <v>-139960124</v>
      </c>
      <c r="KK118" s="11" t="n">
        <v>-11490728</v>
      </c>
      <c r="KL118" s="11" t="n">
        <v>69705360</v>
      </c>
      <c r="KM118" s="11" t="n">
        <v>-142713589</v>
      </c>
      <c r="KN118" s="11" t="n">
        <v>-246717977</v>
      </c>
      <c r="KO118" s="11" t="n">
        <v>12606848</v>
      </c>
      <c r="KP118" s="11" t="n">
        <v>-4094996</v>
      </c>
      <c r="KQ118" s="11" t="n">
        <v>-2332892</v>
      </c>
      <c r="KR118" s="11" t="n">
        <v>-131734504</v>
      </c>
      <c r="KS118" s="11" t="n">
        <v>-256530392</v>
      </c>
      <c r="KT118" s="11" t="n">
        <v>58949593</v>
      </c>
      <c r="KU118" s="11" t="n">
        <v>-461265232</v>
      </c>
      <c r="KV118" s="11" t="n">
        <v>941024998</v>
      </c>
      <c r="KW118" s="11" t="n">
        <v>1651719278</v>
      </c>
      <c r="KX118" s="11" t="n">
        <v>20393006</v>
      </c>
      <c r="KY118" s="11" t="n">
        <v>-115855322</v>
      </c>
      <c r="KZ118" s="11" t="n">
        <v>309380082</v>
      </c>
      <c r="LA118" s="11" t="n">
        <v>-868045944</v>
      </c>
      <c r="LB118" s="11" t="n">
        <v>-1718506600</v>
      </c>
      <c r="LC118" s="11" t="n">
        <v>397579174</v>
      </c>
      <c r="LD118" s="11" t="n">
        <v>294002774</v>
      </c>
      <c r="LE118" s="11" t="n">
        <v>-2275568</v>
      </c>
      <c r="LF118" s="11" t="n">
        <v>3041443</v>
      </c>
      <c r="LG118" s="11" t="n">
        <v>-7495889</v>
      </c>
      <c r="LH118" s="11" t="n">
        <v>9812224</v>
      </c>
      <c r="LI118" s="11" t="n">
        <v>94330592</v>
      </c>
      <c r="LJ118" s="11" t="n">
        <v>-158401094</v>
      </c>
      <c r="LK118" s="11" t="n">
        <v>-2525912</v>
      </c>
      <c r="LL118" s="11" t="n">
        <v>8685976</v>
      </c>
      <c r="LM118" s="11" t="n">
        <v>-3288825</v>
      </c>
      <c r="LN118" s="11" t="n">
        <v>-142162096</v>
      </c>
      <c r="LO118" s="11" t="n">
        <v>-64265246</v>
      </c>
      <c r="LP118" s="11" t="n">
        <v>-628001334</v>
      </c>
      <c r="LQ118" s="11" t="n">
        <v>1051058642</v>
      </c>
      <c r="LR118" s="11" t="n">
        <v>43905988</v>
      </c>
      <c r="LS118" s="11" t="n">
        <v>-942394378</v>
      </c>
    </row>
    <row r="119" customFormat="false" ht="15" hidden="false" customHeight="true" outlineLevel="0" collapsed="false">
      <c r="A119" s="7" t="s">
        <v>185</v>
      </c>
      <c r="B119" s="11" t="n">
        <v>-335335</v>
      </c>
      <c r="C119" s="11" t="n">
        <v>6806667</v>
      </c>
      <c r="D119" s="11" t="n">
        <v>143374</v>
      </c>
      <c r="E119" s="11" t="n">
        <v>-15565389</v>
      </c>
      <c r="F119" s="11" t="n">
        <v>368977</v>
      </c>
      <c r="G119" s="11" t="n">
        <v>-53900756</v>
      </c>
      <c r="H119" s="11" t="n">
        <v>20139987</v>
      </c>
      <c r="I119" s="11" t="n">
        <v>-12936413</v>
      </c>
      <c r="J119" s="11" t="n">
        <v>6498238</v>
      </c>
      <c r="K119" s="11" t="n">
        <v>24706</v>
      </c>
      <c r="L119" s="11" t="n">
        <v>-4758296</v>
      </c>
      <c r="M119" s="11" t="n">
        <v>-113252</v>
      </c>
      <c r="N119" s="11" t="n">
        <v>1452256</v>
      </c>
      <c r="O119" s="11" t="n">
        <v>-227767</v>
      </c>
      <c r="P119" s="11" t="n">
        <v>1683973</v>
      </c>
      <c r="Q119" s="11" t="n">
        <v>2276866</v>
      </c>
      <c r="R119" s="11" t="n">
        <v>-205047090</v>
      </c>
      <c r="S119" s="11" t="n">
        <v>9448966</v>
      </c>
      <c r="T119" s="11" t="n">
        <v>-1073985608</v>
      </c>
      <c r="U119" s="11" t="n">
        <v>394902897</v>
      </c>
      <c r="V119" s="11" t="n">
        <v>-284867771</v>
      </c>
      <c r="W119" s="11" t="n">
        <v>887642</v>
      </c>
      <c r="X119" s="11" t="n">
        <v>75606</v>
      </c>
      <c r="Y119" s="11" t="n">
        <v>-4592088</v>
      </c>
      <c r="Z119" s="11" t="n">
        <v>1581208</v>
      </c>
      <c r="AA119" s="11" t="n">
        <v>-1673088</v>
      </c>
      <c r="AB119" s="11" t="n">
        <v>-10492532</v>
      </c>
      <c r="AC119" s="11" t="n">
        <v>832244416</v>
      </c>
      <c r="AD119" s="11" t="n">
        <v>-296352309</v>
      </c>
      <c r="AE119" s="11" t="n">
        <v>261729247</v>
      </c>
      <c r="AF119" s="11" t="n">
        <v>16605840</v>
      </c>
      <c r="AG119" s="11" t="n">
        <v>-6551219</v>
      </c>
      <c r="AH119" s="11" t="n">
        <v>2516073</v>
      </c>
      <c r="AI119" s="11" t="n">
        <v>50610892</v>
      </c>
      <c r="AJ119" s="11" t="n">
        <v>214652316</v>
      </c>
      <c r="AK119" s="11" t="n">
        <v>-92351548</v>
      </c>
      <c r="AL119" s="11" t="n">
        <v>731165</v>
      </c>
      <c r="AM119" s="11" t="n">
        <v>-162195</v>
      </c>
      <c r="AN119" s="11" t="n">
        <v>2001925</v>
      </c>
      <c r="AO119" s="11" t="n">
        <v>-1109000</v>
      </c>
      <c r="AP119" s="11" t="n">
        <v>19401980</v>
      </c>
      <c r="AQ119" s="11" t="n">
        <v>-7875290</v>
      </c>
      <c r="AR119" s="11" t="n">
        <v>5207480</v>
      </c>
      <c r="AS119" s="11" t="n">
        <v>3604865</v>
      </c>
      <c r="AT119" s="11" t="n">
        <v>-74574096</v>
      </c>
      <c r="AU119" s="11" t="n">
        <v>23315123</v>
      </c>
      <c r="AV119" s="11" t="n">
        <v>-511348840</v>
      </c>
      <c r="AW119" s="11" t="n">
        <v>203766771</v>
      </c>
      <c r="AX119" s="11" t="n">
        <v>-133908583</v>
      </c>
      <c r="AY119" s="11" t="n">
        <v>6672743</v>
      </c>
      <c r="AZ119" s="11" t="n">
        <v>295691</v>
      </c>
      <c r="BA119" s="11" t="n">
        <v>17775340</v>
      </c>
      <c r="BB119" s="11" t="n">
        <v>-6374203</v>
      </c>
      <c r="BC119" s="11" t="n">
        <v>4030609</v>
      </c>
      <c r="BD119" s="11" t="n">
        <v>-49274165</v>
      </c>
      <c r="BE119" s="11" t="n">
        <v>578806552</v>
      </c>
      <c r="BF119" s="11" t="n">
        <v>-245316501</v>
      </c>
      <c r="BG119" s="11" t="n">
        <v>164488417</v>
      </c>
      <c r="BH119" s="11" t="n">
        <v>156908924</v>
      </c>
      <c r="BI119" s="11" t="n">
        <v>-57940402</v>
      </c>
      <c r="BJ119" s="11" t="n">
        <v>37052624</v>
      </c>
      <c r="BK119" s="11" t="n">
        <v>-100581388</v>
      </c>
      <c r="BL119" s="11" t="n">
        <v>88553484</v>
      </c>
      <c r="BM119" s="11" t="n">
        <v>-8947994</v>
      </c>
      <c r="BN119" s="11" t="n">
        <v>3196940</v>
      </c>
      <c r="BO119" s="11" t="n">
        <v>-49168994</v>
      </c>
      <c r="BP119" s="11" t="n">
        <v>21243652</v>
      </c>
      <c r="BQ119" s="11" t="n">
        <v>-372811800</v>
      </c>
      <c r="BR119" s="11" t="n">
        <v>152113479</v>
      </c>
      <c r="BS119" s="11" t="n">
        <v>-97240617</v>
      </c>
      <c r="BT119" s="11" t="n">
        <v>2154002</v>
      </c>
      <c r="BU119" s="11" t="n">
        <v>136484</v>
      </c>
      <c r="BV119" s="11" t="n">
        <v>-2131880</v>
      </c>
      <c r="BW119" s="11" t="n">
        <v>690383</v>
      </c>
      <c r="BX119" s="11" t="n">
        <v>-1198169</v>
      </c>
      <c r="BY119" s="11" t="n">
        <v>-16412460</v>
      </c>
      <c r="BZ119" s="11" t="n">
        <v>283977728</v>
      </c>
      <c r="CA119" s="11" t="n">
        <v>-113107589</v>
      </c>
      <c r="CB119" s="11" t="n">
        <v>83945663</v>
      </c>
      <c r="CC119" s="11" t="n">
        <v>1749776</v>
      </c>
      <c r="CD119" s="11" t="n">
        <v>-1906448</v>
      </c>
      <c r="CE119" s="11" t="n">
        <v>-3810424</v>
      </c>
      <c r="CF119" s="11" t="n">
        <v>20927748</v>
      </c>
      <c r="CG119" s="11" t="n">
        <v>74879796</v>
      </c>
      <c r="CH119" s="11" t="n">
        <v>-36010806</v>
      </c>
      <c r="CI119" s="11" t="n">
        <v>83649142</v>
      </c>
      <c r="CJ119" s="11" t="n">
        <v>2794784</v>
      </c>
      <c r="CK119" s="11" t="n">
        <v>397742440</v>
      </c>
      <c r="CL119" s="11" t="n">
        <v>-140982657</v>
      </c>
      <c r="CM119" s="11" t="n">
        <v>106075111</v>
      </c>
      <c r="CN119" s="11" t="n">
        <v>-598832002</v>
      </c>
      <c r="CO119" s="11" t="n">
        <v>3637475696</v>
      </c>
      <c r="CP119" s="11" t="n">
        <v>-1811790834</v>
      </c>
      <c r="CQ119" s="11" t="n">
        <v>912900362</v>
      </c>
      <c r="CR119" s="11" t="n">
        <v>2968911032</v>
      </c>
      <c r="CS119" s="11" t="n">
        <v>-1069807635</v>
      </c>
      <c r="CT119" s="11" t="n">
        <v>789876965</v>
      </c>
      <c r="CU119" s="11" t="n">
        <v>-2484246864</v>
      </c>
      <c r="CV119" s="11" t="n">
        <v>-271926528</v>
      </c>
      <c r="CW119" s="11" t="n">
        <v>758917470</v>
      </c>
      <c r="CX119" s="11" t="n">
        <v>-1688114</v>
      </c>
      <c r="CY119" s="11" t="n">
        <v>323768336</v>
      </c>
      <c r="CZ119" s="11" t="n">
        <v>-113054005</v>
      </c>
      <c r="DA119" s="11" t="n">
        <v>102820763</v>
      </c>
      <c r="DB119" s="11" t="n">
        <v>18844152</v>
      </c>
      <c r="DC119" s="11" t="n">
        <v>-6622379</v>
      </c>
      <c r="DD119" s="11" t="n">
        <v>5576013</v>
      </c>
      <c r="DE119" s="11" t="n">
        <v>8121356</v>
      </c>
      <c r="DF119" s="11" t="n">
        <v>78332172</v>
      </c>
      <c r="DG119" s="11" t="n">
        <v>-29931308</v>
      </c>
      <c r="DH119" s="11" t="n">
        <v>-2244402784</v>
      </c>
      <c r="DI119" s="11" t="n">
        <v>772773577</v>
      </c>
      <c r="DJ119" s="11" t="n">
        <v>-717655699</v>
      </c>
      <c r="DK119" s="11" t="n">
        <v>2096486632</v>
      </c>
      <c r="DL119" s="11" t="n">
        <v>937723848</v>
      </c>
      <c r="DM119" s="11" t="n">
        <v>-993228046</v>
      </c>
      <c r="DN119" s="11" t="n">
        <v>178319188</v>
      </c>
      <c r="DO119" s="11" t="n">
        <v>597586404</v>
      </c>
      <c r="DP119" s="11" t="n">
        <v>-262774030</v>
      </c>
      <c r="DQ119" s="11" t="n">
        <v>-483700056</v>
      </c>
      <c r="DR119" s="11" t="n">
        <v>168881</v>
      </c>
      <c r="DS119" s="11" t="n">
        <v>1727</v>
      </c>
      <c r="DT119" s="11" t="n">
        <v>-206467</v>
      </c>
      <c r="DU119" s="11" t="n">
        <v>-4469</v>
      </c>
      <c r="DV119" s="11" t="n">
        <v>-137098</v>
      </c>
      <c r="DW119" s="11" t="n">
        <v>16586</v>
      </c>
      <c r="DX119" s="11" t="n">
        <v>-10484</v>
      </c>
      <c r="DY119" s="11" t="n">
        <v>37151</v>
      </c>
      <c r="DZ119" s="11" t="n">
        <v>-3648132</v>
      </c>
      <c r="EA119" s="11" t="n">
        <v>276536</v>
      </c>
      <c r="EB119" s="11" t="n">
        <v>-24362602</v>
      </c>
      <c r="EC119" s="11" t="n">
        <v>9806211</v>
      </c>
      <c r="ED119" s="11" t="n">
        <v>-6302215</v>
      </c>
      <c r="EE119" s="11" t="n">
        <v>8113</v>
      </c>
      <c r="EF119" s="11" t="n">
        <v>3811</v>
      </c>
      <c r="EG119" s="11" t="n">
        <v>-218976</v>
      </c>
      <c r="EH119" s="11" t="n">
        <v>96631</v>
      </c>
      <c r="EI119" s="11" t="n">
        <v>-62141</v>
      </c>
      <c r="EJ119" s="11" t="n">
        <v>-434620</v>
      </c>
      <c r="EK119" s="11" t="n">
        <v>26823158</v>
      </c>
      <c r="EL119" s="11" t="n">
        <v>-11630385</v>
      </c>
      <c r="EM119" s="11" t="n">
        <v>7478357</v>
      </c>
      <c r="EN119" s="11" t="n">
        <v>869186</v>
      </c>
      <c r="EO119" s="11" t="n">
        <v>-286655</v>
      </c>
      <c r="EP119" s="11" t="n">
        <v>183939</v>
      </c>
      <c r="EQ119" s="11" t="n">
        <v>-5568026</v>
      </c>
      <c r="ER119" s="11" t="n">
        <v>3603742</v>
      </c>
      <c r="ES119" s="11" t="n">
        <v>-10186</v>
      </c>
      <c r="ET119" s="11" t="n">
        <v>-21024</v>
      </c>
      <c r="EU119" s="11" t="n">
        <v>1604622</v>
      </c>
      <c r="EV119" s="11" t="n">
        <v>29566</v>
      </c>
      <c r="EW119" s="11" t="n">
        <v>3388116</v>
      </c>
      <c r="EX119" s="11" t="n">
        <v>-436117</v>
      </c>
      <c r="EY119" s="11" t="n">
        <v>1051243</v>
      </c>
      <c r="EZ119" s="11" t="n">
        <v>-9294</v>
      </c>
      <c r="FA119" s="11" t="n">
        <v>-254</v>
      </c>
      <c r="FB119" s="11" t="n">
        <v>17580</v>
      </c>
      <c r="FC119" s="11" t="n">
        <v>-2395</v>
      </c>
      <c r="FD119" s="11" t="n">
        <v>9445</v>
      </c>
      <c r="FE119" s="11" t="n">
        <v>6316</v>
      </c>
      <c r="FF119" s="11" t="n">
        <v>-2839536</v>
      </c>
      <c r="FG119" s="11" t="n">
        <v>375587</v>
      </c>
      <c r="FH119" s="11" t="n">
        <v>-1185593</v>
      </c>
      <c r="FI119" s="11" t="n">
        <v>-65656</v>
      </c>
      <c r="FJ119" s="11" t="n">
        <v>8637</v>
      </c>
      <c r="FK119" s="11" t="n">
        <v>-25983</v>
      </c>
      <c r="FL119" s="11" t="n">
        <v>21290</v>
      </c>
      <c r="FM119" s="11" t="n">
        <v>-643070</v>
      </c>
      <c r="FN119" s="11" t="n">
        <v>76170</v>
      </c>
      <c r="FO119" s="11" t="n">
        <v>-101166</v>
      </c>
      <c r="FP119" s="11" t="n">
        <v>40930</v>
      </c>
      <c r="FQ119" s="11" t="n">
        <v>-2287572</v>
      </c>
      <c r="FR119" s="11" t="n">
        <v>1124837</v>
      </c>
      <c r="FS119" s="11" t="n">
        <v>-553307</v>
      </c>
      <c r="FT119" s="11" t="n">
        <v>-3266184</v>
      </c>
      <c r="FU119" s="11" t="n">
        <v>158291772</v>
      </c>
      <c r="FV119" s="11" t="n">
        <v>-83752758</v>
      </c>
      <c r="FW119" s="11" t="n">
        <v>37171734</v>
      </c>
      <c r="FX119" s="11" t="n">
        <v>9813068</v>
      </c>
      <c r="FY119" s="11" t="n">
        <v>-2430898</v>
      </c>
      <c r="FZ119" s="11" t="n">
        <v>2824698</v>
      </c>
      <c r="GA119" s="11" t="n">
        <v>-133819882</v>
      </c>
      <c r="GB119" s="11" t="n">
        <v>-25215266</v>
      </c>
      <c r="GC119" s="11" t="n">
        <v>44766478</v>
      </c>
      <c r="GD119" s="11" t="n">
        <v>19316</v>
      </c>
      <c r="GE119" s="11" t="n">
        <v>-1095852</v>
      </c>
      <c r="GF119" s="11" t="n">
        <v>508777</v>
      </c>
      <c r="GG119" s="11" t="n">
        <v>-290047</v>
      </c>
      <c r="GH119" s="11" t="n">
        <v>6588</v>
      </c>
      <c r="GI119" s="11" t="n">
        <v>8927</v>
      </c>
      <c r="GJ119" s="11" t="n">
        <v>11703</v>
      </c>
      <c r="GK119" s="11" t="n">
        <v>-679980</v>
      </c>
      <c r="GL119" s="11" t="n">
        <v>-565020</v>
      </c>
      <c r="GM119" s="11" t="n">
        <v>442300</v>
      </c>
      <c r="GN119" s="11" t="n">
        <v>-5156776</v>
      </c>
      <c r="GO119" s="11" t="n">
        <v>434840</v>
      </c>
      <c r="GP119" s="11" t="n">
        <v>-2266944</v>
      </c>
      <c r="GQ119" s="11" t="n">
        <v>111158042</v>
      </c>
      <c r="GR119" s="11" t="n">
        <v>51176626</v>
      </c>
      <c r="GS119" s="11" t="n">
        <v>-53181038</v>
      </c>
      <c r="GT119" s="11" t="n">
        <v>2531542</v>
      </c>
      <c r="GU119" s="11" t="n">
        <v>2351166</v>
      </c>
      <c r="GV119" s="11" t="n">
        <v>-1311138</v>
      </c>
      <c r="GW119" s="11" t="n">
        <v>-25557680</v>
      </c>
      <c r="GX119" s="11" t="n">
        <v>-85450</v>
      </c>
      <c r="GY119" s="11" t="n">
        <v>1458388</v>
      </c>
      <c r="GZ119" s="11" t="n">
        <v>-548769</v>
      </c>
      <c r="HA119" s="11" t="n">
        <v>10070130</v>
      </c>
      <c r="HB119" s="11" t="n">
        <v>-4002308</v>
      </c>
      <c r="HC119" s="11" t="n">
        <v>2645444</v>
      </c>
      <c r="HD119" s="11" t="n">
        <v>-89554</v>
      </c>
      <c r="HE119" s="11" t="n">
        <v>-7873</v>
      </c>
      <c r="HF119" s="11" t="n">
        <v>33610</v>
      </c>
      <c r="HG119" s="11" t="n">
        <v>-32536</v>
      </c>
      <c r="HH119" s="11" t="n">
        <v>21748</v>
      </c>
      <c r="HI119" s="11" t="n">
        <v>709495</v>
      </c>
      <c r="HJ119" s="11" t="n">
        <v>-11127406</v>
      </c>
      <c r="HK119" s="11" t="n">
        <v>4749828</v>
      </c>
      <c r="HL119" s="11" t="n">
        <v>-3143676</v>
      </c>
      <c r="HM119" s="11" t="n">
        <v>-711972</v>
      </c>
      <c r="HN119" s="11" t="n">
        <v>159806</v>
      </c>
      <c r="HO119" s="11" t="n">
        <v>-104072</v>
      </c>
      <c r="HP119" s="11" t="n">
        <v>2260084</v>
      </c>
      <c r="HQ119" s="11" t="n">
        <v>-1522432</v>
      </c>
      <c r="HR119" s="11" t="n">
        <v>11352</v>
      </c>
      <c r="HS119" s="11" t="n">
        <v>-1525052</v>
      </c>
      <c r="HT119" s="11" t="n">
        <v>19201</v>
      </c>
      <c r="HU119" s="11" t="n">
        <v>-10111670</v>
      </c>
      <c r="HV119" s="11" t="n">
        <v>4081282</v>
      </c>
      <c r="HW119" s="11" t="n">
        <v>-2606826</v>
      </c>
      <c r="HX119" s="11" t="n">
        <v>9466340</v>
      </c>
      <c r="HY119" s="11" t="n">
        <v>-7147264</v>
      </c>
      <c r="HZ119" s="11" t="n">
        <v>1774548</v>
      </c>
      <c r="IA119" s="11" t="n">
        <v>-2722948</v>
      </c>
      <c r="IB119" s="11" t="n">
        <v>-62675418</v>
      </c>
      <c r="IC119" s="11" t="n">
        <v>25311091</v>
      </c>
      <c r="ID119" s="11" t="n">
        <v>-16146871</v>
      </c>
      <c r="IE119" s="11" t="n">
        <v>-7361294</v>
      </c>
      <c r="IF119" s="11" t="n">
        <v>-5837098</v>
      </c>
      <c r="IG119" s="11" t="n">
        <v>4253744</v>
      </c>
      <c r="IH119" s="11" t="n">
        <v>160635</v>
      </c>
      <c r="II119" s="11" t="n">
        <v>-11197162</v>
      </c>
      <c r="IJ119" s="11" t="n">
        <v>4857978</v>
      </c>
      <c r="IK119" s="11" t="n">
        <v>-3120170</v>
      </c>
      <c r="IL119" s="11" t="n">
        <v>-924094</v>
      </c>
      <c r="IM119" s="11" t="n">
        <v>368721</v>
      </c>
      <c r="IN119" s="11" t="n">
        <v>-235295</v>
      </c>
      <c r="IO119" s="11" t="n">
        <v>2244838</v>
      </c>
      <c r="IP119" s="11" t="n">
        <v>-1548194</v>
      </c>
      <c r="IQ119" s="11" t="n">
        <v>46156</v>
      </c>
      <c r="IR119" s="11" t="n">
        <v>68750470</v>
      </c>
      <c r="IS119" s="11" t="n">
        <v>-29967645</v>
      </c>
      <c r="IT119" s="11" t="n">
        <v>19080785</v>
      </c>
      <c r="IU119" s="11" t="n">
        <v>9738258</v>
      </c>
      <c r="IV119" s="11" t="n">
        <v>5369398</v>
      </c>
      <c r="IW119" s="11" t="n">
        <v>-5043192</v>
      </c>
      <c r="IX119" s="11" t="n">
        <v>14586976</v>
      </c>
      <c r="IY119" s="11" t="n">
        <v>-9062764</v>
      </c>
      <c r="IZ119" s="11" t="n">
        <v>-98054</v>
      </c>
      <c r="JA119" s="11" t="n">
        <v>-2422948</v>
      </c>
      <c r="JB119" s="11" t="n">
        <v>630348</v>
      </c>
      <c r="JC119" s="11" t="n">
        <v>83276</v>
      </c>
      <c r="JD119" s="11" t="n">
        <v>460680</v>
      </c>
      <c r="JE119" s="11" t="n">
        <v>277582</v>
      </c>
      <c r="JF119" s="11" t="n">
        <v>202574</v>
      </c>
      <c r="JG119" s="11" t="n">
        <v>-5469446</v>
      </c>
      <c r="JH119" s="11" t="n">
        <v>66422892</v>
      </c>
      <c r="JI119" s="11" t="n">
        <v>-34261780</v>
      </c>
      <c r="JJ119" s="11" t="n">
        <v>16057564</v>
      </c>
      <c r="JK119" s="11" t="n">
        <v>12772464</v>
      </c>
      <c r="JL119" s="11" t="n">
        <v>-2117821</v>
      </c>
      <c r="JM119" s="11" t="n">
        <v>3879091</v>
      </c>
      <c r="JN119" s="11" t="n">
        <v>-54289878</v>
      </c>
      <c r="JO119" s="11" t="n">
        <v>-9610806</v>
      </c>
      <c r="JP119" s="11" t="n">
        <v>18081816</v>
      </c>
      <c r="JQ119" s="11" t="n">
        <v>29198</v>
      </c>
      <c r="JR119" s="11" t="n">
        <v>730740</v>
      </c>
      <c r="JS119" s="11" t="n">
        <v>50902</v>
      </c>
      <c r="JT119" s="11" t="n">
        <v>372734</v>
      </c>
      <c r="JU119" s="11" t="n">
        <v>75200</v>
      </c>
      <c r="JV119" s="11" t="n">
        <v>-6133</v>
      </c>
      <c r="JW119" s="11" t="n">
        <v>39859</v>
      </c>
      <c r="JX119" s="11" t="n">
        <v>-284590</v>
      </c>
      <c r="JY119" s="11" t="n">
        <v>37570</v>
      </c>
      <c r="JZ119" s="11" t="n">
        <v>147780</v>
      </c>
      <c r="KA119" s="11" t="n">
        <v>-9417272</v>
      </c>
      <c r="KB119" s="11" t="n">
        <v>1145351</v>
      </c>
      <c r="KC119" s="11" t="n">
        <v>-3977957</v>
      </c>
      <c r="KD119" s="11" t="n">
        <v>45082258</v>
      </c>
      <c r="KE119" s="11" t="n">
        <v>20661866</v>
      </c>
      <c r="KF119" s="11" t="n">
        <v>-21556176</v>
      </c>
      <c r="KG119" s="11" t="n">
        <v>971788</v>
      </c>
      <c r="KH119" s="11" t="n">
        <v>2610476</v>
      </c>
      <c r="KI119" s="11" t="n">
        <v>-727986</v>
      </c>
      <c r="KJ119" s="11" t="n">
        <v>-10364700</v>
      </c>
      <c r="KK119" s="11" t="n">
        <v>1627894</v>
      </c>
      <c r="KL119" s="11" t="n">
        <v>-66369924</v>
      </c>
      <c r="KM119" s="11" t="n">
        <v>35060912</v>
      </c>
      <c r="KN119" s="11" t="n">
        <v>-15614648</v>
      </c>
      <c r="KO119" s="11" t="n">
        <v>-9957928</v>
      </c>
      <c r="KP119" s="11" t="n">
        <v>3915073</v>
      </c>
      <c r="KQ119" s="11" t="n">
        <v>-2586023</v>
      </c>
      <c r="KR119" s="11" t="n">
        <v>54850586</v>
      </c>
      <c r="KS119" s="11" t="n">
        <v>9917482</v>
      </c>
      <c r="KT119" s="11" t="n">
        <v>-18143588</v>
      </c>
      <c r="KU119" s="11" t="n">
        <v>404343772</v>
      </c>
      <c r="KV119" s="11" t="n">
        <v>-215736734</v>
      </c>
      <c r="KW119" s="11" t="n">
        <v>94017054</v>
      </c>
      <c r="KX119" s="11" t="n">
        <v>87087508</v>
      </c>
      <c r="KY119" s="11" t="n">
        <v>45322940</v>
      </c>
      <c r="KZ119" s="11" t="n">
        <v>-44431336</v>
      </c>
      <c r="LA119" s="11" t="n">
        <v>347231134</v>
      </c>
      <c r="LB119" s="11" t="n">
        <v>67220126</v>
      </c>
      <c r="LC119" s="11" t="n">
        <v>-116602510</v>
      </c>
      <c r="LD119" s="11" t="n">
        <v>-24443316</v>
      </c>
      <c r="LE119" s="11" t="n">
        <v>-4961444</v>
      </c>
      <c r="LF119" s="11" t="n">
        <v>1492581</v>
      </c>
      <c r="LG119" s="11" t="n">
        <v>-1685875</v>
      </c>
      <c r="LH119" s="11" t="n">
        <v>46004386</v>
      </c>
      <c r="LI119" s="11" t="n">
        <v>21144002</v>
      </c>
      <c r="LJ119" s="11" t="n">
        <v>-21992948</v>
      </c>
      <c r="LK119" s="11" t="n">
        <v>2802026</v>
      </c>
      <c r="LL119" s="11" t="n">
        <v>2431002</v>
      </c>
      <c r="LM119" s="11" t="n">
        <v>-1683448</v>
      </c>
      <c r="LN119" s="11" t="n">
        <v>-10599880</v>
      </c>
      <c r="LO119" s="11" t="n">
        <v>-286781506</v>
      </c>
      <c r="LP119" s="11" t="n">
        <v>-132203146</v>
      </c>
      <c r="LQ119" s="11" t="n">
        <v>137218454</v>
      </c>
      <c r="LR119" s="11" t="n">
        <v>3671476</v>
      </c>
      <c r="LS119" s="11" t="n">
        <v>-65853764</v>
      </c>
    </row>
    <row r="120" customFormat="false" ht="15" hidden="false" customHeight="true" outlineLevel="0" collapsed="false">
      <c r="A120" s="7" t="s">
        <v>186</v>
      </c>
      <c r="B120" s="11" t="n">
        <v>-1351917</v>
      </c>
      <c r="C120" s="11" t="n">
        <v>-106103561</v>
      </c>
      <c r="D120" s="11" t="n">
        <v>7286</v>
      </c>
      <c r="E120" s="11" t="n">
        <v>29811613</v>
      </c>
      <c r="F120" s="11" t="n">
        <v>3313235</v>
      </c>
      <c r="G120" s="11" t="n">
        <v>-233940880</v>
      </c>
      <c r="H120" s="11" t="n">
        <v>82579467</v>
      </c>
      <c r="I120" s="11" t="n">
        <v>-68133617</v>
      </c>
      <c r="J120" s="11" t="n">
        <v>6786850</v>
      </c>
      <c r="K120" s="11" t="n">
        <v>16646</v>
      </c>
      <c r="L120" s="11" t="n">
        <v>-5728856</v>
      </c>
      <c r="M120" s="11" t="n">
        <v>-191212</v>
      </c>
      <c r="N120" s="11" t="n">
        <v>3436496</v>
      </c>
      <c r="O120" s="11" t="n">
        <v>-717045</v>
      </c>
      <c r="P120" s="11" t="n">
        <v>4466287</v>
      </c>
      <c r="Q120" s="11" t="n">
        <v>1343018</v>
      </c>
      <c r="R120" s="11" t="n">
        <v>-299962998</v>
      </c>
      <c r="S120" s="11" t="n">
        <v>1625954</v>
      </c>
      <c r="T120" s="11" t="n">
        <v>-904713232</v>
      </c>
      <c r="U120" s="11" t="n">
        <v>358286365</v>
      </c>
      <c r="V120" s="11" t="n">
        <v>8488921</v>
      </c>
      <c r="W120" s="11" t="n">
        <v>397942</v>
      </c>
      <c r="X120" s="11" t="n">
        <v>41826</v>
      </c>
      <c r="Y120" s="11" t="n">
        <v>-2899008</v>
      </c>
      <c r="Z120" s="11" t="n">
        <v>1020656</v>
      </c>
      <c r="AA120" s="11" t="n">
        <v>-862992</v>
      </c>
      <c r="AB120" s="11" t="n">
        <v>-9823612</v>
      </c>
      <c r="AC120" s="11" t="n">
        <v>915563696</v>
      </c>
      <c r="AD120" s="11" t="n">
        <v>-334125251</v>
      </c>
      <c r="AE120" s="11" t="n">
        <v>190233913</v>
      </c>
      <c r="AF120" s="11" t="n">
        <v>24666000</v>
      </c>
      <c r="AG120" s="11" t="n">
        <v>-9922537</v>
      </c>
      <c r="AH120" s="11" t="n">
        <v>-1309173</v>
      </c>
      <c r="AI120" s="11" t="n">
        <v>85832096</v>
      </c>
      <c r="AJ120" s="11" t="n">
        <v>599671584</v>
      </c>
      <c r="AK120" s="11" t="n">
        <v>-236677792</v>
      </c>
      <c r="AL120" s="11" t="n">
        <v>48191058</v>
      </c>
      <c r="AM120" s="11" t="n">
        <v>-460539</v>
      </c>
      <c r="AN120" s="11" t="n">
        <v>-23288715</v>
      </c>
      <c r="AO120" s="11" t="n">
        <v>-5089500</v>
      </c>
      <c r="AP120" s="11" t="n">
        <v>83856546</v>
      </c>
      <c r="AQ120" s="11" t="n">
        <v>-32218533</v>
      </c>
      <c r="AR120" s="11" t="n">
        <v>26407971</v>
      </c>
      <c r="AS120" s="11" t="n">
        <v>-35885123</v>
      </c>
      <c r="AT120" s="11" t="n">
        <v>-765107933</v>
      </c>
      <c r="AU120" s="11" t="n">
        <v>-281338110</v>
      </c>
      <c r="AV120" s="11" t="n">
        <v>-1757785702</v>
      </c>
      <c r="AW120" s="11" t="n">
        <v>415033469</v>
      </c>
      <c r="AX120" s="11" t="n">
        <v>-356124915</v>
      </c>
      <c r="AY120" s="11" t="n">
        <v>-10030001</v>
      </c>
      <c r="AZ120" s="11" t="n">
        <v>-1101245</v>
      </c>
      <c r="BA120" s="11" t="n">
        <v>79241492</v>
      </c>
      <c r="BB120" s="11" t="n">
        <v>-27957575</v>
      </c>
      <c r="BC120" s="11" t="n">
        <v>23067821</v>
      </c>
      <c r="BD120" s="11" t="n">
        <v>55155175</v>
      </c>
      <c r="BE120" s="11" t="n">
        <v>2180817006</v>
      </c>
      <c r="BF120" s="11" t="n">
        <v>-712087528</v>
      </c>
      <c r="BG120" s="11" t="n">
        <v>591367796</v>
      </c>
      <c r="BH120" s="11" t="n">
        <v>675193570</v>
      </c>
      <c r="BI120" s="11" t="n">
        <v>-231922985</v>
      </c>
      <c r="BJ120" s="11" t="n">
        <v>191779695</v>
      </c>
      <c r="BK120" s="11" t="n">
        <v>-452988674</v>
      </c>
      <c r="BL120" s="11" t="n">
        <v>343552294</v>
      </c>
      <c r="BM120" s="11" t="n">
        <v>10658212</v>
      </c>
      <c r="BN120" s="11" t="n">
        <v>2905354</v>
      </c>
      <c r="BO120" s="11" t="n">
        <v>-87300194</v>
      </c>
      <c r="BP120" s="11" t="n">
        <v>18734112</v>
      </c>
      <c r="BQ120" s="11" t="n">
        <v>-298474996</v>
      </c>
      <c r="BR120" s="11" t="n">
        <v>136182320</v>
      </c>
      <c r="BS120" s="11" t="n">
        <v>26634888</v>
      </c>
      <c r="BT120" s="11" t="n">
        <v>2238322</v>
      </c>
      <c r="BU120" s="11" t="n">
        <v>127804</v>
      </c>
      <c r="BV120" s="11" t="n">
        <v>-2203180</v>
      </c>
      <c r="BW120" s="11" t="n">
        <v>640969</v>
      </c>
      <c r="BX120" s="11" t="n">
        <v>-1846627</v>
      </c>
      <c r="BY120" s="11" t="n">
        <v>-18273260</v>
      </c>
      <c r="BZ120" s="11" t="n">
        <v>296150208</v>
      </c>
      <c r="CA120" s="11" t="n">
        <v>-124176469</v>
      </c>
      <c r="CB120" s="11" t="n">
        <v>34967663</v>
      </c>
      <c r="CC120" s="11" t="n">
        <v>-1076744</v>
      </c>
      <c r="CD120" s="11" t="n">
        <v>-1857488</v>
      </c>
      <c r="CE120" s="11" t="n">
        <v>-13078944</v>
      </c>
      <c r="CF120" s="11" t="n">
        <v>37420894</v>
      </c>
      <c r="CG120" s="11" t="n">
        <v>209906758</v>
      </c>
      <c r="CH120" s="11" t="n">
        <v>-92432828</v>
      </c>
      <c r="CI120" s="11" t="n">
        <v>111134468</v>
      </c>
      <c r="CJ120" s="11" t="n">
        <v>3011158</v>
      </c>
      <c r="CK120" s="11" t="n">
        <v>328231052</v>
      </c>
      <c r="CL120" s="11" t="n">
        <v>-126428817</v>
      </c>
      <c r="CM120" s="11" t="n">
        <v>1636667</v>
      </c>
      <c r="CN120" s="11" t="n">
        <v>-807089342</v>
      </c>
      <c r="CO120" s="11" t="n">
        <v>1554449260</v>
      </c>
      <c r="CP120" s="11" t="n">
        <v>-1410254803</v>
      </c>
      <c r="CQ120" s="11" t="n">
        <v>-1068005983</v>
      </c>
      <c r="CR120" s="11" t="n">
        <v>2425822348</v>
      </c>
      <c r="CS120" s="11" t="n">
        <v>-956371616</v>
      </c>
      <c r="CT120" s="11" t="n">
        <v>-17051400</v>
      </c>
      <c r="CU120" s="11" t="n">
        <v>-2396756302</v>
      </c>
      <c r="CV120" s="11" t="n">
        <v>-3177203702</v>
      </c>
      <c r="CW120" s="11" t="n">
        <v>1235753884</v>
      </c>
      <c r="CX120" s="11" t="n">
        <v>-2568874</v>
      </c>
      <c r="CY120" s="11" t="n">
        <v>337148596</v>
      </c>
      <c r="CZ120" s="11" t="n">
        <v>-121920479</v>
      </c>
      <c r="DA120" s="11" t="n">
        <v>71897365</v>
      </c>
      <c r="DB120" s="11" t="n">
        <v>16722012</v>
      </c>
      <c r="DC120" s="11" t="n">
        <v>-6225805</v>
      </c>
      <c r="DD120" s="11" t="n">
        <v>1985871</v>
      </c>
      <c r="DE120" s="11" t="n">
        <v>23459968</v>
      </c>
      <c r="DF120" s="11" t="n">
        <v>207380736</v>
      </c>
      <c r="DG120" s="11" t="n">
        <v>-79996384</v>
      </c>
      <c r="DH120" s="11" t="n">
        <v>-2412535544</v>
      </c>
      <c r="DI120" s="11" t="n">
        <v>852822297</v>
      </c>
      <c r="DJ120" s="11" t="n">
        <v>-546825579</v>
      </c>
      <c r="DK120" s="11" t="n">
        <v>2572975186</v>
      </c>
      <c r="DL120" s="11" t="n">
        <v>4245645226</v>
      </c>
      <c r="DM120" s="11" t="n">
        <v>-2084010564</v>
      </c>
      <c r="DN120" s="11" t="n">
        <v>295487894</v>
      </c>
      <c r="DO120" s="11" t="n">
        <v>1694532126</v>
      </c>
      <c r="DP120" s="11" t="n">
        <v>-665986092</v>
      </c>
      <c r="DQ120" s="11" t="n">
        <v>-1287215168</v>
      </c>
      <c r="DR120" s="11" t="n">
        <v>935554</v>
      </c>
      <c r="DS120" s="11" t="n">
        <v>8051</v>
      </c>
      <c r="DT120" s="11" t="n">
        <v>-1008923</v>
      </c>
      <c r="DU120" s="11" t="n">
        <v>-21499</v>
      </c>
      <c r="DV120" s="11" t="n">
        <v>-520984</v>
      </c>
      <c r="DW120" s="11" t="n">
        <v>64227</v>
      </c>
      <c r="DX120" s="11" t="n">
        <v>-11789</v>
      </c>
      <c r="DY120" s="11" t="n">
        <v>636915</v>
      </c>
      <c r="DZ120" s="11" t="n">
        <v>-58553853</v>
      </c>
      <c r="EA120" s="11" t="n">
        <v>605503</v>
      </c>
      <c r="EB120" s="11" t="n">
        <v>-202780632</v>
      </c>
      <c r="EC120" s="11" t="n">
        <v>62187445</v>
      </c>
      <c r="ED120" s="11" t="n">
        <v>-48075091</v>
      </c>
      <c r="EE120" s="11" t="n">
        <v>182973</v>
      </c>
      <c r="EF120" s="11" t="n">
        <v>19847</v>
      </c>
      <c r="EG120" s="11" t="n">
        <v>-1390368</v>
      </c>
      <c r="EH120" s="11" t="n">
        <v>491435</v>
      </c>
      <c r="EI120" s="11" t="n">
        <v>-405689</v>
      </c>
      <c r="EJ120" s="11" t="n">
        <v>-1998554</v>
      </c>
      <c r="EK120" s="11" t="n">
        <v>186076296</v>
      </c>
      <c r="EL120" s="11" t="n">
        <v>-63044576</v>
      </c>
      <c r="EM120" s="11" t="n">
        <v>51107444</v>
      </c>
      <c r="EN120" s="11" t="n">
        <v>4997080</v>
      </c>
      <c r="EO120" s="11" t="n">
        <v>-1470634</v>
      </c>
      <c r="EP120" s="11" t="n">
        <v>1112394</v>
      </c>
      <c r="EQ120" s="11" t="n">
        <v>-20709304</v>
      </c>
      <c r="ER120" s="11" t="n">
        <v>24216424</v>
      </c>
      <c r="ES120" s="11" t="n">
        <v>-2516788</v>
      </c>
      <c r="ET120" s="11" t="n">
        <v>-28898</v>
      </c>
      <c r="EU120" s="11" t="n">
        <v>1100478</v>
      </c>
      <c r="EV120" s="11" t="n">
        <v>-24394</v>
      </c>
      <c r="EW120" s="11" t="n">
        <v>4993552</v>
      </c>
      <c r="EX120" s="11" t="n">
        <v>-818640</v>
      </c>
      <c r="EY120" s="11" t="n">
        <v>3149944</v>
      </c>
      <c r="EZ120" s="11" t="n">
        <v>-21694</v>
      </c>
      <c r="FA120" s="11" t="n">
        <v>-874</v>
      </c>
      <c r="FB120" s="11" t="n">
        <v>26880</v>
      </c>
      <c r="FC120" s="11" t="n">
        <v>-5061</v>
      </c>
      <c r="FD120" s="11" t="n">
        <v>26743</v>
      </c>
      <c r="FE120" s="11" t="n">
        <v>51596</v>
      </c>
      <c r="FF120" s="11" t="n">
        <v>-4772336</v>
      </c>
      <c r="FG120" s="11" t="n">
        <v>807291</v>
      </c>
      <c r="FH120" s="11" t="n">
        <v>-3383105</v>
      </c>
      <c r="FI120" s="11" t="n">
        <v>-128336</v>
      </c>
      <c r="FJ120" s="11" t="n">
        <v>20487</v>
      </c>
      <c r="FK120" s="11" t="n">
        <v>-72693</v>
      </c>
      <c r="FL120" s="11" t="n">
        <v>113064</v>
      </c>
      <c r="FM120" s="11" t="n">
        <v>-1691192</v>
      </c>
      <c r="FN120" s="11" t="n">
        <v>205932</v>
      </c>
      <c r="FO120" s="11" t="n">
        <v>-1059456</v>
      </c>
      <c r="FP120" s="11" t="n">
        <v>2096</v>
      </c>
      <c r="FQ120" s="11" t="n">
        <v>-2864064</v>
      </c>
      <c r="FR120" s="11" t="n">
        <v>1363565</v>
      </c>
      <c r="FS120" s="11" t="n">
        <v>659473</v>
      </c>
      <c r="FT120" s="11" t="n">
        <v>814512</v>
      </c>
      <c r="FU120" s="11" t="n">
        <v>-74005440</v>
      </c>
      <c r="FV120" s="11" t="n">
        <v>-21913635</v>
      </c>
      <c r="FW120" s="11" t="n">
        <v>-140596671</v>
      </c>
      <c r="FX120" s="11" t="n">
        <v>-2055488</v>
      </c>
      <c r="FY120" s="11" t="n">
        <v>1091665</v>
      </c>
      <c r="FZ120" s="11" t="n">
        <v>785157</v>
      </c>
      <c r="GA120" s="11" t="n">
        <v>-154488040</v>
      </c>
      <c r="GB120" s="11" t="n">
        <v>-426145544</v>
      </c>
      <c r="GC120" s="11" t="n">
        <v>167313460</v>
      </c>
      <c r="GD120" s="11" t="n">
        <v>33616</v>
      </c>
      <c r="GE120" s="11" t="n">
        <v>-3135552</v>
      </c>
      <c r="GF120" s="11" t="n">
        <v>1209187</v>
      </c>
      <c r="GG120" s="11" t="n">
        <v>-485377</v>
      </c>
      <c r="GH120" s="11" t="n">
        <v>-84672</v>
      </c>
      <c r="GI120" s="11" t="n">
        <v>40873</v>
      </c>
      <c r="GJ120" s="11" t="n">
        <v>21885</v>
      </c>
      <c r="GK120" s="11" t="n">
        <v>-766752</v>
      </c>
      <c r="GL120" s="11" t="n">
        <v>-3263904</v>
      </c>
      <c r="GM120" s="11" t="n">
        <v>1377376</v>
      </c>
      <c r="GN120" s="11" t="n">
        <v>62464</v>
      </c>
      <c r="GO120" s="11" t="n">
        <v>-1624934</v>
      </c>
      <c r="GP120" s="11" t="n">
        <v>-4087902</v>
      </c>
      <c r="GQ120" s="11" t="n">
        <v>149319800</v>
      </c>
      <c r="GR120" s="11" t="n">
        <v>382203352</v>
      </c>
      <c r="GS120" s="11" t="n">
        <v>-170506412</v>
      </c>
      <c r="GT120" s="11" t="n">
        <v>4016936</v>
      </c>
      <c r="GU120" s="11" t="n">
        <v>10255944</v>
      </c>
      <c r="GV120" s="11" t="n">
        <v>-3912516</v>
      </c>
      <c r="GW120" s="11" t="n">
        <v>-61970048</v>
      </c>
      <c r="GX120" s="11" t="n">
        <v>-605692</v>
      </c>
      <c r="GY120" s="11" t="n">
        <v>19848272</v>
      </c>
      <c r="GZ120" s="11" t="n">
        <v>-2755674</v>
      </c>
      <c r="HA120" s="11" t="n">
        <v>76601668</v>
      </c>
      <c r="HB120" s="11" t="n">
        <v>-24585344</v>
      </c>
      <c r="HC120" s="11" t="n">
        <v>18695088</v>
      </c>
      <c r="HD120" s="11" t="n">
        <v>-482386</v>
      </c>
      <c r="HE120" s="11" t="n">
        <v>-37633</v>
      </c>
      <c r="HF120" s="11" t="n">
        <v>321910</v>
      </c>
      <c r="HG120" s="11" t="n">
        <v>-169990</v>
      </c>
      <c r="HH120" s="11" t="n">
        <v>153250</v>
      </c>
      <c r="HI120" s="11" t="n">
        <v>3427895</v>
      </c>
      <c r="HJ120" s="11" t="n">
        <v>-71556054</v>
      </c>
      <c r="HK120" s="11" t="n">
        <v>25150792</v>
      </c>
      <c r="HL120" s="11" t="n">
        <v>-19911104</v>
      </c>
      <c r="HM120" s="11" t="n">
        <v>-3294862</v>
      </c>
      <c r="HN120" s="11" t="n">
        <v>754151</v>
      </c>
      <c r="HO120" s="11" t="n">
        <v>-464337</v>
      </c>
      <c r="HP120" s="11" t="n">
        <v>8432090</v>
      </c>
      <c r="HQ120" s="11" t="n">
        <v>-9445510</v>
      </c>
      <c r="HR120" s="11" t="n">
        <v>973640</v>
      </c>
      <c r="HS120" s="11" t="n">
        <v>-24396174</v>
      </c>
      <c r="HT120" s="11" t="n">
        <v>-1484021</v>
      </c>
      <c r="HU120" s="11" t="n">
        <v>-79133706</v>
      </c>
      <c r="HV120" s="11" t="n">
        <v>23523670</v>
      </c>
      <c r="HW120" s="11" t="n">
        <v>-18397138</v>
      </c>
      <c r="HX120" s="11" t="n">
        <v>159624289</v>
      </c>
      <c r="HY120" s="11" t="n">
        <v>-492197850</v>
      </c>
      <c r="HZ120" s="11" t="n">
        <v>219392248</v>
      </c>
      <c r="IA120" s="11" t="n">
        <v>-150137728</v>
      </c>
      <c r="IB120" s="11" t="n">
        <v>-547712666</v>
      </c>
      <c r="IC120" s="11" t="n">
        <v>167261137</v>
      </c>
      <c r="ID120" s="11" t="n">
        <v>-129505455</v>
      </c>
      <c r="IE120" s="11" t="n">
        <v>237046262</v>
      </c>
      <c r="IF120" s="11" t="n">
        <v>-115834682</v>
      </c>
      <c r="IG120" s="11" t="n">
        <v>-20675336</v>
      </c>
      <c r="IH120" s="11" t="n">
        <v>333883</v>
      </c>
      <c r="II120" s="11" t="n">
        <v>-75989718</v>
      </c>
      <c r="IJ120" s="11" t="n">
        <v>25581640</v>
      </c>
      <c r="IK120" s="11" t="n">
        <v>-20824504</v>
      </c>
      <c r="IL120" s="11" t="n">
        <v>-5705474</v>
      </c>
      <c r="IM120" s="11" t="n">
        <v>1878075</v>
      </c>
      <c r="IN120" s="11" t="n">
        <v>-1518537</v>
      </c>
      <c r="IO120" s="11" t="n">
        <v>9706970</v>
      </c>
      <c r="IP120" s="11" t="n">
        <v>-10244510</v>
      </c>
      <c r="IQ120" s="11" t="n">
        <v>788640</v>
      </c>
      <c r="IR120" s="11" t="n">
        <v>490464948</v>
      </c>
      <c r="IS120" s="11" t="n">
        <v>-164378224</v>
      </c>
      <c r="IT120" s="11" t="n">
        <v>134200068</v>
      </c>
      <c r="IU120" s="11" t="n">
        <v>-167252736</v>
      </c>
      <c r="IV120" s="11" t="n">
        <v>47513496</v>
      </c>
      <c r="IW120" s="11" t="n">
        <v>29839328</v>
      </c>
      <c r="IX120" s="11" t="n">
        <v>50094572</v>
      </c>
      <c r="IY120" s="11" t="n">
        <v>-62554332</v>
      </c>
      <c r="IZ120" s="11" t="n">
        <v>7258164</v>
      </c>
      <c r="JA120" s="11" t="n">
        <v>16478680</v>
      </c>
      <c r="JB120" s="11" t="n">
        <v>99380</v>
      </c>
      <c r="JC120" s="11" t="n">
        <v>69326</v>
      </c>
      <c r="JD120" s="11" t="n">
        <v>866780</v>
      </c>
      <c r="JE120" s="11" t="n">
        <v>229408</v>
      </c>
      <c r="JF120" s="11" t="n">
        <v>1461856</v>
      </c>
      <c r="JG120" s="11" t="n">
        <v>-2723926</v>
      </c>
      <c r="JH120" s="11" t="n">
        <v>-15835460</v>
      </c>
      <c r="JI120" s="11" t="n">
        <v>-11551488</v>
      </c>
      <c r="JJ120" s="11" t="n">
        <v>-44836976</v>
      </c>
      <c r="JK120" s="11" t="n">
        <v>12711164</v>
      </c>
      <c r="JL120" s="11" t="n">
        <v>-1770256</v>
      </c>
      <c r="JM120" s="11" t="n">
        <v>8790696</v>
      </c>
      <c r="JN120" s="11" t="n">
        <v>-64196192</v>
      </c>
      <c r="JO120" s="11" t="n">
        <v>-158126704</v>
      </c>
      <c r="JP120" s="11" t="n">
        <v>66418304</v>
      </c>
      <c r="JQ120" s="11" t="n">
        <v>49038</v>
      </c>
      <c r="JR120" s="11" t="n">
        <v>743140</v>
      </c>
      <c r="JS120" s="11" t="n">
        <v>154814</v>
      </c>
      <c r="JT120" s="11" t="n">
        <v>1189398</v>
      </c>
      <c r="JU120" s="11" t="n">
        <v>90700</v>
      </c>
      <c r="JV120" s="11" t="n">
        <v>-5203</v>
      </c>
      <c r="JW120" s="11" t="n">
        <v>108369</v>
      </c>
      <c r="JX120" s="11" t="n">
        <v>-365190</v>
      </c>
      <c r="JY120" s="11" t="n">
        <v>-557630</v>
      </c>
      <c r="JZ120" s="11" t="n">
        <v>468320</v>
      </c>
      <c r="KA120" s="11" t="n">
        <v>-12555032</v>
      </c>
      <c r="KB120" s="11" t="n">
        <v>1456631</v>
      </c>
      <c r="KC120" s="11" t="n">
        <v>-10476117</v>
      </c>
      <c r="KD120" s="11" t="n">
        <v>61710826</v>
      </c>
      <c r="KE120" s="11" t="n">
        <v>145758562</v>
      </c>
      <c r="KF120" s="11" t="n">
        <v>-68403352</v>
      </c>
      <c r="KG120" s="11" t="n">
        <v>1362058</v>
      </c>
      <c r="KH120" s="11" t="n">
        <v>8368866</v>
      </c>
      <c r="KI120" s="11" t="n">
        <v>-2107476</v>
      </c>
      <c r="KJ120" s="11" t="n">
        <v>-25321960</v>
      </c>
      <c r="KK120" s="11" t="n">
        <v>2548832</v>
      </c>
      <c r="KL120" s="11" t="n">
        <v>21928320</v>
      </c>
      <c r="KM120" s="11" t="n">
        <v>13099826</v>
      </c>
      <c r="KN120" s="11" t="n">
        <v>55862362</v>
      </c>
      <c r="KO120" s="11" t="n">
        <v>-6933728</v>
      </c>
      <c r="KP120" s="11" t="n">
        <v>3254539</v>
      </c>
      <c r="KQ120" s="11" t="n">
        <v>1476039</v>
      </c>
      <c r="KR120" s="11" t="n">
        <v>63635894</v>
      </c>
      <c r="KS120" s="11" t="n">
        <v>164664238</v>
      </c>
      <c r="KT120" s="11" t="n">
        <v>-63743072</v>
      </c>
      <c r="KU120" s="11" t="n">
        <v>-194900320</v>
      </c>
      <c r="KV120" s="11" t="n">
        <v>-62790847</v>
      </c>
      <c r="KW120" s="11" t="n">
        <v>-381193611</v>
      </c>
      <c r="KX120" s="11" t="n">
        <v>461490790</v>
      </c>
      <c r="KY120" s="11" t="n">
        <v>992084510</v>
      </c>
      <c r="KZ120" s="11" t="n">
        <v>-582982696</v>
      </c>
      <c r="LA120" s="11" t="n">
        <v>419676678</v>
      </c>
      <c r="LB120" s="11" t="n">
        <v>1149849534</v>
      </c>
      <c r="LC120" s="11" t="n">
        <v>-450374028</v>
      </c>
      <c r="LD120" s="11" t="n">
        <v>-586403544</v>
      </c>
      <c r="LE120" s="11" t="n">
        <v>-8239264</v>
      </c>
      <c r="LF120" s="11" t="n">
        <v>2493403</v>
      </c>
      <c r="LG120" s="11" t="n">
        <v>-2940201</v>
      </c>
      <c r="LH120" s="11" t="n">
        <v>63797482</v>
      </c>
      <c r="LI120" s="11" t="n">
        <v>155283314</v>
      </c>
      <c r="LJ120" s="11" t="n">
        <v>-69758816</v>
      </c>
      <c r="LK120" s="11" t="n">
        <v>3737566</v>
      </c>
      <c r="LL120" s="11" t="n">
        <v>12769782</v>
      </c>
      <c r="LM120" s="11" t="n">
        <v>-5198208</v>
      </c>
      <c r="LN120" s="11" t="n">
        <v>-28436800</v>
      </c>
      <c r="LO120" s="11" t="n">
        <v>-393637324</v>
      </c>
      <c r="LP120" s="11" t="n">
        <v>-1007406012</v>
      </c>
      <c r="LQ120" s="11" t="n">
        <v>445336140</v>
      </c>
      <c r="LR120" s="11" t="n">
        <v>381667432</v>
      </c>
      <c r="LS120" s="11" t="n">
        <v>-153098184</v>
      </c>
    </row>
    <row r="121" customFormat="false" ht="15" hidden="false" customHeight="true" outlineLevel="0" collapsed="false">
      <c r="A121" s="7" t="s">
        <v>187</v>
      </c>
      <c r="B121" s="11" t="n">
        <v>-4690045</v>
      </c>
      <c r="C121" s="11" t="n">
        <v>848249244</v>
      </c>
      <c r="D121" s="11" t="n">
        <v>5223568</v>
      </c>
      <c r="E121" s="11" t="n">
        <v>-739662273</v>
      </c>
      <c r="F121" s="11" t="n">
        <v>-5134361</v>
      </c>
      <c r="G121" s="11" t="n">
        <v>-660044942</v>
      </c>
      <c r="H121" s="11" t="n">
        <v>273875034</v>
      </c>
      <c r="I121" s="11" t="n">
        <v>-90820916</v>
      </c>
      <c r="J121" s="11" t="n">
        <v>-16070884</v>
      </c>
      <c r="K121" s="11" t="n">
        <v>-111558</v>
      </c>
      <c r="L121" s="11" t="n">
        <v>7584428</v>
      </c>
      <c r="M121" s="11" t="n">
        <v>-121764</v>
      </c>
      <c r="N121" s="11" t="n">
        <v>6986292</v>
      </c>
      <c r="O121" s="11" t="n">
        <v>-2076919</v>
      </c>
      <c r="P121" s="11" t="n">
        <v>10753961</v>
      </c>
      <c r="Q121" s="11" t="n">
        <v>2277512</v>
      </c>
      <c r="R121" s="11" t="n">
        <v>1162790820</v>
      </c>
      <c r="S121" s="11" t="n">
        <v>39615812</v>
      </c>
      <c r="T121" s="11" t="n">
        <v>998154344</v>
      </c>
      <c r="U121" s="11" t="n">
        <v>-562823796</v>
      </c>
      <c r="V121" s="11" t="n">
        <v>-1633772572</v>
      </c>
      <c r="W121" s="11" t="n">
        <v>9146494</v>
      </c>
      <c r="X121" s="11" t="n">
        <v>257742</v>
      </c>
      <c r="Y121" s="11" t="n">
        <v>7918884</v>
      </c>
      <c r="Z121" s="11" t="n">
        <v>-4201244</v>
      </c>
      <c r="AA121" s="11" t="n">
        <v>-9817016</v>
      </c>
      <c r="AB121" s="11" t="n">
        <v>-27506224</v>
      </c>
      <c r="AC121" s="11" t="n">
        <v>34420412</v>
      </c>
      <c r="AD121" s="11" t="n">
        <v>115343637</v>
      </c>
      <c r="AE121" s="11" t="n">
        <v>1549126829</v>
      </c>
      <c r="AF121" s="11" t="n">
        <v>24784380</v>
      </c>
      <c r="AG121" s="11" t="n">
        <v>-9384083</v>
      </c>
      <c r="AH121" s="11" t="n">
        <v>14130661</v>
      </c>
      <c r="AI121" s="11" t="n">
        <v>115672894</v>
      </c>
      <c r="AJ121" s="11" t="n">
        <v>1378152262</v>
      </c>
      <c r="AK121" s="11" t="n">
        <v>-587758486</v>
      </c>
      <c r="AL121" s="11" t="n">
        <v>-311580809</v>
      </c>
      <c r="AM121" s="11" t="n">
        <v>-3643793</v>
      </c>
      <c r="AN121" s="11" t="n">
        <v>251053623</v>
      </c>
      <c r="AO121" s="11" t="n">
        <v>-11111224</v>
      </c>
      <c r="AP121" s="11" t="n">
        <v>231266532</v>
      </c>
      <c r="AQ121" s="11" t="n">
        <v>-106809254</v>
      </c>
      <c r="AR121" s="11" t="n">
        <v>34325296</v>
      </c>
      <c r="AS121" s="11" t="n">
        <v>311997244</v>
      </c>
      <c r="AT121" s="11" t="n">
        <v>3733124841</v>
      </c>
      <c r="AU121" s="11" t="n">
        <v>2350692949</v>
      </c>
      <c r="AV121" s="11" t="n">
        <v>2022512806</v>
      </c>
      <c r="AW121" s="11" t="n">
        <v>1122945366</v>
      </c>
      <c r="AX121" s="11" t="n">
        <v>-174487004</v>
      </c>
      <c r="AY121" s="11" t="n">
        <v>295046325</v>
      </c>
      <c r="AZ121" s="11" t="n">
        <v>16364189</v>
      </c>
      <c r="BA121" s="11" t="n">
        <v>255227974</v>
      </c>
      <c r="BB121" s="11" t="n">
        <v>-93819682</v>
      </c>
      <c r="BC121" s="11" t="n">
        <v>32330628</v>
      </c>
      <c r="BD121" s="11" t="n">
        <v>-2027177379</v>
      </c>
      <c r="BE121" s="11" t="n">
        <v>1141237386</v>
      </c>
      <c r="BF121" s="11" t="n">
        <v>-2184511248</v>
      </c>
      <c r="BG121" s="11" t="n">
        <v>551851092</v>
      </c>
      <c r="BH121" s="11" t="n">
        <v>1816893668</v>
      </c>
      <c r="BI121" s="11" t="n">
        <v>-765767518</v>
      </c>
      <c r="BJ121" s="11" t="n">
        <v>252741712</v>
      </c>
      <c r="BK121" s="11" t="n">
        <v>-1526803804</v>
      </c>
      <c r="BL121" s="11" t="n">
        <v>352320656</v>
      </c>
      <c r="BM121" s="11" t="n">
        <v>63895480</v>
      </c>
      <c r="BN121" s="11" t="n">
        <v>-5074502</v>
      </c>
      <c r="BO121" s="11" t="n">
        <v>356391344</v>
      </c>
      <c r="BP121" s="11" t="n">
        <v>-29984332</v>
      </c>
      <c r="BQ121" s="11" t="n">
        <v>328325868</v>
      </c>
      <c r="BR121" s="11" t="n">
        <v>-228012957</v>
      </c>
      <c r="BS121" s="11" t="n">
        <v>-596815173</v>
      </c>
      <c r="BT121" s="11" t="n">
        <v>79094</v>
      </c>
      <c r="BU121" s="11" t="n">
        <v>-169692</v>
      </c>
      <c r="BV121" s="11" t="n">
        <v>73140</v>
      </c>
      <c r="BW121" s="11" t="n">
        <v>-926977</v>
      </c>
      <c r="BX121" s="11" t="n">
        <v>-7538509</v>
      </c>
      <c r="BY121" s="11" t="n">
        <v>11450420</v>
      </c>
      <c r="BZ121" s="11" t="n">
        <v>-19284</v>
      </c>
      <c r="CA121" s="11" t="n">
        <v>61549315</v>
      </c>
      <c r="CB121" s="11" t="n">
        <v>520140667</v>
      </c>
      <c r="CC121" s="11" t="n">
        <v>-10547088</v>
      </c>
      <c r="CD121" s="11" t="n">
        <v>2147440</v>
      </c>
      <c r="CE121" s="11" t="n">
        <v>-24586136</v>
      </c>
      <c r="CF121" s="11" t="n">
        <v>56690028</v>
      </c>
      <c r="CG121" s="11" t="n">
        <v>479147796</v>
      </c>
      <c r="CH121" s="11" t="n">
        <v>-229706046</v>
      </c>
      <c r="CI121" s="11" t="n">
        <v>-417666502</v>
      </c>
      <c r="CJ121" s="11" t="n">
        <v>-8259710</v>
      </c>
      <c r="CK121" s="11" t="n">
        <v>-361703956</v>
      </c>
      <c r="CL121" s="11" t="n">
        <v>210029064</v>
      </c>
      <c r="CM121" s="11" t="n">
        <v>600454580</v>
      </c>
      <c r="CN121" s="11" t="n">
        <v>3048011452</v>
      </c>
      <c r="CO121" s="11" t="n">
        <v>-1620367436</v>
      </c>
      <c r="CP121" s="11" t="n">
        <v>4016321949</v>
      </c>
      <c r="CQ121" s="11" t="n">
        <v>6951005413</v>
      </c>
      <c r="CR121" s="11" t="n">
        <v>-2671656836</v>
      </c>
      <c r="CS121" s="11" t="n">
        <v>1612158609</v>
      </c>
      <c r="CT121" s="11" t="n">
        <v>4519408945</v>
      </c>
      <c r="CU121" s="11" t="n">
        <v>2663357670</v>
      </c>
      <c r="CV121" s="11" t="n">
        <v>3690142974</v>
      </c>
      <c r="CW121" s="11" t="n">
        <v>2278625994</v>
      </c>
      <c r="CX121" s="11" t="n">
        <v>14095562</v>
      </c>
      <c r="CY121" s="11" t="n">
        <v>-382208</v>
      </c>
      <c r="CZ121" s="11" t="n">
        <v>73022969</v>
      </c>
      <c r="DA121" s="11" t="n">
        <v>611112249</v>
      </c>
      <c r="DB121" s="11" t="n">
        <v>-12214476</v>
      </c>
      <c r="DC121" s="11" t="n">
        <v>8532229</v>
      </c>
      <c r="DD121" s="11" t="n">
        <v>32349625</v>
      </c>
      <c r="DE121" s="11" t="n">
        <v>63046526</v>
      </c>
      <c r="DF121" s="11" t="n">
        <v>528680702</v>
      </c>
      <c r="DG121" s="11" t="n">
        <v>-202324958</v>
      </c>
      <c r="DH121" s="11" t="n">
        <v>-51895508</v>
      </c>
      <c r="DI121" s="11" t="n">
        <v>-397356575</v>
      </c>
      <c r="DJ121" s="11" t="n">
        <v>-4225138471</v>
      </c>
      <c r="DK121" s="11" t="n">
        <v>279622546</v>
      </c>
      <c r="DL121" s="11" t="n">
        <v>2364493330</v>
      </c>
      <c r="DM121" s="11" t="n">
        <v>-4661232052</v>
      </c>
      <c r="DN121" s="11" t="n">
        <v>375741436</v>
      </c>
      <c r="DO121" s="11" t="n">
        <v>3780385108</v>
      </c>
      <c r="DP121" s="11" t="n">
        <v>-1645589782</v>
      </c>
      <c r="DQ121" s="11" t="n">
        <v>-3249660636</v>
      </c>
      <c r="DR121" s="11" t="n">
        <v>2371570</v>
      </c>
      <c r="DS121" s="11" t="n">
        <v>24195</v>
      </c>
      <c r="DT121" s="11" t="n">
        <v>-2894315</v>
      </c>
      <c r="DU121" s="11" t="n">
        <v>-62635</v>
      </c>
      <c r="DV121" s="11" t="n">
        <v>-1916280</v>
      </c>
      <c r="DW121" s="11" t="n">
        <v>231875</v>
      </c>
      <c r="DX121" s="11" t="n">
        <v>-145485</v>
      </c>
      <c r="DY121" s="11" t="n">
        <v>-1734596</v>
      </c>
      <c r="DZ121" s="11" t="n">
        <v>149452650</v>
      </c>
      <c r="EA121" s="11" t="n">
        <v>8732026</v>
      </c>
      <c r="EB121" s="11" t="n">
        <v>12822964</v>
      </c>
      <c r="EC121" s="11" t="n">
        <v>96550464</v>
      </c>
      <c r="ED121" s="11" t="n">
        <v>-19611884</v>
      </c>
      <c r="EE121" s="11" t="n">
        <v>-592207</v>
      </c>
      <c r="EF121" s="11" t="n">
        <v>43273</v>
      </c>
      <c r="EG121" s="11" t="n">
        <v>-1270770</v>
      </c>
      <c r="EH121" s="11" t="n">
        <v>1154614</v>
      </c>
      <c r="EI121" s="11" t="n">
        <v>-306492</v>
      </c>
      <c r="EJ121" s="11" t="n">
        <v>-6709592</v>
      </c>
      <c r="EK121" s="11" t="n">
        <v>105111562</v>
      </c>
      <c r="EL121" s="11" t="n">
        <v>-132444663</v>
      </c>
      <c r="EM121" s="11" t="n">
        <v>33103003</v>
      </c>
      <c r="EN121" s="11" t="n">
        <v>6717002</v>
      </c>
      <c r="EO121" s="11" t="n">
        <v>-3403727</v>
      </c>
      <c r="EP121" s="11" t="n">
        <v>1053635</v>
      </c>
      <c r="EQ121" s="11" t="n">
        <v>-79268606</v>
      </c>
      <c r="ER121" s="11" t="n">
        <v>16633458</v>
      </c>
      <c r="ES121" s="11" t="n">
        <v>4005422</v>
      </c>
      <c r="ET121" s="11" t="n">
        <v>26496</v>
      </c>
      <c r="EU121" s="11" t="n">
        <v>-6082500</v>
      </c>
      <c r="EV121" s="11" t="n">
        <v>-276196</v>
      </c>
      <c r="EW121" s="11" t="n">
        <v>-3033624</v>
      </c>
      <c r="EX121" s="11" t="n">
        <v>-255674</v>
      </c>
      <c r="EY121" s="11" t="n">
        <v>4939334</v>
      </c>
      <c r="EZ121" s="11" t="n">
        <v>-29718</v>
      </c>
      <c r="FA121" s="11" t="n">
        <v>-2118</v>
      </c>
      <c r="FB121" s="11" t="n">
        <v>-9540</v>
      </c>
      <c r="FC121" s="11" t="n">
        <v>-5199</v>
      </c>
      <c r="FD121" s="11" t="n">
        <v>52017</v>
      </c>
      <c r="FE121" s="11" t="n">
        <v>176432</v>
      </c>
      <c r="FF121" s="11" t="n">
        <v>-1212492</v>
      </c>
      <c r="FG121" s="11" t="n">
        <v>906733</v>
      </c>
      <c r="FH121" s="11" t="n">
        <v>-6401203</v>
      </c>
      <c r="FI121" s="11" t="n">
        <v>-143052</v>
      </c>
      <c r="FJ121" s="11" t="n">
        <v>33757</v>
      </c>
      <c r="FK121" s="11" t="n">
        <v>-147395</v>
      </c>
      <c r="FL121" s="11" t="n">
        <v>503196</v>
      </c>
      <c r="FM121" s="11" t="n">
        <v>-4177188</v>
      </c>
      <c r="FN121" s="11" t="n">
        <v>467248</v>
      </c>
      <c r="FO121" s="11" t="n">
        <v>2779080</v>
      </c>
      <c r="FP121" s="11" t="n">
        <v>104456</v>
      </c>
      <c r="FQ121" s="11" t="n">
        <v>2075568</v>
      </c>
      <c r="FR121" s="11" t="n">
        <v>-891692</v>
      </c>
      <c r="FS121" s="11" t="n">
        <v>-3393580</v>
      </c>
      <c r="FT121" s="11" t="n">
        <v>4990080</v>
      </c>
      <c r="FU121" s="11" t="n">
        <v>-158286480</v>
      </c>
      <c r="FV121" s="11" t="n">
        <v>231516270</v>
      </c>
      <c r="FW121" s="11" t="n">
        <v>260969430</v>
      </c>
      <c r="FX121" s="11" t="n">
        <v>-9676304</v>
      </c>
      <c r="FY121" s="11" t="n">
        <v>10303006</v>
      </c>
      <c r="FZ121" s="11" t="n">
        <v>15902406</v>
      </c>
      <c r="GA121" s="11" t="n">
        <v>122121340</v>
      </c>
      <c r="GB121" s="11" t="n">
        <v>1619948</v>
      </c>
      <c r="GC121" s="11" t="n">
        <v>198973988</v>
      </c>
      <c r="GD121" s="11" t="n">
        <v>104992</v>
      </c>
      <c r="GE121" s="11" t="n">
        <v>-1327344</v>
      </c>
      <c r="GF121" s="11" t="n">
        <v>1545431</v>
      </c>
      <c r="GG121" s="11" t="n">
        <v>-1649645</v>
      </c>
      <c r="GH121" s="11" t="n">
        <v>-128304</v>
      </c>
      <c r="GI121" s="11" t="n">
        <v>91775</v>
      </c>
      <c r="GJ121" s="11" t="n">
        <v>66203</v>
      </c>
      <c r="GK121" s="11" t="n">
        <v>728322</v>
      </c>
      <c r="GL121" s="11" t="n">
        <v>-2852886</v>
      </c>
      <c r="GM121" s="11" t="n">
        <v>2416454</v>
      </c>
      <c r="GN121" s="11" t="n">
        <v>3596608</v>
      </c>
      <c r="GO121" s="11" t="n">
        <v>-5971592</v>
      </c>
      <c r="GP121" s="11" t="n">
        <v>-12821352</v>
      </c>
      <c r="GQ121" s="11" t="n">
        <v>22554550</v>
      </c>
      <c r="GR121" s="11" t="n">
        <v>218602094</v>
      </c>
      <c r="GS121" s="11" t="n">
        <v>-282550306</v>
      </c>
      <c r="GT121" s="11" t="n">
        <v>4153654</v>
      </c>
      <c r="GU121" s="11" t="n">
        <v>13400302</v>
      </c>
      <c r="GV121" s="11" t="n">
        <v>-7441922</v>
      </c>
      <c r="GW121" s="11" t="n">
        <v>-168425272</v>
      </c>
      <c r="GX121" s="11" t="n">
        <v>-235139</v>
      </c>
      <c r="GY121" s="11" t="n">
        <v>-65334505</v>
      </c>
      <c r="GZ121" s="11" t="n">
        <v>-9779631</v>
      </c>
      <c r="HA121" s="11" t="n">
        <v>-10364784</v>
      </c>
      <c r="HB121" s="11" t="n">
        <v>-38604709</v>
      </c>
      <c r="HC121" s="11" t="n">
        <v>7691719</v>
      </c>
      <c r="HD121" s="11" t="n">
        <v>-953518</v>
      </c>
      <c r="HE121" s="11" t="n">
        <v>-105983</v>
      </c>
      <c r="HF121" s="11" t="n">
        <v>-295740</v>
      </c>
      <c r="HG121" s="11" t="n">
        <v>-370859</v>
      </c>
      <c r="HH121" s="11" t="n">
        <v>64047</v>
      </c>
      <c r="HI121" s="11" t="n">
        <v>10209737</v>
      </c>
      <c r="HJ121" s="11" t="n">
        <v>-40142292</v>
      </c>
      <c r="HK121" s="11" t="n">
        <v>53501953</v>
      </c>
      <c r="HL121" s="11" t="n">
        <v>-13395113</v>
      </c>
      <c r="HM121" s="11" t="n">
        <v>-7628412</v>
      </c>
      <c r="HN121" s="11" t="n">
        <v>1975762</v>
      </c>
      <c r="HO121" s="11" t="n">
        <v>-803080</v>
      </c>
      <c r="HP121" s="11" t="n">
        <v>32206836</v>
      </c>
      <c r="HQ121" s="11" t="n">
        <v>-6850908</v>
      </c>
      <c r="HR121" s="11" t="n">
        <v>-1616182</v>
      </c>
      <c r="HS121" s="11" t="n">
        <v>62604569</v>
      </c>
      <c r="HT121" s="11" t="n">
        <v>8018717</v>
      </c>
      <c r="HU121" s="11" t="n">
        <v>8852318</v>
      </c>
      <c r="HV121" s="11" t="n">
        <v>37808858</v>
      </c>
      <c r="HW121" s="11" t="n">
        <v>-7570320</v>
      </c>
      <c r="HX121" s="11" t="n">
        <v>-375738086</v>
      </c>
      <c r="HY121" s="11" t="n">
        <v>-299912054</v>
      </c>
      <c r="HZ121" s="11" t="n">
        <v>227065071</v>
      </c>
      <c r="IA121" s="11" t="n">
        <v>-55568651</v>
      </c>
      <c r="IB121" s="11" t="n">
        <v>14715270</v>
      </c>
      <c r="IC121" s="11" t="n">
        <v>256003655</v>
      </c>
      <c r="ID121" s="11" t="n">
        <v>-52552823</v>
      </c>
      <c r="IE121" s="11" t="n">
        <v>213233390</v>
      </c>
      <c r="IF121" s="11" t="n">
        <v>-44123642</v>
      </c>
      <c r="IG121" s="11" t="n">
        <v>-6102302</v>
      </c>
      <c r="IH121" s="11" t="n">
        <v>4299461</v>
      </c>
      <c r="II121" s="11" t="n">
        <v>-42842024</v>
      </c>
      <c r="IJ121" s="11" t="n">
        <v>54580307</v>
      </c>
      <c r="IK121" s="11" t="n">
        <v>-13646403</v>
      </c>
      <c r="IL121" s="11" t="n">
        <v>-6095374</v>
      </c>
      <c r="IM121" s="11" t="n">
        <v>4394349</v>
      </c>
      <c r="IN121" s="11" t="n">
        <v>-1227999</v>
      </c>
      <c r="IO121" s="11" t="n">
        <v>33591322</v>
      </c>
      <c r="IP121" s="11" t="n">
        <v>-7110186</v>
      </c>
      <c r="IQ121" s="11" t="n">
        <v>-1641486</v>
      </c>
      <c r="IR121" s="11" t="n">
        <v>277724782</v>
      </c>
      <c r="IS121" s="11" t="n">
        <v>-343172357</v>
      </c>
      <c r="IT121" s="11" t="n">
        <v>85718801</v>
      </c>
      <c r="IU121" s="11" t="n">
        <v>-106084346</v>
      </c>
      <c r="IV121" s="11" t="n">
        <v>27347002</v>
      </c>
      <c r="IW121" s="11" t="n">
        <v>-1048924</v>
      </c>
      <c r="IX121" s="11" t="n">
        <v>202663600</v>
      </c>
      <c r="IY121" s="11" t="n">
        <v>-42201196</v>
      </c>
      <c r="IZ121" s="11" t="n">
        <v>-10405254</v>
      </c>
      <c r="JA121" s="11" t="n">
        <v>-3836012</v>
      </c>
      <c r="JB121" s="11" t="n">
        <v>-1333014</v>
      </c>
      <c r="JC121" s="11" t="n">
        <v>-136646</v>
      </c>
      <c r="JD121" s="11" t="n">
        <v>-416580</v>
      </c>
      <c r="JE121" s="11" t="n">
        <v>-456655</v>
      </c>
      <c r="JF121" s="11" t="n">
        <v>575665</v>
      </c>
      <c r="JG121" s="11" t="n">
        <v>17473436</v>
      </c>
      <c r="JH121" s="11" t="n">
        <v>-56990316</v>
      </c>
      <c r="JI121" s="11" t="n">
        <v>91968109</v>
      </c>
      <c r="JJ121" s="11" t="n">
        <v>116346581</v>
      </c>
      <c r="JK121" s="11" t="n">
        <v>-11302644</v>
      </c>
      <c r="JL121" s="11" t="n">
        <v>3441631</v>
      </c>
      <c r="JM121" s="11" t="n">
        <v>19472519</v>
      </c>
      <c r="JN121" s="11" t="n">
        <v>48264300</v>
      </c>
      <c r="JO121" s="11" t="n">
        <v>11748060</v>
      </c>
      <c r="JP121" s="11" t="n">
        <v>79573860</v>
      </c>
      <c r="JQ121" s="11" t="n">
        <v>46706</v>
      </c>
      <c r="JR121" s="11" t="n">
        <v>-12720</v>
      </c>
      <c r="JS121" s="11" t="n">
        <v>250624</v>
      </c>
      <c r="JT121" s="11" t="n">
        <v>1971308</v>
      </c>
      <c r="JU121" s="11" t="n">
        <v>-15900</v>
      </c>
      <c r="JV121" s="11" t="n">
        <v>9691</v>
      </c>
      <c r="JW121" s="11" t="n">
        <v>222247</v>
      </c>
      <c r="JX121" s="11" t="n">
        <v>82680</v>
      </c>
      <c r="JY121" s="11" t="n">
        <v>610560</v>
      </c>
      <c r="JZ121" s="11" t="n">
        <v>783550</v>
      </c>
      <c r="KA121" s="11" t="n">
        <v>-1830084</v>
      </c>
      <c r="KB121" s="11" t="n">
        <v>-62865</v>
      </c>
      <c r="KC121" s="11" t="n">
        <v>-21763793</v>
      </c>
      <c r="KD121" s="11" t="n">
        <v>9837336</v>
      </c>
      <c r="KE121" s="11" t="n">
        <v>83169072</v>
      </c>
      <c r="KF121" s="11" t="n">
        <v>-114131002</v>
      </c>
      <c r="KG121" s="11" t="n">
        <v>401124</v>
      </c>
      <c r="KH121" s="11" t="n">
        <v>16117308</v>
      </c>
      <c r="KI121" s="11" t="n">
        <v>-4216618</v>
      </c>
      <c r="KJ121" s="11" t="n">
        <v>-68406840</v>
      </c>
      <c r="KK121" s="11" t="n">
        <v>-9077176</v>
      </c>
      <c r="KL121" s="11" t="n">
        <v>60728112</v>
      </c>
      <c r="KM121" s="11" t="n">
        <v>-92758103</v>
      </c>
      <c r="KN121" s="11" t="n">
        <v>-110351395</v>
      </c>
      <c r="KO121" s="11" t="n">
        <v>9061888</v>
      </c>
      <c r="KP121" s="11" t="n">
        <v>-6398947</v>
      </c>
      <c r="KQ121" s="11" t="n">
        <v>-15232015</v>
      </c>
      <c r="KR121" s="11" t="n">
        <v>-49791650</v>
      </c>
      <c r="KS121" s="11" t="n">
        <v>-8260330</v>
      </c>
      <c r="KT121" s="11" t="n">
        <v>-77861230</v>
      </c>
      <c r="KU121" s="11" t="n">
        <v>-407960944</v>
      </c>
      <c r="KV121" s="11" t="n">
        <v>589635266</v>
      </c>
      <c r="KW121" s="11" t="n">
        <v>654246426</v>
      </c>
      <c r="KX121" s="11" t="n">
        <v>224105690</v>
      </c>
      <c r="KY121" s="11" t="n">
        <v>582550018</v>
      </c>
      <c r="KZ121" s="11" t="n">
        <v>-482574842</v>
      </c>
      <c r="LA121" s="11" t="n">
        <v>-301050490</v>
      </c>
      <c r="LB121" s="11" t="n">
        <v>31437022</v>
      </c>
      <c r="LC121" s="11" t="n">
        <v>-528230918</v>
      </c>
      <c r="LD121" s="11" t="n">
        <v>-447156000</v>
      </c>
      <c r="LE121" s="11" t="n">
        <v>-2041168</v>
      </c>
      <c r="LF121" s="11" t="n">
        <v>1543421</v>
      </c>
      <c r="LG121" s="11" t="n">
        <v>-9557167</v>
      </c>
      <c r="LH121" s="11" t="n">
        <v>10532552</v>
      </c>
      <c r="LI121" s="11" t="n">
        <v>88753864</v>
      </c>
      <c r="LJ121" s="11" t="n">
        <v>-116426446</v>
      </c>
      <c r="LK121" s="11" t="n">
        <v>-101902</v>
      </c>
      <c r="LL121" s="11" t="n">
        <v>12966266</v>
      </c>
      <c r="LM121" s="11" t="n">
        <v>-9327264</v>
      </c>
      <c r="LN121" s="11" t="n">
        <v>-71337620</v>
      </c>
      <c r="LO121" s="11" t="n">
        <v>-63223314</v>
      </c>
      <c r="LP121" s="11" t="n">
        <v>-576652666</v>
      </c>
      <c r="LQ121" s="11" t="n">
        <v>732058118</v>
      </c>
      <c r="LR121" s="11" t="n">
        <v>226493252</v>
      </c>
      <c r="LS121" s="11" t="n">
        <v>-430406692</v>
      </c>
    </row>
    <row r="122" customFormat="false" ht="15" hidden="false" customHeight="true" outlineLevel="0" collapsed="false">
      <c r="A122" s="7" t="s">
        <v>188</v>
      </c>
      <c r="B122" s="11" t="n">
        <v>-5457143</v>
      </c>
      <c r="C122" s="11" t="n">
        <v>168171757</v>
      </c>
      <c r="D122" s="11" t="n">
        <v>2578546</v>
      </c>
      <c r="E122" s="11" t="n">
        <v>-293093705</v>
      </c>
      <c r="F122" s="11" t="n">
        <v>5219881</v>
      </c>
      <c r="G122" s="11" t="n">
        <v>-870013568</v>
      </c>
      <c r="H122" s="11" t="n">
        <v>327157209</v>
      </c>
      <c r="I122" s="11" t="n">
        <v>-203654667</v>
      </c>
      <c r="J122" s="11" t="n">
        <v>-10597256</v>
      </c>
      <c r="K122" s="11" t="n">
        <v>-95178</v>
      </c>
      <c r="L122" s="11" t="n">
        <v>3209068</v>
      </c>
      <c r="M122" s="11" t="n">
        <v>-252444</v>
      </c>
      <c r="N122" s="11" t="n">
        <v>9138372</v>
      </c>
      <c r="O122" s="11" t="n">
        <v>-2500601</v>
      </c>
      <c r="P122" s="11" t="n">
        <v>13482367</v>
      </c>
      <c r="Q122" s="11" t="n">
        <v>-2074210</v>
      </c>
      <c r="R122" s="11" t="n">
        <v>470267028</v>
      </c>
      <c r="S122" s="11" t="n">
        <v>-2356996</v>
      </c>
      <c r="T122" s="11" t="n">
        <v>1407868628</v>
      </c>
      <c r="U122" s="11" t="n">
        <v>-558247829</v>
      </c>
      <c r="V122" s="11" t="n">
        <v>-20005469</v>
      </c>
      <c r="W122" s="11" t="n">
        <v>3595534</v>
      </c>
      <c r="X122" s="11" t="n">
        <v>28242</v>
      </c>
      <c r="Y122" s="11" t="n">
        <v>10855944</v>
      </c>
      <c r="Z122" s="11" t="n">
        <v>-4524392</v>
      </c>
      <c r="AA122" s="11" t="n">
        <v>-2818592</v>
      </c>
      <c r="AB122" s="11" t="n">
        <v>-10488784</v>
      </c>
      <c r="AC122" s="11" t="n">
        <v>-20804548</v>
      </c>
      <c r="AD122" s="11" t="n">
        <v>58081549</v>
      </c>
      <c r="AE122" s="11" t="n">
        <v>604355653</v>
      </c>
      <c r="AF122" s="11" t="n">
        <v>31505220</v>
      </c>
      <c r="AG122" s="11" t="n">
        <v>-12742205</v>
      </c>
      <c r="AH122" s="11" t="n">
        <v>-3475253</v>
      </c>
      <c r="AI122" s="11" t="n">
        <v>149185660</v>
      </c>
      <c r="AJ122" s="11" t="n">
        <v>1808413324</v>
      </c>
      <c r="AK122" s="11" t="n">
        <v>-714951852</v>
      </c>
      <c r="AL122" s="11" t="n">
        <v>-81221118</v>
      </c>
      <c r="AM122" s="11" t="n">
        <v>-3037481</v>
      </c>
      <c r="AN122" s="11" t="n">
        <v>97123015</v>
      </c>
      <c r="AO122" s="11" t="n">
        <v>-16774500</v>
      </c>
      <c r="AP122" s="11" t="n">
        <v>304140734</v>
      </c>
      <c r="AQ122" s="11" t="n">
        <v>-127194907</v>
      </c>
      <c r="AR122" s="11" t="n">
        <v>73602309</v>
      </c>
      <c r="AS122" s="11" t="n">
        <v>55227823</v>
      </c>
      <c r="AT122" s="11" t="n">
        <v>1369223845</v>
      </c>
      <c r="AU122" s="11" t="n">
        <v>439246794</v>
      </c>
      <c r="AV122" s="11" t="n">
        <v>3576155702</v>
      </c>
      <c r="AW122" s="11" t="n">
        <v>-949486441</v>
      </c>
      <c r="AX122" s="11" t="n">
        <v>762895551</v>
      </c>
      <c r="AY122" s="11" t="n">
        <v>117246405</v>
      </c>
      <c r="AZ122" s="11" t="n">
        <v>5020673</v>
      </c>
      <c r="BA122" s="11" t="n">
        <v>340546108</v>
      </c>
      <c r="BB122" s="11" t="n">
        <v>-121997149</v>
      </c>
      <c r="BC122" s="11" t="n">
        <v>78577791</v>
      </c>
      <c r="BD122" s="11" t="n">
        <v>-808028995</v>
      </c>
      <c r="BE122" s="11" t="n">
        <v>850883650</v>
      </c>
      <c r="BF122" s="11" t="n">
        <v>-1008867100</v>
      </c>
      <c r="BG122" s="11" t="n">
        <v>328526880</v>
      </c>
      <c r="BH122" s="11" t="n">
        <v>2383383422</v>
      </c>
      <c r="BI122" s="11" t="n">
        <v>-883971031</v>
      </c>
      <c r="BJ122" s="11" t="n">
        <v>555603897</v>
      </c>
      <c r="BK122" s="11" t="n">
        <v>-2044927390</v>
      </c>
      <c r="BL122" s="11" t="n">
        <v>383960538</v>
      </c>
      <c r="BM122" s="11" t="n">
        <v>334297716</v>
      </c>
      <c r="BN122" s="11" t="n">
        <v>-4481924</v>
      </c>
      <c r="BO122" s="11" t="n">
        <v>140841712</v>
      </c>
      <c r="BP122" s="11" t="n">
        <v>-28817256</v>
      </c>
      <c r="BQ122" s="11" t="n">
        <v>454602056</v>
      </c>
      <c r="BR122" s="11" t="n">
        <v>-209782918</v>
      </c>
      <c r="BS122" s="11" t="n">
        <v>-57735414</v>
      </c>
      <c r="BT122" s="11" t="n">
        <v>-92266</v>
      </c>
      <c r="BU122" s="11" t="n">
        <v>-152052</v>
      </c>
      <c r="BV122" s="11" t="n">
        <v>218040</v>
      </c>
      <c r="BW122" s="11" t="n">
        <v>-826555</v>
      </c>
      <c r="BX122" s="11" t="n">
        <v>-6220675</v>
      </c>
      <c r="BY122" s="11" t="n">
        <v>5371380</v>
      </c>
      <c r="BZ122" s="11" t="n">
        <v>-16210324</v>
      </c>
      <c r="CA122" s="11" t="n">
        <v>30292627</v>
      </c>
      <c r="CB122" s="11" t="n">
        <v>196669451</v>
      </c>
      <c r="CC122" s="11" t="n">
        <v>-14020728</v>
      </c>
      <c r="CD122" s="11" t="n">
        <v>1802544</v>
      </c>
      <c r="CE122" s="11" t="n">
        <v>-38038128</v>
      </c>
      <c r="CF122" s="11" t="n">
        <v>73631890</v>
      </c>
      <c r="CG122" s="11" t="n">
        <v>628155010</v>
      </c>
      <c r="CH122" s="11" t="n">
        <v>-280520120</v>
      </c>
      <c r="CI122" s="11" t="n">
        <v>-171324142</v>
      </c>
      <c r="CJ122" s="11" t="n">
        <v>-4643576</v>
      </c>
      <c r="CK122" s="11" t="n">
        <v>-506453752</v>
      </c>
      <c r="CL122" s="11" t="n">
        <v>195040161</v>
      </c>
      <c r="CM122" s="11" t="n">
        <v>-2839639</v>
      </c>
      <c r="CN122" s="11" t="n">
        <v>1247477836</v>
      </c>
      <c r="CO122" s="11" t="n">
        <v>-1462428572</v>
      </c>
      <c r="CP122" s="11" t="n">
        <v>1890056201</v>
      </c>
      <c r="CQ122" s="11" t="n">
        <v>2296203569</v>
      </c>
      <c r="CR122" s="11" t="n">
        <v>-3727324832</v>
      </c>
      <c r="CS122" s="11" t="n">
        <v>1471391566</v>
      </c>
      <c r="CT122" s="11" t="n">
        <v>41559870</v>
      </c>
      <c r="CU122" s="11" t="n">
        <v>3922352930</v>
      </c>
      <c r="CV122" s="11" t="n">
        <v>6812079538</v>
      </c>
      <c r="CW122" s="11" t="n">
        <v>-2645388944</v>
      </c>
      <c r="CX122" s="11" t="n">
        <v>5716682</v>
      </c>
      <c r="CY122" s="11" t="n">
        <v>-18760688</v>
      </c>
      <c r="CZ122" s="11" t="n">
        <v>35610689</v>
      </c>
      <c r="DA122" s="11" t="n">
        <v>237730449</v>
      </c>
      <c r="DB122" s="11" t="n">
        <v>-17407656</v>
      </c>
      <c r="DC122" s="11" t="n">
        <v>7473223</v>
      </c>
      <c r="DD122" s="11" t="n">
        <v>6348703</v>
      </c>
      <c r="DE122" s="11" t="n">
        <v>83911580</v>
      </c>
      <c r="DF122" s="11" t="n">
        <v>703069340</v>
      </c>
      <c r="DG122" s="11" t="n">
        <v>-271229180</v>
      </c>
      <c r="DH122" s="11" t="n">
        <v>87806092</v>
      </c>
      <c r="DI122" s="11" t="n">
        <v>-196228591</v>
      </c>
      <c r="DJ122" s="11" t="n">
        <v>-1654389143</v>
      </c>
      <c r="DK122" s="11" t="n">
        <v>97005210</v>
      </c>
      <c r="DL122" s="11" t="n">
        <v>1777831418</v>
      </c>
      <c r="DM122" s="11" t="n">
        <v>-2145374924</v>
      </c>
      <c r="DN122" s="11" t="n">
        <v>482742490</v>
      </c>
      <c r="DO122" s="11" t="n">
        <v>4940205226</v>
      </c>
      <c r="DP122" s="11" t="n">
        <v>-1944803288</v>
      </c>
      <c r="DQ122" s="11" t="n">
        <v>-4316433080</v>
      </c>
      <c r="DR122" s="11" t="n">
        <v>-1173727</v>
      </c>
      <c r="DS122" s="11" t="n">
        <v>11343</v>
      </c>
      <c r="DT122" s="11" t="n">
        <v>-641491</v>
      </c>
      <c r="DU122" s="11" t="n">
        <v>-19109</v>
      </c>
      <c r="DV122" s="11" t="n">
        <v>-2719722</v>
      </c>
      <c r="DW122" s="11" t="n">
        <v>310570</v>
      </c>
      <c r="DX122" s="11" t="n">
        <v>-639924</v>
      </c>
      <c r="DY122" s="11" t="n">
        <v>-904151</v>
      </c>
      <c r="DZ122" s="11" t="n">
        <v>82807554</v>
      </c>
      <c r="EA122" s="11" t="n">
        <v>-533818</v>
      </c>
      <c r="EB122" s="11" t="n">
        <v>270936430</v>
      </c>
      <c r="EC122" s="11" t="n">
        <v>-79936031</v>
      </c>
      <c r="ED122" s="11" t="n">
        <v>63522639</v>
      </c>
      <c r="EE122" s="11" t="n">
        <v>-306103</v>
      </c>
      <c r="EF122" s="11" t="n">
        <v>19879</v>
      </c>
      <c r="EG122" s="11" t="n">
        <v>-523284</v>
      </c>
      <c r="EH122" s="11" t="n">
        <v>533269</v>
      </c>
      <c r="EI122" s="11" t="n">
        <v>-120939</v>
      </c>
      <c r="EJ122" s="11" t="n">
        <v>-1639912</v>
      </c>
      <c r="EK122" s="11" t="n">
        <v>-43800854</v>
      </c>
      <c r="EL122" s="11" t="n">
        <v>-21777383</v>
      </c>
      <c r="EM122" s="11" t="n">
        <v>-10429461</v>
      </c>
      <c r="EN122" s="11" t="n">
        <v>5647958</v>
      </c>
      <c r="EO122" s="11" t="n">
        <v>-1442657</v>
      </c>
      <c r="EP122" s="11" t="n">
        <v>1325229</v>
      </c>
      <c r="EQ122" s="11" t="n">
        <v>-113534966</v>
      </c>
      <c r="ER122" s="11" t="n">
        <v>-523806</v>
      </c>
      <c r="ES122" s="11" t="n">
        <v>26773482</v>
      </c>
      <c r="ET122" s="11" t="n">
        <v>42498</v>
      </c>
      <c r="EU122" s="11" t="n">
        <v>-1935924</v>
      </c>
      <c r="EV122" s="11" t="n">
        <v>17188</v>
      </c>
      <c r="EW122" s="11" t="n">
        <v>-7246932</v>
      </c>
      <c r="EX122" s="11" t="n">
        <v>1140929</v>
      </c>
      <c r="EY122" s="11" t="n">
        <v>-4142471</v>
      </c>
      <c r="EZ122" s="11" t="n">
        <v>-4518</v>
      </c>
      <c r="FA122" s="11" t="n">
        <v>-858</v>
      </c>
      <c r="FB122" s="11" t="n">
        <v>-28440</v>
      </c>
      <c r="FC122" s="11" t="n">
        <v>219</v>
      </c>
      <c r="FD122" s="11" t="n">
        <v>16863</v>
      </c>
      <c r="FE122" s="11" t="n">
        <v>40912</v>
      </c>
      <c r="FF122" s="11" t="n">
        <v>525108</v>
      </c>
      <c r="FG122" s="11" t="n">
        <v>111317</v>
      </c>
      <c r="FH122" s="11" t="n">
        <v>-1208555</v>
      </c>
      <c r="FI122" s="11" t="n">
        <v>-157812</v>
      </c>
      <c r="FJ122" s="11" t="n">
        <v>23123</v>
      </c>
      <c r="FK122" s="11" t="n">
        <v>-76813</v>
      </c>
      <c r="FL122" s="11" t="n">
        <v>726174</v>
      </c>
      <c r="FM122" s="11" t="n">
        <v>-5647722</v>
      </c>
      <c r="FN122" s="11" t="n">
        <v>474062</v>
      </c>
      <c r="FO122" s="11" t="n">
        <v>1506984</v>
      </c>
      <c r="FP122" s="11" t="n">
        <v>-6088</v>
      </c>
      <c r="FQ122" s="11" t="n">
        <v>4227504</v>
      </c>
      <c r="FR122" s="11" t="n">
        <v>-2015417</v>
      </c>
      <c r="FS122" s="11" t="n">
        <v>-891037</v>
      </c>
      <c r="FT122" s="11" t="n">
        <v>-332160</v>
      </c>
      <c r="FU122" s="11" t="n">
        <v>64400304</v>
      </c>
      <c r="FV122" s="11" t="n">
        <v>51351414</v>
      </c>
      <c r="FW122" s="11" t="n">
        <v>187482174</v>
      </c>
      <c r="FX122" s="11" t="n">
        <v>671632</v>
      </c>
      <c r="FY122" s="11" t="n">
        <v>-651678</v>
      </c>
      <c r="FZ122" s="11" t="n">
        <v>-953798</v>
      </c>
      <c r="GA122" s="11" t="n">
        <v>230182786</v>
      </c>
      <c r="GB122" s="11" t="n">
        <v>564017066</v>
      </c>
      <c r="GC122" s="11" t="n">
        <v>-220373110</v>
      </c>
      <c r="GD122" s="11" t="n">
        <v>31072</v>
      </c>
      <c r="GE122" s="11" t="n">
        <v>559056</v>
      </c>
      <c r="GF122" s="11" t="n">
        <v>206495</v>
      </c>
      <c r="GG122" s="11" t="n">
        <v>-503237</v>
      </c>
      <c r="GH122" s="11" t="n">
        <v>-89424</v>
      </c>
      <c r="GI122" s="11" t="n">
        <v>40721</v>
      </c>
      <c r="GJ122" s="11" t="n">
        <v>20405</v>
      </c>
      <c r="GK122" s="11" t="n">
        <v>1326948</v>
      </c>
      <c r="GL122" s="11" t="n">
        <v>-1081164</v>
      </c>
      <c r="GM122" s="11" t="n">
        <v>795116</v>
      </c>
      <c r="GN122" s="11" t="n">
        <v>-1451072</v>
      </c>
      <c r="GO122" s="11" t="n">
        <v>-1104312</v>
      </c>
      <c r="GP122" s="11" t="n">
        <v>-3754712</v>
      </c>
      <c r="GQ122" s="11" t="n">
        <v>-10225706</v>
      </c>
      <c r="GR122" s="11" t="n">
        <v>-91057138</v>
      </c>
      <c r="GS122" s="11" t="n">
        <v>-42837922</v>
      </c>
      <c r="GT122" s="11" t="n">
        <v>5079850</v>
      </c>
      <c r="GU122" s="11" t="n">
        <v>11758834</v>
      </c>
      <c r="GV122" s="11" t="n">
        <v>-4195486</v>
      </c>
      <c r="GW122" s="11" t="n">
        <v>-235904368</v>
      </c>
      <c r="GX122" s="11" t="n">
        <v>822127</v>
      </c>
      <c r="GY122" s="11" t="n">
        <v>-30436901</v>
      </c>
      <c r="GZ122" s="11" t="n">
        <v>3323466</v>
      </c>
      <c r="HA122" s="11" t="n">
        <v>-105893698</v>
      </c>
      <c r="HB122" s="11" t="n">
        <v>31979543</v>
      </c>
      <c r="HC122" s="11" t="n">
        <v>-25354725</v>
      </c>
      <c r="HD122" s="11" t="n">
        <v>-155182</v>
      </c>
      <c r="HE122" s="11" t="n">
        <v>-45503</v>
      </c>
      <c r="HF122" s="11" t="n">
        <v>-881640</v>
      </c>
      <c r="HG122" s="11" t="n">
        <v>-91517</v>
      </c>
      <c r="HH122" s="11" t="n">
        <v>-203199</v>
      </c>
      <c r="HI122" s="11" t="n">
        <v>2311945</v>
      </c>
      <c r="HJ122" s="11" t="n">
        <v>12652052</v>
      </c>
      <c r="HK122" s="11" t="n">
        <v>9424509</v>
      </c>
      <c r="HL122" s="11" t="n">
        <v>2736987</v>
      </c>
      <c r="HM122" s="11" t="n">
        <v>-9425042</v>
      </c>
      <c r="HN122" s="11" t="n">
        <v>1400041</v>
      </c>
      <c r="HO122" s="11" t="n">
        <v>-2224767</v>
      </c>
      <c r="HP122" s="11" t="n">
        <v>46082318</v>
      </c>
      <c r="HQ122" s="11" t="n">
        <v>-1017174</v>
      </c>
      <c r="HR122" s="11" t="n">
        <v>-10726566</v>
      </c>
      <c r="HS122" s="11" t="n">
        <v>34555541</v>
      </c>
      <c r="HT122" s="11" t="n">
        <v>2186240</v>
      </c>
      <c r="HU122" s="11" t="n">
        <v>108202556</v>
      </c>
      <c r="HV122" s="11" t="n">
        <v>-31355872</v>
      </c>
      <c r="HW122" s="11" t="n">
        <v>24962514</v>
      </c>
      <c r="HX122" s="11" t="n">
        <v>-220630798</v>
      </c>
      <c r="HY122" s="11" t="n">
        <v>445020706</v>
      </c>
      <c r="HZ122" s="11" t="n">
        <v>-183298733</v>
      </c>
      <c r="IA122" s="11" t="n">
        <v>141540993</v>
      </c>
      <c r="IB122" s="11" t="n">
        <v>719008808</v>
      </c>
      <c r="IC122" s="11" t="n">
        <v>-211798336</v>
      </c>
      <c r="ID122" s="11" t="n">
        <v>168336012</v>
      </c>
      <c r="IE122" s="11" t="n">
        <v>-170142876</v>
      </c>
      <c r="IF122" s="11" t="n">
        <v>121724664</v>
      </c>
      <c r="IG122" s="11" t="n">
        <v>3977826</v>
      </c>
      <c r="IH122" s="11" t="n">
        <v>1499909</v>
      </c>
      <c r="II122" s="11" t="n">
        <v>16633024</v>
      </c>
      <c r="IJ122" s="11" t="n">
        <v>9765263</v>
      </c>
      <c r="IK122" s="11" t="n">
        <v>3828993</v>
      </c>
      <c r="IL122" s="11" t="n">
        <v>-3644284</v>
      </c>
      <c r="IM122" s="11" t="n">
        <v>1978848</v>
      </c>
      <c r="IN122" s="11" t="n">
        <v>-841266</v>
      </c>
      <c r="IO122" s="11" t="n">
        <v>45670516</v>
      </c>
      <c r="IP122" s="11" t="n">
        <v>-25908</v>
      </c>
      <c r="IQ122" s="11" t="n">
        <v>-10528758</v>
      </c>
      <c r="IR122" s="11" t="n">
        <v>-125515266</v>
      </c>
      <c r="IS122" s="11" t="n">
        <v>-54393197</v>
      </c>
      <c r="IT122" s="11" t="n">
        <v>-30591111</v>
      </c>
      <c r="IU122" s="11" t="n">
        <v>213990470</v>
      </c>
      <c r="IV122" s="11" t="n">
        <v>-18818214</v>
      </c>
      <c r="IW122" s="11" t="n">
        <v>-60309708</v>
      </c>
      <c r="IX122" s="11" t="n">
        <v>297751324</v>
      </c>
      <c r="IY122" s="11" t="n">
        <v>3927552</v>
      </c>
      <c r="IZ122" s="11" t="n">
        <v>-70867170</v>
      </c>
      <c r="JA122" s="11" t="n">
        <v>-51337236</v>
      </c>
      <c r="JB122" s="11" t="n">
        <v>-253950</v>
      </c>
      <c r="JC122" s="11" t="n">
        <v>-108296</v>
      </c>
      <c r="JD122" s="11" t="n">
        <v>-1241880</v>
      </c>
      <c r="JE122" s="11" t="n">
        <v>-358753</v>
      </c>
      <c r="JF122" s="11" t="n">
        <v>-1983521</v>
      </c>
      <c r="JG122" s="11" t="n">
        <v>5035948</v>
      </c>
      <c r="JH122" s="11" t="n">
        <v>13267140</v>
      </c>
      <c r="JI122" s="11" t="n">
        <v>23160089</v>
      </c>
      <c r="JJ122" s="11" t="n">
        <v>65602273</v>
      </c>
      <c r="JK122" s="11" t="n">
        <v>-18969344</v>
      </c>
      <c r="JL122" s="11" t="n">
        <v>2762290</v>
      </c>
      <c r="JM122" s="11" t="n">
        <v>-11358318</v>
      </c>
      <c r="JN122" s="11" t="n">
        <v>94516342</v>
      </c>
      <c r="JO122" s="11" t="n">
        <v>217186454</v>
      </c>
      <c r="JP122" s="11" t="n">
        <v>-88220164</v>
      </c>
      <c r="JQ122" s="11" t="n">
        <v>6386</v>
      </c>
      <c r="JR122" s="11" t="n">
        <v>-37920</v>
      </c>
      <c r="JS122" s="11" t="n">
        <v>39448</v>
      </c>
      <c r="JT122" s="11" t="n">
        <v>311636</v>
      </c>
      <c r="JU122" s="11" t="n">
        <v>-47400</v>
      </c>
      <c r="JV122" s="11" t="n">
        <v>7801</v>
      </c>
      <c r="JW122" s="11" t="n">
        <v>83017</v>
      </c>
      <c r="JX122" s="11" t="n">
        <v>246480</v>
      </c>
      <c r="JY122" s="11" t="n">
        <v>1820160</v>
      </c>
      <c r="JZ122" s="11" t="n">
        <v>132130</v>
      </c>
      <c r="KA122" s="11" t="n">
        <v>1085596</v>
      </c>
      <c r="KB122" s="11" t="n">
        <v>-199873</v>
      </c>
      <c r="KC122" s="11" t="n">
        <v>-4530209</v>
      </c>
      <c r="KD122" s="11" t="n">
        <v>-5519168</v>
      </c>
      <c r="KE122" s="11" t="n">
        <v>-26076616</v>
      </c>
      <c r="KF122" s="11" t="n">
        <v>-18230514</v>
      </c>
      <c r="KG122" s="11" t="n">
        <v>157414</v>
      </c>
      <c r="KH122" s="11" t="n">
        <v>19512838</v>
      </c>
      <c r="KI122" s="11" t="n">
        <v>-2935688</v>
      </c>
      <c r="KJ122" s="11" t="n">
        <v>-95422060</v>
      </c>
      <c r="KK122" s="11" t="n">
        <v>-3876568</v>
      </c>
      <c r="KL122" s="11" t="n">
        <v>-18775440</v>
      </c>
      <c r="KM122" s="11" t="n">
        <v>-24764699</v>
      </c>
      <c r="KN122" s="11" t="n">
        <v>-75660343</v>
      </c>
      <c r="KO122" s="11" t="n">
        <v>10950688</v>
      </c>
      <c r="KP122" s="11" t="n">
        <v>-5084416</v>
      </c>
      <c r="KQ122" s="11" t="n">
        <v>-1986448</v>
      </c>
      <c r="KR122" s="11" t="n">
        <v>-94581764</v>
      </c>
      <c r="KS122" s="11" t="n">
        <v>-223349428</v>
      </c>
      <c r="KT122" s="11" t="n">
        <v>86544302</v>
      </c>
      <c r="KU122" s="11" t="n">
        <v>169801808</v>
      </c>
      <c r="KV122" s="11" t="n">
        <v>137554938</v>
      </c>
      <c r="KW122" s="11" t="n">
        <v>498956018</v>
      </c>
      <c r="KX122" s="11" t="n">
        <v>-418523854</v>
      </c>
      <c r="KY122" s="11" t="n">
        <v>-897480518</v>
      </c>
      <c r="KZ122" s="11" t="n">
        <v>502775086</v>
      </c>
      <c r="LA122" s="11" t="n">
        <v>-611278904</v>
      </c>
      <c r="LB122" s="11" t="n">
        <v>-1496481976</v>
      </c>
      <c r="LC122" s="11" t="n">
        <v>583932548</v>
      </c>
      <c r="LD122" s="11" t="n">
        <v>457607004</v>
      </c>
      <c r="LE122" s="11" t="n">
        <v>1050992</v>
      </c>
      <c r="LF122" s="11" t="n">
        <v>20573</v>
      </c>
      <c r="LG122" s="11" t="n">
        <v>-2854543</v>
      </c>
      <c r="LH122" s="11" t="n">
        <v>-6614416</v>
      </c>
      <c r="LI122" s="11" t="n">
        <v>-34338032</v>
      </c>
      <c r="LJ122" s="11" t="n">
        <v>-18637222</v>
      </c>
      <c r="LK122" s="11" t="n">
        <v>-1436572</v>
      </c>
      <c r="LL122" s="11" t="n">
        <v>7525076</v>
      </c>
      <c r="LM122" s="11" t="n">
        <v>-3754494</v>
      </c>
      <c r="LN122" s="11" t="n">
        <v>-94294760</v>
      </c>
      <c r="LO122" s="11" t="n">
        <v>36391934</v>
      </c>
      <c r="LP122" s="11" t="n">
        <v>260308950</v>
      </c>
      <c r="LQ122" s="11" t="n">
        <v>103937686</v>
      </c>
      <c r="LR122" s="11" t="n">
        <v>-449255836</v>
      </c>
      <c r="LS122" s="11" t="n">
        <v>-616374452</v>
      </c>
    </row>
    <row r="123" customFormat="false" ht="15" hidden="false" customHeight="true" outlineLevel="0" collapsed="false">
      <c r="A123" s="7" t="s">
        <v>189</v>
      </c>
      <c r="B123" s="11" t="n">
        <v>344240</v>
      </c>
      <c r="C123" s="11" t="n">
        <v>200649870</v>
      </c>
      <c r="D123" s="11" t="n">
        <v>517990</v>
      </c>
      <c r="E123" s="11" t="n">
        <v>-75810570</v>
      </c>
      <c r="F123" s="11" t="n">
        <v>-4625960</v>
      </c>
      <c r="G123" s="11" t="n">
        <v>97926400</v>
      </c>
      <c r="H123" s="11" t="n">
        <v>-19412310</v>
      </c>
      <c r="I123" s="11" t="n">
        <v>33172960</v>
      </c>
      <c r="J123" s="11" t="n">
        <v>456683</v>
      </c>
      <c r="K123" s="11" t="n">
        <v>-2529</v>
      </c>
      <c r="L123" s="11" t="n">
        <v>1733839</v>
      </c>
      <c r="M123" s="11" t="n">
        <v>-29532</v>
      </c>
      <c r="N123" s="11" t="n">
        <v>-28704</v>
      </c>
      <c r="O123" s="11" t="n">
        <v>277153</v>
      </c>
      <c r="P123" s="11" t="n">
        <v>-1045832</v>
      </c>
      <c r="Q123" s="11" t="n">
        <v>-2161285</v>
      </c>
      <c r="R123" s="11" t="n">
        <v>1111189776</v>
      </c>
      <c r="S123" s="11" t="n">
        <v>-11076559</v>
      </c>
      <c r="T123" s="11" t="n">
        <v>-146644132</v>
      </c>
      <c r="U123" s="11" t="n">
        <v>187299516</v>
      </c>
      <c r="V123" s="11" t="n">
        <v>-653600923</v>
      </c>
      <c r="W123" s="11" t="n">
        <v>2052017</v>
      </c>
      <c r="X123" s="11" t="n">
        <v>-78423</v>
      </c>
      <c r="Y123" s="11" t="n">
        <v>676236</v>
      </c>
      <c r="Z123" s="11" t="n">
        <v>274427</v>
      </c>
      <c r="AA123" s="11" t="n">
        <v>-1329991</v>
      </c>
      <c r="AB123" s="11" t="n">
        <v>29803357</v>
      </c>
      <c r="AC123" s="11" t="n">
        <v>-486906068</v>
      </c>
      <c r="AD123" s="11" t="n">
        <v>36738012</v>
      </c>
      <c r="AE123" s="11" t="n">
        <v>63236545</v>
      </c>
      <c r="AF123" s="11" t="n">
        <v>8786736</v>
      </c>
      <c r="AG123" s="11" t="n">
        <v>-5389795</v>
      </c>
      <c r="AH123" s="11" t="n">
        <v>16899956</v>
      </c>
      <c r="AI123" s="11" t="n">
        <v>77223404</v>
      </c>
      <c r="AJ123" s="11" t="n">
        <v>-294743104</v>
      </c>
      <c r="AK123" s="11" t="n">
        <v>32268271</v>
      </c>
      <c r="AL123" s="11" t="n">
        <v>-68537515</v>
      </c>
      <c r="AM123" s="11" t="n">
        <v>-50655</v>
      </c>
      <c r="AN123" s="11" t="n">
        <v>27911185</v>
      </c>
      <c r="AO123" s="11" t="n">
        <v>2525020</v>
      </c>
      <c r="AP123" s="11" t="n">
        <v>-33822880</v>
      </c>
      <c r="AQ123" s="11" t="n">
        <v>7672255</v>
      </c>
      <c r="AR123" s="11" t="n">
        <v>-11840200</v>
      </c>
      <c r="AS123" s="11" t="n">
        <v>73605125</v>
      </c>
      <c r="AT123" s="11" t="n">
        <v>1175074260</v>
      </c>
      <c r="AU123" s="11" t="n">
        <v>550758575</v>
      </c>
      <c r="AV123" s="11" t="n">
        <v>-217651540</v>
      </c>
      <c r="AW123" s="11" t="n">
        <v>607034280</v>
      </c>
      <c r="AX123" s="11" t="n">
        <v>-296718415</v>
      </c>
      <c r="AY123" s="11" t="n">
        <v>30843395</v>
      </c>
      <c r="AZ123" s="11" t="n">
        <v>3118775</v>
      </c>
      <c r="BA123" s="11" t="n">
        <v>-36484580</v>
      </c>
      <c r="BB123" s="11" t="n">
        <v>8688185</v>
      </c>
      <c r="BC123" s="11" t="n">
        <v>-12934955</v>
      </c>
      <c r="BD123" s="11" t="n">
        <v>-180999245</v>
      </c>
      <c r="BE123" s="11" t="n">
        <v>-491256260</v>
      </c>
      <c r="BF123" s="11" t="n">
        <v>-115667700</v>
      </c>
      <c r="BG123" s="11" t="n">
        <v>-82164515</v>
      </c>
      <c r="BH123" s="11" t="n">
        <v>-263777680</v>
      </c>
      <c r="BI123" s="11" t="n">
        <v>39289235</v>
      </c>
      <c r="BJ123" s="11" t="n">
        <v>-84214780</v>
      </c>
      <c r="BK123" s="11" t="n">
        <v>275203580</v>
      </c>
      <c r="BL123" s="11" t="n">
        <v>-108828480</v>
      </c>
      <c r="BM123" s="11" t="n">
        <v>-71652845</v>
      </c>
      <c r="BN123" s="11" t="n">
        <v>-570720</v>
      </c>
      <c r="BO123" s="11" t="n">
        <v>382232106</v>
      </c>
      <c r="BP123" s="11" t="n">
        <v>-2529968</v>
      </c>
      <c r="BQ123" s="11" t="n">
        <v>-50585740</v>
      </c>
      <c r="BR123" s="11" t="n">
        <v>65358954</v>
      </c>
      <c r="BS123" s="11" t="n">
        <v>-223930817</v>
      </c>
      <c r="BT123" s="11" t="n">
        <v>50082</v>
      </c>
      <c r="BU123" s="11" t="n">
        <v>-22896</v>
      </c>
      <c r="BV123" s="11" t="n">
        <v>244260</v>
      </c>
      <c r="BW123" s="11" t="n">
        <v>-15582</v>
      </c>
      <c r="BX123" s="11" t="n">
        <v>-66909</v>
      </c>
      <c r="BY123" s="11" t="n">
        <v>15112280</v>
      </c>
      <c r="BZ123" s="11" t="n">
        <v>-168028892</v>
      </c>
      <c r="CA123" s="11" t="n">
        <v>16171236</v>
      </c>
      <c r="CB123" s="11" t="n">
        <v>25160963</v>
      </c>
      <c r="CC123" s="11" t="n">
        <v>3112176</v>
      </c>
      <c r="CD123" s="11" t="n">
        <v>-2691128</v>
      </c>
      <c r="CE123" s="11" t="n">
        <v>8686996</v>
      </c>
      <c r="CF123" s="11" t="n">
        <v>26591588</v>
      </c>
      <c r="CG123" s="11" t="n">
        <v>-101769664</v>
      </c>
      <c r="CH123" s="11" t="n">
        <v>13776269</v>
      </c>
      <c r="CI123" s="11" t="n">
        <v>-420279030</v>
      </c>
      <c r="CJ123" s="11" t="n">
        <v>-1869200</v>
      </c>
      <c r="CK123" s="11" t="n">
        <v>56138420</v>
      </c>
      <c r="CL123" s="11" t="n">
        <v>-75246390</v>
      </c>
      <c r="CM123" s="11" t="n">
        <v>242958895</v>
      </c>
      <c r="CN123" s="11" t="n">
        <v>3114943842</v>
      </c>
      <c r="CO123" s="11" t="n">
        <v>-346546056</v>
      </c>
      <c r="CP123" s="11" t="n">
        <v>2264837976</v>
      </c>
      <c r="CQ123" s="11" t="n">
        <v>2184497562</v>
      </c>
      <c r="CR123" s="11" t="n">
        <v>414534748</v>
      </c>
      <c r="CS123" s="11" t="n">
        <v>-547623906</v>
      </c>
      <c r="CT123" s="11" t="n">
        <v>1810431933</v>
      </c>
      <c r="CU123" s="11" t="n">
        <v>-240478536</v>
      </c>
      <c r="CV123" s="11" t="n">
        <v>-492127072</v>
      </c>
      <c r="CW123" s="11" t="n">
        <v>1700389590</v>
      </c>
      <c r="CX123" s="11" t="n">
        <v>17024674</v>
      </c>
      <c r="CY123" s="11" t="n">
        <v>-184799692</v>
      </c>
      <c r="CZ123" s="11" t="n">
        <v>18077652</v>
      </c>
      <c r="DA123" s="11" t="n">
        <v>27951679</v>
      </c>
      <c r="DB123" s="11" t="n">
        <v>1452156</v>
      </c>
      <c r="DC123" s="11" t="n">
        <v>-2967682</v>
      </c>
      <c r="DD123" s="11" t="n">
        <v>9966101</v>
      </c>
      <c r="DE123" s="11" t="n">
        <v>30671668</v>
      </c>
      <c r="DF123" s="11" t="n">
        <v>-110564384</v>
      </c>
      <c r="DG123" s="11" t="n">
        <v>15454945</v>
      </c>
      <c r="DH123" s="11" t="n">
        <v>1355625164</v>
      </c>
      <c r="DI123" s="11" t="n">
        <v>-42240372</v>
      </c>
      <c r="DJ123" s="11" t="n">
        <v>-118677231</v>
      </c>
      <c r="DK123" s="11" t="n">
        <v>-980959296</v>
      </c>
      <c r="DL123" s="11" t="n">
        <v>-937491296</v>
      </c>
      <c r="DM123" s="11" t="n">
        <v>-56665776</v>
      </c>
      <c r="DN123" s="11" t="n">
        <v>232704884</v>
      </c>
      <c r="DO123" s="11" t="n">
        <v>-803694400</v>
      </c>
      <c r="DP123" s="11" t="n">
        <v>45414561</v>
      </c>
      <c r="DQ123" s="11" t="n">
        <v>742498976</v>
      </c>
      <c r="DR123" s="11" t="n">
        <v>736526</v>
      </c>
      <c r="DS123" s="11" t="n">
        <v>1142</v>
      </c>
      <c r="DT123" s="11" t="n">
        <v>-190282</v>
      </c>
      <c r="DU123" s="11" t="n">
        <v>-14024</v>
      </c>
      <c r="DV123" s="11" t="n">
        <v>327392</v>
      </c>
      <c r="DW123" s="11" t="n">
        <v>-11494</v>
      </c>
      <c r="DX123" s="11" t="n">
        <v>97936</v>
      </c>
      <c r="DY123" s="11" t="n">
        <v>-442630</v>
      </c>
      <c r="DZ123" s="11" t="n">
        <v>51290952</v>
      </c>
      <c r="EA123" s="11" t="n">
        <v>1723292</v>
      </c>
      <c r="EB123" s="11" t="n">
        <v>-18690964</v>
      </c>
      <c r="EC123" s="11" t="n">
        <v>34834422</v>
      </c>
      <c r="ED123" s="11" t="n">
        <v>-13891186</v>
      </c>
      <c r="EE123" s="11" t="n">
        <v>-34826</v>
      </c>
      <c r="EF123" s="11" t="n">
        <v>-5756</v>
      </c>
      <c r="EG123" s="11" t="n">
        <v>167772</v>
      </c>
      <c r="EH123" s="11" t="n">
        <v>47104</v>
      </c>
      <c r="EI123" s="11" t="n">
        <v>37318</v>
      </c>
      <c r="EJ123" s="11" t="n">
        <v>531404</v>
      </c>
      <c r="EK123" s="11" t="n">
        <v>-17970436</v>
      </c>
      <c r="EL123" s="11" t="n">
        <v>-8199066</v>
      </c>
      <c r="EM123" s="11" t="n">
        <v>-3231370</v>
      </c>
      <c r="EN123" s="11" t="n">
        <v>-410128</v>
      </c>
      <c r="EO123" s="11" t="n">
        <v>-636380</v>
      </c>
      <c r="EP123" s="11" t="n">
        <v>35352</v>
      </c>
      <c r="EQ123" s="11" t="n">
        <v>15192508</v>
      </c>
      <c r="ER123" s="11" t="n">
        <v>-3689408</v>
      </c>
      <c r="ES123" s="11" t="n">
        <v>-4415158</v>
      </c>
      <c r="ET123" s="11" t="n">
        <v>6926</v>
      </c>
      <c r="EU123" s="11" t="n">
        <v>-3962108</v>
      </c>
      <c r="EV123" s="11" t="n">
        <v>44581</v>
      </c>
      <c r="EW123" s="11" t="n">
        <v>495746</v>
      </c>
      <c r="EX123" s="11" t="n">
        <v>-608237</v>
      </c>
      <c r="EY123" s="11" t="n">
        <v>2367558</v>
      </c>
      <c r="EZ123" s="11" t="n">
        <v>-4354</v>
      </c>
      <c r="FA123" s="11" t="n">
        <v>201</v>
      </c>
      <c r="FB123" s="11" t="n">
        <v>-2310</v>
      </c>
      <c r="FC123" s="11" t="n">
        <v>-835</v>
      </c>
      <c r="FD123" s="11" t="n">
        <v>2750</v>
      </c>
      <c r="FE123" s="11" t="n">
        <v>-86959</v>
      </c>
      <c r="FF123" s="11" t="n">
        <v>1633114</v>
      </c>
      <c r="FG123" s="11" t="n">
        <v>95307</v>
      </c>
      <c r="FH123" s="11" t="n">
        <v>-84818</v>
      </c>
      <c r="FI123" s="11" t="n">
        <v>-29256</v>
      </c>
      <c r="FJ123" s="11" t="n">
        <v>12277</v>
      </c>
      <c r="FK123" s="11" t="n">
        <v>-51008</v>
      </c>
      <c r="FL123" s="11" t="n">
        <v>-262630</v>
      </c>
      <c r="FM123" s="11" t="n">
        <v>986480</v>
      </c>
      <c r="FN123" s="11" t="n">
        <v>43930</v>
      </c>
      <c r="FO123" s="11" t="n">
        <v>1898788</v>
      </c>
      <c r="FP123" s="11" t="n">
        <v>-42997</v>
      </c>
      <c r="FQ123" s="11" t="n">
        <v>-122166</v>
      </c>
      <c r="FR123" s="11" t="n">
        <v>37963</v>
      </c>
      <c r="FS123" s="11" t="n">
        <v>-1292204</v>
      </c>
      <c r="FT123" s="11" t="n">
        <v>12374948</v>
      </c>
      <c r="FU123" s="11" t="n">
        <v>-66023920</v>
      </c>
      <c r="FV123" s="11" t="n">
        <v>145033152</v>
      </c>
      <c r="FW123" s="11" t="n">
        <v>90147428</v>
      </c>
      <c r="FX123" s="11" t="n">
        <v>2291266</v>
      </c>
      <c r="FY123" s="11" t="n">
        <v>-3531611</v>
      </c>
      <c r="FZ123" s="11" t="n">
        <v>6380327</v>
      </c>
      <c r="GA123" s="11" t="n">
        <v>-8011244</v>
      </c>
      <c r="GB123" s="11" t="n">
        <v>-50732006</v>
      </c>
      <c r="GC123" s="11" t="n">
        <v>100503419</v>
      </c>
      <c r="GD123" s="11" t="n">
        <v>-28075</v>
      </c>
      <c r="GE123" s="11" t="n">
        <v>710094</v>
      </c>
      <c r="GF123" s="11" t="n">
        <v>205053</v>
      </c>
      <c r="GG123" s="11" t="n">
        <v>58416</v>
      </c>
      <c r="GH123" s="11" t="n">
        <v>-17886</v>
      </c>
      <c r="GI123" s="11" t="n">
        <v>-4082</v>
      </c>
      <c r="GJ123" s="11" t="n">
        <v>-20429</v>
      </c>
      <c r="GK123" s="11" t="n">
        <v>-27390</v>
      </c>
      <c r="GL123" s="11" t="n">
        <v>479490</v>
      </c>
      <c r="GM123" s="11" t="n">
        <v>140715</v>
      </c>
      <c r="GN123" s="11" t="n">
        <v>3651674</v>
      </c>
      <c r="GO123" s="11" t="n">
        <v>3480813</v>
      </c>
      <c r="GP123" s="11" t="n">
        <v>1713611</v>
      </c>
      <c r="GQ123" s="11" t="n">
        <v>-61368396</v>
      </c>
      <c r="GR123" s="11" t="n">
        <v>-35743854</v>
      </c>
      <c r="GS123" s="11" t="n">
        <v>-5273229</v>
      </c>
      <c r="GT123" s="11" t="n">
        <v>1686614</v>
      </c>
      <c r="GU123" s="11" t="n">
        <v>-1565464</v>
      </c>
      <c r="GV123" s="11" t="n">
        <v>-2283689</v>
      </c>
      <c r="GW123" s="11" t="n">
        <v>42817650</v>
      </c>
      <c r="GX123" s="11" t="n">
        <v>-118990</v>
      </c>
      <c r="GY123" s="11" t="n">
        <v>-21833192</v>
      </c>
      <c r="GZ123" s="11" t="n">
        <v>-2610309</v>
      </c>
      <c r="HA123" s="11" t="n">
        <v>7183350</v>
      </c>
      <c r="HB123" s="11" t="n">
        <v>-14126903</v>
      </c>
      <c r="HC123" s="11" t="n">
        <v>5834084</v>
      </c>
      <c r="HD123" s="11" t="n">
        <v>-64594</v>
      </c>
      <c r="HE123" s="11" t="n">
        <v>-6313</v>
      </c>
      <c r="HF123" s="11" t="n">
        <v>64030</v>
      </c>
      <c r="HG123" s="11" t="n">
        <v>-23761</v>
      </c>
      <c r="HH123" s="11" t="n">
        <v>24868</v>
      </c>
      <c r="HI123" s="11" t="n">
        <v>258655</v>
      </c>
      <c r="HJ123" s="11" t="n">
        <v>7849214</v>
      </c>
      <c r="HK123" s="11" t="n">
        <v>3308973</v>
      </c>
      <c r="HL123" s="11" t="n">
        <v>1395924</v>
      </c>
      <c r="HM123" s="11" t="n">
        <v>1023528</v>
      </c>
      <c r="HN123" s="11" t="n">
        <v>228251</v>
      </c>
      <c r="HO123" s="11" t="n">
        <v>236008</v>
      </c>
      <c r="HP123" s="11" t="n">
        <v>-6167426</v>
      </c>
      <c r="HQ123" s="11" t="n">
        <v>1638128</v>
      </c>
      <c r="HR123" s="11" t="n">
        <v>1787412</v>
      </c>
      <c r="HS123" s="11" t="n">
        <v>21407440</v>
      </c>
      <c r="HT123" s="11" t="n">
        <v>1847125</v>
      </c>
      <c r="HU123" s="11" t="n">
        <v>-7336610</v>
      </c>
      <c r="HV123" s="11" t="n">
        <v>14117545</v>
      </c>
      <c r="HW123" s="11" t="n">
        <v>-5750310</v>
      </c>
      <c r="HX123" s="11" t="n">
        <v>-130695004</v>
      </c>
      <c r="HY123" s="11" t="n">
        <v>-53823688</v>
      </c>
      <c r="HZ123" s="11" t="n">
        <v>48829668</v>
      </c>
      <c r="IA123" s="11" t="n">
        <v>-5503144</v>
      </c>
      <c r="IB123" s="11" t="n">
        <v>-49435026</v>
      </c>
      <c r="IC123" s="11" t="n">
        <v>90402547</v>
      </c>
      <c r="ID123" s="11" t="n">
        <v>-35581171</v>
      </c>
      <c r="IE123" s="11" t="n">
        <v>18760492</v>
      </c>
      <c r="IF123" s="11" t="n">
        <v>-12571726</v>
      </c>
      <c r="IG123" s="11" t="n">
        <v>9487115</v>
      </c>
      <c r="IH123" s="11" t="n">
        <v>-133053</v>
      </c>
      <c r="II123" s="11" t="n">
        <v>7536914</v>
      </c>
      <c r="IJ123" s="11" t="n">
        <v>3388911</v>
      </c>
      <c r="IK123" s="11" t="n">
        <v>1352422</v>
      </c>
      <c r="IL123" s="11" t="n">
        <v>604718</v>
      </c>
      <c r="IM123" s="11" t="n">
        <v>380154</v>
      </c>
      <c r="IN123" s="11" t="n">
        <v>80953</v>
      </c>
      <c r="IO123" s="11" t="n">
        <v>-6131786</v>
      </c>
      <c r="IP123" s="11" t="n">
        <v>1561018</v>
      </c>
      <c r="IQ123" s="11" t="n">
        <v>1802185</v>
      </c>
      <c r="IR123" s="11" t="n">
        <v>-46348298</v>
      </c>
      <c r="IS123" s="11" t="n">
        <v>-20386221</v>
      </c>
      <c r="IT123" s="11" t="n">
        <v>-8290903</v>
      </c>
      <c r="IU123" s="11" t="n">
        <v>-25712028</v>
      </c>
      <c r="IV123" s="11" t="n">
        <v>-1462838</v>
      </c>
      <c r="IW123" s="11" t="n">
        <v>3956007</v>
      </c>
      <c r="IX123" s="11" t="n">
        <v>-39770438</v>
      </c>
      <c r="IY123" s="11" t="n">
        <v>9482120</v>
      </c>
      <c r="IZ123" s="11" t="n">
        <v>11284933</v>
      </c>
      <c r="JA123" s="11" t="n">
        <v>6515498</v>
      </c>
      <c r="JB123" s="11" t="n">
        <v>-845412</v>
      </c>
      <c r="JC123" s="11" t="n">
        <v>-17344</v>
      </c>
      <c r="JD123" s="11" t="n">
        <v>147640</v>
      </c>
      <c r="JE123" s="11" t="n">
        <v>-231108</v>
      </c>
      <c r="JF123" s="11" t="n">
        <v>437354</v>
      </c>
      <c r="JG123" s="11" t="n">
        <v>15363574</v>
      </c>
      <c r="JH123" s="11" t="n">
        <v>-23946868</v>
      </c>
      <c r="JI123" s="11" t="n">
        <v>57964770</v>
      </c>
      <c r="JJ123" s="11" t="n">
        <v>38798464</v>
      </c>
      <c r="JK123" s="11" t="n">
        <v>2191764</v>
      </c>
      <c r="JL123" s="11" t="n">
        <v>-3010726</v>
      </c>
      <c r="JM123" s="11" t="n">
        <v>8743951</v>
      </c>
      <c r="JN123" s="11" t="n">
        <v>-3576488</v>
      </c>
      <c r="JO123" s="11" t="n">
        <v>-19163986</v>
      </c>
      <c r="JP123" s="11" t="n">
        <v>40592941</v>
      </c>
      <c r="JQ123" s="11" t="n">
        <v>35438</v>
      </c>
      <c r="JR123" s="11" t="n">
        <v>-374780</v>
      </c>
      <c r="JS123" s="11" t="n">
        <v>43362</v>
      </c>
      <c r="JT123" s="11" t="n">
        <v>60734</v>
      </c>
      <c r="JU123" s="11" t="n">
        <v>-1500</v>
      </c>
      <c r="JV123" s="11" t="n">
        <v>-8798</v>
      </c>
      <c r="JW123" s="11" t="n">
        <v>19579</v>
      </c>
      <c r="JX123" s="11" t="n">
        <v>94880</v>
      </c>
      <c r="JY123" s="11" t="n">
        <v>-204490</v>
      </c>
      <c r="JZ123" s="11" t="n">
        <v>39035</v>
      </c>
      <c r="KA123" s="11" t="n">
        <v>5807028</v>
      </c>
      <c r="KB123" s="11" t="n">
        <v>1641756</v>
      </c>
      <c r="KC123" s="11" t="n">
        <v>522643</v>
      </c>
      <c r="KD123" s="11" t="n">
        <v>-24468132</v>
      </c>
      <c r="KE123" s="11" t="n">
        <v>-15479434</v>
      </c>
      <c r="KF123" s="11" t="n">
        <v>-2174151</v>
      </c>
      <c r="KG123" s="11" t="n">
        <v>1372188</v>
      </c>
      <c r="KH123" s="11" t="n">
        <v>-3230424</v>
      </c>
      <c r="KI123" s="11" t="n">
        <v>-1036801</v>
      </c>
      <c r="KJ123" s="11" t="n">
        <v>17269270</v>
      </c>
      <c r="KK123" s="11" t="n">
        <v>-10003286</v>
      </c>
      <c r="KL123" s="11" t="n">
        <v>25564028</v>
      </c>
      <c r="KM123" s="11" t="n">
        <v>-58725198</v>
      </c>
      <c r="KN123" s="11" t="n">
        <v>-37828796</v>
      </c>
      <c r="KO123" s="11" t="n">
        <v>-1222484</v>
      </c>
      <c r="KP123" s="11" t="n">
        <v>1529798</v>
      </c>
      <c r="KQ123" s="11" t="n">
        <v>-5951039</v>
      </c>
      <c r="KR123" s="11" t="n">
        <v>3267208</v>
      </c>
      <c r="KS123" s="11" t="n">
        <v>19831246</v>
      </c>
      <c r="KT123" s="11" t="n">
        <v>-40721255</v>
      </c>
      <c r="KU123" s="11" t="n">
        <v>-181222252</v>
      </c>
      <c r="KV123" s="11" t="n">
        <v>381341586</v>
      </c>
      <c r="KW123" s="11" t="n">
        <v>228377850</v>
      </c>
      <c r="KX123" s="11" t="n">
        <v>89339208</v>
      </c>
      <c r="KY123" s="11" t="n">
        <v>101682772</v>
      </c>
      <c r="KZ123" s="11" t="n">
        <v>-101382546</v>
      </c>
      <c r="LA123" s="11" t="n">
        <v>18888848</v>
      </c>
      <c r="LB123" s="11" t="n">
        <v>135720298</v>
      </c>
      <c r="LC123" s="11" t="n">
        <v>-261789039</v>
      </c>
      <c r="LD123" s="11" t="n">
        <v>-56309164</v>
      </c>
      <c r="LE123" s="11" t="n">
        <v>3362968</v>
      </c>
      <c r="LF123" s="11" t="n">
        <v>1948566</v>
      </c>
      <c r="LG123" s="11" t="n">
        <v>867077</v>
      </c>
      <c r="LH123" s="11" t="n">
        <v>-24722292</v>
      </c>
      <c r="LI123" s="11" t="n">
        <v>-14933394</v>
      </c>
      <c r="LJ123" s="11" t="n">
        <v>-2278515</v>
      </c>
      <c r="LK123" s="11" t="n">
        <v>752428</v>
      </c>
      <c r="LL123" s="11" t="n">
        <v>-1894694</v>
      </c>
      <c r="LM123" s="11" t="n">
        <v>-1291820</v>
      </c>
      <c r="LN123" s="11" t="n">
        <v>17269710</v>
      </c>
      <c r="LO123" s="11" t="n">
        <v>163502580</v>
      </c>
      <c r="LP123" s="11" t="n">
        <v>92485714</v>
      </c>
      <c r="LQ123" s="11" t="n">
        <v>11431923</v>
      </c>
      <c r="LR123" s="11" t="n">
        <v>46146624</v>
      </c>
      <c r="LS123" s="11" t="n">
        <v>112809934</v>
      </c>
    </row>
    <row r="124" customFormat="false" ht="15" hidden="false" customHeight="true" outlineLevel="0" collapsed="false">
      <c r="A124" s="7" t="s">
        <v>190</v>
      </c>
      <c r="B124" s="11" t="n">
        <v>370128</v>
      </c>
      <c r="C124" s="11" t="n">
        <v>312157774</v>
      </c>
      <c r="D124" s="11" t="n">
        <v>500198</v>
      </c>
      <c r="E124" s="11" t="n">
        <v>-38359274</v>
      </c>
      <c r="F124" s="11" t="n">
        <v>-9263752</v>
      </c>
      <c r="G124" s="11" t="n">
        <v>152590400</v>
      </c>
      <c r="H124" s="11" t="n">
        <v>-14667222</v>
      </c>
      <c r="I124" s="11" t="n">
        <v>36755872</v>
      </c>
      <c r="J124" s="11" t="n">
        <v>-494775</v>
      </c>
      <c r="K124" s="11" t="n">
        <v>-2139</v>
      </c>
      <c r="L124" s="11" t="n">
        <v>1423029</v>
      </c>
      <c r="M124" s="11" t="n">
        <v>12108</v>
      </c>
      <c r="N124" s="11" t="n">
        <v>-514464</v>
      </c>
      <c r="O124" s="11" t="n">
        <v>234555</v>
      </c>
      <c r="P124" s="11" t="n">
        <v>-1135608</v>
      </c>
      <c r="Q124" s="11" t="n">
        <v>-1135337</v>
      </c>
      <c r="R124" s="11" t="n">
        <v>1148873782</v>
      </c>
      <c r="S124" s="11" t="n">
        <v>-2171861</v>
      </c>
      <c r="T124" s="11" t="n">
        <v>-229909712</v>
      </c>
      <c r="U124" s="11" t="n">
        <v>178211840</v>
      </c>
      <c r="V124" s="11" t="n">
        <v>-908612639</v>
      </c>
      <c r="W124" s="11" t="n">
        <v>1701427</v>
      </c>
      <c r="X124" s="11" t="n">
        <v>-37173</v>
      </c>
      <c r="Y124" s="11" t="n">
        <v>186576</v>
      </c>
      <c r="Z124" s="11" t="n">
        <v>232219</v>
      </c>
      <c r="AA124" s="11" t="n">
        <v>-1322267</v>
      </c>
      <c r="AB124" s="11" t="n">
        <v>34361447</v>
      </c>
      <c r="AC124" s="11" t="n">
        <v>-533345488</v>
      </c>
      <c r="AD124" s="11" t="n">
        <v>32082206</v>
      </c>
      <c r="AE124" s="11" t="n">
        <v>-23623107</v>
      </c>
      <c r="AF124" s="11" t="n">
        <v>7884576</v>
      </c>
      <c r="AG124" s="11" t="n">
        <v>-5390753</v>
      </c>
      <c r="AH124" s="11" t="n">
        <v>27220180</v>
      </c>
      <c r="AI124" s="11" t="n">
        <v>76311664</v>
      </c>
      <c r="AJ124" s="11" t="n">
        <v>-417080864</v>
      </c>
      <c r="AK124" s="11" t="n">
        <v>21708547</v>
      </c>
      <c r="AL124" s="11" t="n">
        <v>-104692647</v>
      </c>
      <c r="AM124" s="11" t="n">
        <v>-36219</v>
      </c>
      <c r="AN124" s="11" t="n">
        <v>16135605</v>
      </c>
      <c r="AO124" s="11" t="n">
        <v>4094220</v>
      </c>
      <c r="AP124" s="11" t="n">
        <v>-51574464</v>
      </c>
      <c r="AQ124" s="11" t="n">
        <v>6254187</v>
      </c>
      <c r="AR124" s="11" t="n">
        <v>-13080504</v>
      </c>
      <c r="AS124" s="11" t="n">
        <v>110937325</v>
      </c>
      <c r="AT124" s="11" t="n">
        <v>2758290664</v>
      </c>
      <c r="AU124" s="11" t="n">
        <v>832673787</v>
      </c>
      <c r="AV124" s="11" t="n">
        <v>-335767612</v>
      </c>
      <c r="AW124" s="11" t="n">
        <v>1125942368</v>
      </c>
      <c r="AX124" s="11" t="n">
        <v>-635216679</v>
      </c>
      <c r="AY124" s="11" t="n">
        <v>18052303</v>
      </c>
      <c r="AZ124" s="11" t="n">
        <v>4626499</v>
      </c>
      <c r="BA124" s="11" t="n">
        <v>-54766924</v>
      </c>
      <c r="BB124" s="11" t="n">
        <v>7016761</v>
      </c>
      <c r="BC124" s="11" t="n">
        <v>-14080483</v>
      </c>
      <c r="BD124" s="11" t="n">
        <v>-20466065</v>
      </c>
      <c r="BE124" s="11" t="n">
        <v>-1307059788</v>
      </c>
      <c r="BF124" s="11" t="n">
        <v>-8757976</v>
      </c>
      <c r="BG124" s="11" t="n">
        <v>-246724363</v>
      </c>
      <c r="BH124" s="11" t="n">
        <v>-397067024</v>
      </c>
      <c r="BI124" s="11" t="n">
        <v>5710447</v>
      </c>
      <c r="BJ124" s="11" t="n">
        <v>-79194444</v>
      </c>
      <c r="BK124" s="11" t="n">
        <v>534611764</v>
      </c>
      <c r="BL124" s="11" t="n">
        <v>-270973664</v>
      </c>
      <c r="BM124" s="11" t="n">
        <v>-102730517</v>
      </c>
      <c r="BN124" s="11" t="n">
        <v>-556611</v>
      </c>
      <c r="BO124" s="11" t="n">
        <v>380941671</v>
      </c>
      <c r="BP124" s="11" t="n">
        <v>-2048208</v>
      </c>
      <c r="BQ124" s="11" t="n">
        <v>-76575786</v>
      </c>
      <c r="BR124" s="11" t="n">
        <v>57984720</v>
      </c>
      <c r="BS124" s="11" t="n">
        <v>-303727092</v>
      </c>
      <c r="BT124" s="11" t="n">
        <v>46002</v>
      </c>
      <c r="BU124" s="11" t="n">
        <v>-22476</v>
      </c>
      <c r="BV124" s="11" t="n">
        <v>247710</v>
      </c>
      <c r="BW124" s="11" t="n">
        <v>-13191</v>
      </c>
      <c r="BX124" s="11" t="n">
        <v>-35532</v>
      </c>
      <c r="BY124" s="11" t="n">
        <v>15213180</v>
      </c>
      <c r="BZ124" s="11" t="n">
        <v>-175860162</v>
      </c>
      <c r="CA124" s="11" t="n">
        <v>13820091</v>
      </c>
      <c r="CB124" s="11" t="n">
        <v>-784092</v>
      </c>
      <c r="CC124" s="11" t="n">
        <v>4003656</v>
      </c>
      <c r="CD124" s="11" t="n">
        <v>-2389968</v>
      </c>
      <c r="CE124" s="11" t="n">
        <v>12133776</v>
      </c>
      <c r="CF124" s="11" t="n">
        <v>23990334</v>
      </c>
      <c r="CG124" s="11" t="n">
        <v>-140056752</v>
      </c>
      <c r="CH124" s="11" t="n">
        <v>10899492</v>
      </c>
      <c r="CI124" s="11" t="n">
        <v>-418328757</v>
      </c>
      <c r="CJ124" s="11" t="n">
        <v>-2256631</v>
      </c>
      <c r="CK124" s="11" t="n">
        <v>82928506</v>
      </c>
      <c r="CL124" s="11" t="n">
        <v>-67429584</v>
      </c>
      <c r="CM124" s="11" t="n">
        <v>325220927</v>
      </c>
      <c r="CN124" s="11" t="n">
        <v>3083785787</v>
      </c>
      <c r="CO124" s="11" t="n">
        <v>795761716</v>
      </c>
      <c r="CP124" s="11" t="n">
        <v>2569231584</v>
      </c>
      <c r="CQ124" s="11" t="n">
        <v>5690820857</v>
      </c>
      <c r="CR124" s="11" t="n">
        <v>615615074</v>
      </c>
      <c r="CS124" s="11" t="n">
        <v>-483209872</v>
      </c>
      <c r="CT124" s="11" t="n">
        <v>2428123188</v>
      </c>
      <c r="CU124" s="11" t="n">
        <v>-637585664</v>
      </c>
      <c r="CV124" s="11" t="n">
        <v>-509486630</v>
      </c>
      <c r="CW124" s="11" t="n">
        <v>2914687408</v>
      </c>
      <c r="CX124" s="11" t="n">
        <v>17078654</v>
      </c>
      <c r="CY124" s="11" t="n">
        <v>-193023662</v>
      </c>
      <c r="CZ124" s="11" t="n">
        <v>15486705</v>
      </c>
      <c r="DA124" s="11" t="n">
        <v>-173830</v>
      </c>
      <c r="DB124" s="11" t="n">
        <v>2344386</v>
      </c>
      <c r="DC124" s="11" t="n">
        <v>-2669333</v>
      </c>
      <c r="DD124" s="11" t="n">
        <v>13276504</v>
      </c>
      <c r="DE124" s="11" t="n">
        <v>28043054</v>
      </c>
      <c r="DF124" s="11" t="n">
        <v>-150027742</v>
      </c>
      <c r="DG124" s="11" t="n">
        <v>12011795</v>
      </c>
      <c r="DH124" s="11" t="n">
        <v>1455396394</v>
      </c>
      <c r="DI124" s="11" t="n">
        <v>-9271807</v>
      </c>
      <c r="DJ124" s="11" t="n">
        <v>233614384</v>
      </c>
      <c r="DK124" s="11" t="n">
        <v>-1214944484</v>
      </c>
      <c r="DL124" s="11" t="n">
        <v>-2625506222</v>
      </c>
      <c r="DM124" s="11" t="n">
        <v>211744165</v>
      </c>
      <c r="DN124" s="11" t="n">
        <v>226200550</v>
      </c>
      <c r="DO124" s="11" t="n">
        <v>-1099319288</v>
      </c>
      <c r="DP124" s="11" t="n">
        <v>-29305436</v>
      </c>
      <c r="DQ124" s="11" t="n">
        <v>1325757618</v>
      </c>
      <c r="DR124" s="11" t="n">
        <v>1457764</v>
      </c>
      <c r="DS124" s="11" t="n">
        <v>836</v>
      </c>
      <c r="DT124" s="11" t="n">
        <v>93412</v>
      </c>
      <c r="DU124" s="11" t="n">
        <v>-44704</v>
      </c>
      <c r="DV124" s="11" t="n">
        <v>678656</v>
      </c>
      <c r="DW124" s="11" t="n">
        <v>30492</v>
      </c>
      <c r="DX124" s="11" t="n">
        <v>112816</v>
      </c>
      <c r="DY124" s="11" t="n">
        <v>-1264986</v>
      </c>
      <c r="DZ124" s="11" t="n">
        <v>229861158</v>
      </c>
      <c r="EA124" s="11" t="n">
        <v>-1216706</v>
      </c>
      <c r="EB124" s="11" t="n">
        <v>-28619952</v>
      </c>
      <c r="EC124" s="11" t="n">
        <v>83483722</v>
      </c>
      <c r="ED124" s="11" t="n">
        <v>-49617958</v>
      </c>
      <c r="EE124" s="11" t="n">
        <v>212880</v>
      </c>
      <c r="EF124" s="11" t="n">
        <v>-39490</v>
      </c>
      <c r="EG124" s="11" t="n">
        <v>572496</v>
      </c>
      <c r="EH124" s="11" t="n">
        <v>74336</v>
      </c>
      <c r="EI124" s="11" t="n">
        <v>69442</v>
      </c>
      <c r="EJ124" s="11" t="n">
        <v>6970990</v>
      </c>
      <c r="EK124" s="11" t="n">
        <v>-108844848</v>
      </c>
      <c r="EL124" s="11" t="n">
        <v>541552</v>
      </c>
      <c r="EM124" s="11" t="n">
        <v>-20968366</v>
      </c>
      <c r="EN124" s="11" t="n">
        <v>1444096</v>
      </c>
      <c r="EO124" s="11" t="n">
        <v>-2534674</v>
      </c>
      <c r="EP124" s="11" t="n">
        <v>1615752</v>
      </c>
      <c r="EQ124" s="11" t="n">
        <v>39464144</v>
      </c>
      <c r="ER124" s="11" t="n">
        <v>-20884544</v>
      </c>
      <c r="ES124" s="11" t="n">
        <v>-7498642</v>
      </c>
      <c r="ET124" s="11" t="n">
        <v>7307</v>
      </c>
      <c r="EU124" s="11" t="n">
        <v>-5729527</v>
      </c>
      <c r="EV124" s="11" t="n">
        <v>12071</v>
      </c>
      <c r="EW124" s="11" t="n">
        <v>1119032</v>
      </c>
      <c r="EX124" s="11" t="n">
        <v>-964565</v>
      </c>
      <c r="EY124" s="11" t="n">
        <v>4321829</v>
      </c>
      <c r="EZ124" s="11" t="n">
        <v>-3754</v>
      </c>
      <c r="FA124" s="11" t="n">
        <v>231</v>
      </c>
      <c r="FB124" s="11" t="n">
        <v>-2760</v>
      </c>
      <c r="FC124" s="11" t="n">
        <v>-706</v>
      </c>
      <c r="FD124" s="11" t="n">
        <v>1913</v>
      </c>
      <c r="FE124" s="11" t="n">
        <v>-174929</v>
      </c>
      <c r="FF124" s="11" t="n">
        <v>2739064</v>
      </c>
      <c r="FG124" s="11" t="n">
        <v>58036</v>
      </c>
      <c r="FH124" s="11" t="n">
        <v>720345</v>
      </c>
      <c r="FI124" s="11" t="n">
        <v>-39936</v>
      </c>
      <c r="FJ124" s="11" t="n">
        <v>29327</v>
      </c>
      <c r="FK124" s="11" t="n">
        <v>-133468</v>
      </c>
      <c r="FL124" s="11" t="n">
        <v>-472456</v>
      </c>
      <c r="FM124" s="11" t="n">
        <v>1925408</v>
      </c>
      <c r="FN124" s="11" t="n">
        <v>165047</v>
      </c>
      <c r="FO124" s="11" t="n">
        <v>3819669</v>
      </c>
      <c r="FP124" s="11" t="n">
        <v>-4376</v>
      </c>
      <c r="FQ124" s="11" t="n">
        <v>-827592</v>
      </c>
      <c r="FR124" s="11" t="n">
        <v>418549</v>
      </c>
      <c r="FS124" s="11" t="n">
        <v>-3501592</v>
      </c>
      <c r="FT124" s="11" t="n">
        <v>-2878721</v>
      </c>
      <c r="FU124" s="11" t="n">
        <v>63963168</v>
      </c>
      <c r="FV124" s="11" t="n">
        <v>176027266</v>
      </c>
      <c r="FW124" s="11" t="n">
        <v>486452669</v>
      </c>
      <c r="FX124" s="11" t="n">
        <v>-697000</v>
      </c>
      <c r="FY124" s="11" t="n">
        <v>113777</v>
      </c>
      <c r="FZ124" s="11" t="n">
        <v>-3196304</v>
      </c>
      <c r="GA124" s="11" t="n">
        <v>-45148016</v>
      </c>
      <c r="GB124" s="11" t="n">
        <v>-46760968</v>
      </c>
      <c r="GC124" s="11" t="n">
        <v>214673037</v>
      </c>
      <c r="GD124" s="11" t="n">
        <v>-118505</v>
      </c>
      <c r="GE124" s="11" t="n">
        <v>1867944</v>
      </c>
      <c r="GF124" s="11" t="n">
        <v>154024</v>
      </c>
      <c r="GG124" s="11" t="n">
        <v>798953</v>
      </c>
      <c r="GH124" s="11" t="n">
        <v>-27816</v>
      </c>
      <c r="GI124" s="11" t="n">
        <v>12809</v>
      </c>
      <c r="GJ124" s="11" t="n">
        <v>-109552</v>
      </c>
      <c r="GK124" s="11" t="n">
        <v>-238056</v>
      </c>
      <c r="GL124" s="11" t="n">
        <v>1539288</v>
      </c>
      <c r="GM124" s="11" t="n">
        <v>228745</v>
      </c>
      <c r="GN124" s="11" t="n">
        <v>576664</v>
      </c>
      <c r="GO124" s="11" t="n">
        <v>5345154</v>
      </c>
      <c r="GP124" s="11" t="n">
        <v>14490028</v>
      </c>
      <c r="GQ124" s="11" t="n">
        <v>-83503888</v>
      </c>
      <c r="GR124" s="11" t="n">
        <v>-224512328</v>
      </c>
      <c r="GS124" s="11" t="n">
        <v>17203618</v>
      </c>
      <c r="GT124" s="11" t="n">
        <v>1316968</v>
      </c>
      <c r="GU124" s="11" t="n">
        <v>2868064</v>
      </c>
      <c r="GV124" s="11" t="n">
        <v>-6507532</v>
      </c>
      <c r="GW124" s="11" t="n">
        <v>97424248</v>
      </c>
      <c r="GX124" s="11" t="n">
        <v>-93817</v>
      </c>
      <c r="GY124" s="11" t="n">
        <v>-89972803</v>
      </c>
      <c r="GZ124" s="11" t="n">
        <v>-3480489</v>
      </c>
      <c r="HA124" s="11" t="n">
        <v>11166688</v>
      </c>
      <c r="HB124" s="11" t="n">
        <v>-33257189</v>
      </c>
      <c r="HC124" s="11" t="n">
        <v>19607493</v>
      </c>
      <c r="HD124" s="11" t="n">
        <v>-45586</v>
      </c>
      <c r="HE124" s="11" t="n">
        <v>-4873</v>
      </c>
      <c r="HF124" s="11" t="n">
        <v>50080</v>
      </c>
      <c r="HG124" s="11" t="n">
        <v>-17110</v>
      </c>
      <c r="HH124" s="11" t="n">
        <v>18505</v>
      </c>
      <c r="HI124" s="11" t="n">
        <v>-2982145</v>
      </c>
      <c r="HJ124" s="11" t="n">
        <v>42602016</v>
      </c>
      <c r="HK124" s="11" t="n">
        <v>-249128</v>
      </c>
      <c r="HL124" s="11" t="n">
        <v>8219401</v>
      </c>
      <c r="HM124" s="11" t="n">
        <v>1277888</v>
      </c>
      <c r="HN124" s="11" t="n">
        <v>1092671</v>
      </c>
      <c r="HO124" s="11" t="n">
        <v>-331932</v>
      </c>
      <c r="HP124" s="11" t="n">
        <v>-15716320</v>
      </c>
      <c r="HQ124" s="11" t="n">
        <v>8264000</v>
      </c>
      <c r="HR124" s="11" t="n">
        <v>2983895</v>
      </c>
      <c r="HS124" s="11" t="n">
        <v>92867721</v>
      </c>
      <c r="HT124" s="11" t="n">
        <v>2941918</v>
      </c>
      <c r="HU124" s="11" t="n">
        <v>-11531868</v>
      </c>
      <c r="HV124" s="11" t="n">
        <v>34231927</v>
      </c>
      <c r="HW124" s="11" t="n">
        <v>-20207806</v>
      </c>
      <c r="HX124" s="11" t="n">
        <v>-623900495</v>
      </c>
      <c r="HY124" s="11" t="n">
        <v>-5645268</v>
      </c>
      <c r="HZ124" s="11" t="n">
        <v>-91421864</v>
      </c>
      <c r="IA124" s="11" t="n">
        <v>29314955</v>
      </c>
      <c r="IB124" s="11" t="n">
        <v>-77651804</v>
      </c>
      <c r="IC124" s="11" t="n">
        <v>227079553</v>
      </c>
      <c r="ID124" s="11" t="n">
        <v>-134830680</v>
      </c>
      <c r="IE124" s="11" t="n">
        <v>13433228</v>
      </c>
      <c r="IF124" s="11" t="n">
        <v>-4868588</v>
      </c>
      <c r="IG124" s="11" t="n">
        <v>-9087419</v>
      </c>
      <c r="IH124" s="11" t="n">
        <v>-3394205</v>
      </c>
      <c r="II124" s="11" t="n">
        <v>43969896</v>
      </c>
      <c r="IJ124" s="11" t="n">
        <v>-303464</v>
      </c>
      <c r="IK124" s="11" t="n">
        <v>8498717</v>
      </c>
      <c r="IL124" s="11" t="n">
        <v>971428</v>
      </c>
      <c r="IM124" s="11" t="n">
        <v>1241523</v>
      </c>
      <c r="IN124" s="11" t="n">
        <v>-469344</v>
      </c>
      <c r="IO124" s="11" t="n">
        <v>-16170040</v>
      </c>
      <c r="IP124" s="11" t="n">
        <v>8512420</v>
      </c>
      <c r="IQ124" s="11" t="n">
        <v>3066675</v>
      </c>
      <c r="IR124" s="11" t="n">
        <v>-295603260</v>
      </c>
      <c r="IS124" s="11" t="n">
        <v>-1302640</v>
      </c>
      <c r="IT124" s="11" t="n">
        <v>-56024340</v>
      </c>
      <c r="IU124" s="11" t="n">
        <v>43303776</v>
      </c>
      <c r="IV124" s="11" t="n">
        <v>-14396316</v>
      </c>
      <c r="IW124" s="11" t="n">
        <v>-8270608</v>
      </c>
      <c r="IX124" s="11" t="n">
        <v>-107752132</v>
      </c>
      <c r="IY124" s="11" t="n">
        <v>56909712</v>
      </c>
      <c r="IZ124" s="11" t="n">
        <v>20672556</v>
      </c>
      <c r="JA124" s="11" t="n">
        <v>-3089180</v>
      </c>
      <c r="JB124" s="11" t="n">
        <v>-819720</v>
      </c>
      <c r="JC124" s="11" t="n">
        <v>-16669</v>
      </c>
      <c r="JD124" s="11" t="n">
        <v>127990</v>
      </c>
      <c r="JE124" s="11" t="n">
        <v>-228777</v>
      </c>
      <c r="JF124" s="11" t="n">
        <v>376421</v>
      </c>
      <c r="JG124" s="11" t="n">
        <v>14424569</v>
      </c>
      <c r="JH124" s="11" t="n">
        <v>25177330</v>
      </c>
      <c r="JI124" s="11" t="n">
        <v>71179797</v>
      </c>
      <c r="JJ124" s="11" t="n">
        <v>189677759</v>
      </c>
      <c r="JK124" s="11" t="n">
        <v>2764214</v>
      </c>
      <c r="JL124" s="11" t="n">
        <v>-2578336</v>
      </c>
      <c r="JM124" s="11" t="n">
        <v>10480956</v>
      </c>
      <c r="JN124" s="11" t="n">
        <v>-18140702</v>
      </c>
      <c r="JO124" s="11" t="n">
        <v>-18054434</v>
      </c>
      <c r="JP124" s="11" t="n">
        <v>85623724</v>
      </c>
      <c r="JQ124" s="11" t="n">
        <v>34478</v>
      </c>
      <c r="JR124" s="11" t="n">
        <v>-375380</v>
      </c>
      <c r="JS124" s="11" t="n">
        <v>38334</v>
      </c>
      <c r="JT124" s="11" t="n">
        <v>21218</v>
      </c>
      <c r="JU124" s="11" t="n">
        <v>-2250</v>
      </c>
      <c r="JV124" s="11" t="n">
        <v>-8843</v>
      </c>
      <c r="JW124" s="11" t="n">
        <v>16264</v>
      </c>
      <c r="JX124" s="11" t="n">
        <v>98780</v>
      </c>
      <c r="JY124" s="11" t="n">
        <v>-175690</v>
      </c>
      <c r="JZ124" s="11" t="n">
        <v>23525</v>
      </c>
      <c r="KA124" s="11" t="n">
        <v>7664518</v>
      </c>
      <c r="KB124" s="11" t="n">
        <v>2319311</v>
      </c>
      <c r="KC124" s="11" t="n">
        <v>7604608</v>
      </c>
      <c r="KD124" s="11" t="n">
        <v>-33773264</v>
      </c>
      <c r="KE124" s="11" t="n">
        <v>-87512138</v>
      </c>
      <c r="KF124" s="11" t="n">
        <v>7027783</v>
      </c>
      <c r="KG124" s="11" t="n">
        <v>1814458</v>
      </c>
      <c r="KH124" s="11" t="n">
        <v>-4111784</v>
      </c>
      <c r="KI124" s="11" t="n">
        <v>-3044516</v>
      </c>
      <c r="KJ124" s="11" t="n">
        <v>38835510</v>
      </c>
      <c r="KK124" s="11" t="n">
        <v>-9204483</v>
      </c>
      <c r="KL124" s="11" t="n">
        <v>-25935990</v>
      </c>
      <c r="KM124" s="11" t="n">
        <v>-72637119</v>
      </c>
      <c r="KN124" s="11" t="n">
        <v>-196047813</v>
      </c>
      <c r="KO124" s="11" t="n">
        <v>-1964584</v>
      </c>
      <c r="KP124" s="11" t="n">
        <v>1091819</v>
      </c>
      <c r="KQ124" s="11" t="n">
        <v>-8213392</v>
      </c>
      <c r="KR124" s="11" t="n">
        <v>18579982</v>
      </c>
      <c r="KS124" s="11" t="n">
        <v>18700664</v>
      </c>
      <c r="KT124" s="11" t="n">
        <v>-88070765</v>
      </c>
      <c r="KU124" s="11" t="n">
        <v>173682686</v>
      </c>
      <c r="KV124" s="11" t="n">
        <v>478926833</v>
      </c>
      <c r="KW124" s="11" t="n">
        <v>1319986700</v>
      </c>
      <c r="KX124" s="11" t="n">
        <v>-21116708</v>
      </c>
      <c r="KY124" s="11" t="n">
        <v>20104454</v>
      </c>
      <c r="KZ124" s="11" t="n">
        <v>215924437</v>
      </c>
      <c r="LA124" s="11" t="n">
        <v>122822982</v>
      </c>
      <c r="LB124" s="11" t="n">
        <v>126753536</v>
      </c>
      <c r="LC124" s="11" t="n">
        <v>-583932892</v>
      </c>
      <c r="LD124" s="11" t="n">
        <v>-29628206</v>
      </c>
      <c r="LE124" s="11" t="n">
        <v>5305958</v>
      </c>
      <c r="LF124" s="11" t="n">
        <v>2624723</v>
      </c>
      <c r="LG124" s="11" t="n">
        <v>8007656</v>
      </c>
      <c r="LH124" s="11" t="n">
        <v>-34476104</v>
      </c>
      <c r="LI124" s="11" t="n">
        <v>-90448858</v>
      </c>
      <c r="LJ124" s="11" t="n">
        <v>7287955</v>
      </c>
      <c r="LK124" s="11" t="n">
        <v>1189598</v>
      </c>
      <c r="LL124" s="11" t="n">
        <v>-3025504</v>
      </c>
      <c r="LM124" s="11" t="n">
        <v>-3291960</v>
      </c>
      <c r="LN124" s="11" t="n">
        <v>39937250</v>
      </c>
      <c r="LO124" s="11" t="n">
        <v>226552292</v>
      </c>
      <c r="LP124" s="11" t="n">
        <v>609811848</v>
      </c>
      <c r="LQ124" s="11" t="n">
        <v>-40250156</v>
      </c>
      <c r="LR124" s="11" t="n">
        <v>-100366532</v>
      </c>
      <c r="LS124" s="11" t="n">
        <v>265902184</v>
      </c>
    </row>
    <row r="125" customFormat="false" ht="15" hidden="false" customHeight="true" outlineLevel="0" collapsed="false">
      <c r="A125" s="7" t="s">
        <v>191</v>
      </c>
      <c r="B125" s="11" t="n">
        <v>295130</v>
      </c>
      <c r="C125" s="11" t="n">
        <v>990191832</v>
      </c>
      <c r="D125" s="11" t="n">
        <v>-37436</v>
      </c>
      <c r="E125" s="11" t="n">
        <v>301179366</v>
      </c>
      <c r="F125" s="11" t="n">
        <v>-40368398</v>
      </c>
      <c r="G125" s="11" t="n">
        <v>485321284</v>
      </c>
      <c r="H125" s="11" t="n">
        <v>36009852</v>
      </c>
      <c r="I125" s="11" t="n">
        <v>37674412</v>
      </c>
      <c r="J125" s="11" t="n">
        <v>-9998844</v>
      </c>
      <c r="K125" s="11" t="n">
        <v>3947</v>
      </c>
      <c r="L125" s="11" t="n">
        <v>-3163777</v>
      </c>
      <c r="M125" s="11" t="n">
        <v>436976</v>
      </c>
      <c r="N125" s="11" t="n">
        <v>-5121778</v>
      </c>
      <c r="O125" s="11" t="n">
        <v>-431054</v>
      </c>
      <c r="P125" s="11" t="n">
        <v>-1013899</v>
      </c>
      <c r="Q125" s="11" t="n">
        <v>11974284</v>
      </c>
      <c r="R125" s="11" t="n">
        <v>-411007512</v>
      </c>
      <c r="S125" s="11" t="n">
        <v>98440524</v>
      </c>
      <c r="T125" s="11" t="n">
        <v>-741676320</v>
      </c>
      <c r="U125" s="11" t="n">
        <v>-226236768</v>
      </c>
      <c r="V125" s="11" t="n">
        <v>-2125347948</v>
      </c>
      <c r="W125" s="11" t="n">
        <v>-3626591</v>
      </c>
      <c r="X125" s="11" t="n">
        <v>484449</v>
      </c>
      <c r="Y125" s="11" t="n">
        <v>-5840898</v>
      </c>
      <c r="Z125" s="11" t="n">
        <v>-426910</v>
      </c>
      <c r="AA125" s="11" t="n">
        <v>-375240</v>
      </c>
      <c r="AB125" s="11" t="n">
        <v>13185869</v>
      </c>
      <c r="AC125" s="11" t="n">
        <v>-24143716</v>
      </c>
      <c r="AD125" s="11" t="n">
        <v>-53865852</v>
      </c>
      <c r="AE125" s="11" t="n">
        <v>-630813607</v>
      </c>
      <c r="AF125" s="11" t="n">
        <v>-18011658</v>
      </c>
      <c r="AG125" s="11" t="n">
        <v>5643338</v>
      </c>
      <c r="AH125" s="11" t="n">
        <v>82901313</v>
      </c>
      <c r="AI125" s="11" t="n">
        <v>-83912896</v>
      </c>
      <c r="AJ125" s="11" t="n">
        <v>-1013474706</v>
      </c>
      <c r="AK125" s="11" t="n">
        <v>-68683790</v>
      </c>
      <c r="AL125" s="11" t="n">
        <v>-347871674</v>
      </c>
      <c r="AM125" s="11" t="n">
        <v>126727</v>
      </c>
      <c r="AN125" s="11" t="n">
        <v>-105464097</v>
      </c>
      <c r="AO125" s="11" t="n">
        <v>15028136</v>
      </c>
      <c r="AP125" s="11" t="n">
        <v>-170826198</v>
      </c>
      <c r="AQ125" s="11" t="n">
        <v>-12027944</v>
      </c>
      <c r="AR125" s="11" t="n">
        <v>-13414019</v>
      </c>
      <c r="AS125" s="11" t="n">
        <v>381056200</v>
      </c>
      <c r="AT125" s="11" t="n">
        <v>1159091946</v>
      </c>
      <c r="AU125" s="11" t="n">
        <v>2838462130</v>
      </c>
      <c r="AV125" s="11" t="n">
        <v>-1088260964</v>
      </c>
      <c r="AW125" s="11" t="n">
        <v>2090047068</v>
      </c>
      <c r="AX125" s="11" t="n">
        <v>-598350824</v>
      </c>
      <c r="AY125" s="11" t="n">
        <v>-115946883</v>
      </c>
      <c r="AZ125" s="11" t="n">
        <v>15427685</v>
      </c>
      <c r="BA125" s="11" t="n">
        <v>-186725378</v>
      </c>
      <c r="BB125" s="11" t="n">
        <v>-13936714</v>
      </c>
      <c r="BC125" s="11" t="n">
        <v>-14475648</v>
      </c>
      <c r="BD125" s="11" t="n">
        <v>910608309</v>
      </c>
      <c r="BE125" s="11" t="n">
        <v>-899112384</v>
      </c>
      <c r="BF125" s="11" t="n">
        <v>593562078</v>
      </c>
      <c r="BG125" s="11" t="n">
        <v>-226096623</v>
      </c>
      <c r="BH125" s="11" t="n">
        <v>-1346844814</v>
      </c>
      <c r="BI125" s="11" t="n">
        <v>-188432632</v>
      </c>
      <c r="BJ125" s="11" t="n">
        <v>-83602919</v>
      </c>
      <c r="BK125" s="11" t="n">
        <v>1063968020</v>
      </c>
      <c r="BL125" s="11" t="n">
        <v>-251863114</v>
      </c>
      <c r="BM125" s="11" t="n">
        <v>-101281202</v>
      </c>
      <c r="BN125" s="11" t="n">
        <v>358913</v>
      </c>
      <c r="BO125" s="11" t="n">
        <v>-156098491</v>
      </c>
      <c r="BP125" s="11" t="n">
        <v>5921408</v>
      </c>
      <c r="BQ125" s="11" t="n">
        <v>-249574702</v>
      </c>
      <c r="BR125" s="11" t="n">
        <v>-100585982</v>
      </c>
      <c r="BS125" s="11" t="n">
        <v>-740629753</v>
      </c>
      <c r="BT125" s="11" t="n">
        <v>-51946</v>
      </c>
      <c r="BU125" s="11" t="n">
        <v>13348</v>
      </c>
      <c r="BV125" s="11" t="n">
        <v>-85330</v>
      </c>
      <c r="BW125" s="11" t="n">
        <v>24233</v>
      </c>
      <c r="BX125" s="11" t="n">
        <v>255966</v>
      </c>
      <c r="BY125" s="11" t="n">
        <v>-4948300</v>
      </c>
      <c r="BZ125" s="11" t="n">
        <v>990426</v>
      </c>
      <c r="CA125" s="11" t="n">
        <v>-25097375</v>
      </c>
      <c r="CB125" s="11" t="n">
        <v>-218517188</v>
      </c>
      <c r="CC125" s="11" t="n">
        <v>7873912</v>
      </c>
      <c r="CD125" s="11" t="n">
        <v>4140600</v>
      </c>
      <c r="CE125" s="11" t="n">
        <v>31767044</v>
      </c>
      <c r="CF125" s="11" t="n">
        <v>-40764602</v>
      </c>
      <c r="CG125" s="11" t="n">
        <v>-354070694</v>
      </c>
      <c r="CH125" s="11" t="n">
        <v>-21729251</v>
      </c>
      <c r="CI125" s="11" t="n">
        <v>172185077</v>
      </c>
      <c r="CJ125" s="11" t="n">
        <v>-3557715</v>
      </c>
      <c r="CK125" s="11" t="n">
        <v>272259582</v>
      </c>
      <c r="CL125" s="11" t="n">
        <v>112337566</v>
      </c>
      <c r="CM125" s="11" t="n">
        <v>810663312</v>
      </c>
      <c r="CN125" s="11" t="n">
        <v>-1293416927</v>
      </c>
      <c r="CO125" s="11" t="n">
        <v>1319900284</v>
      </c>
      <c r="CP125" s="11" t="n">
        <v>-602707284</v>
      </c>
      <c r="CQ125" s="11" t="n">
        <v>2736237853</v>
      </c>
      <c r="CR125" s="11" t="n">
        <v>2017882902</v>
      </c>
      <c r="CS125" s="11" t="n">
        <v>856308646</v>
      </c>
      <c r="CT125" s="11" t="n">
        <v>6032990277</v>
      </c>
      <c r="CU125" s="11" t="n">
        <v>-1814136416</v>
      </c>
      <c r="CV125" s="11" t="n">
        <v>-1887665106</v>
      </c>
      <c r="CW125" s="11" t="n">
        <v>4622787278</v>
      </c>
      <c r="CX125" s="11" t="n">
        <v>-5888662</v>
      </c>
      <c r="CY125" s="11" t="n">
        <v>1531726</v>
      </c>
      <c r="CZ125" s="11" t="n">
        <v>-27884329</v>
      </c>
      <c r="DA125" s="11" t="n">
        <v>-240125718</v>
      </c>
      <c r="DB125" s="11" t="n">
        <v>9279522</v>
      </c>
      <c r="DC125" s="11" t="n">
        <v>4418051</v>
      </c>
      <c r="DD125" s="11" t="n">
        <v>32685882</v>
      </c>
      <c r="DE125" s="11" t="n">
        <v>-45090122</v>
      </c>
      <c r="DF125" s="11" t="n">
        <v>-386899044</v>
      </c>
      <c r="DG125" s="11" t="n">
        <v>-25381620</v>
      </c>
      <c r="DH125" s="11" t="n">
        <v>33634078</v>
      </c>
      <c r="DI125" s="11" t="n">
        <v>188848675</v>
      </c>
      <c r="DJ125" s="11" t="n">
        <v>1897350536</v>
      </c>
      <c r="DK125" s="11" t="n">
        <v>-208388276</v>
      </c>
      <c r="DL125" s="11" t="n">
        <v>-1865046470</v>
      </c>
      <c r="DM125" s="11" t="n">
        <v>1283640137</v>
      </c>
      <c r="DN125" s="11" t="n">
        <v>-272358706</v>
      </c>
      <c r="DO125" s="11" t="n">
        <v>-2803208358</v>
      </c>
      <c r="DP125" s="11" t="n">
        <v>-375281503</v>
      </c>
      <c r="DQ125" s="11" t="n">
        <v>2265384346</v>
      </c>
      <c r="DR125" s="11" t="n">
        <v>3263500</v>
      </c>
      <c r="DS125" s="11" t="n">
        <v>-570</v>
      </c>
      <c r="DT125" s="11" t="n">
        <v>1014850</v>
      </c>
      <c r="DU125" s="11" t="n">
        <v>-129130</v>
      </c>
      <c r="DV125" s="11" t="n">
        <v>1571880</v>
      </c>
      <c r="DW125" s="11" t="n">
        <v>159530</v>
      </c>
      <c r="DX125" s="11" t="n">
        <v>113670</v>
      </c>
      <c r="DY125" s="11" t="n">
        <v>-1498448</v>
      </c>
      <c r="DZ125" s="11" t="n">
        <v>74534340</v>
      </c>
      <c r="EA125" s="11" t="n">
        <v>13142668</v>
      </c>
      <c r="EB125" s="11" t="n">
        <v>-92783768</v>
      </c>
      <c r="EC125" s="11" t="n">
        <v>137048592</v>
      </c>
      <c r="ED125" s="11" t="n">
        <v>-35222912</v>
      </c>
      <c r="EE125" s="11" t="n">
        <v>452954</v>
      </c>
      <c r="EF125" s="11" t="n">
        <v>-61586</v>
      </c>
      <c r="EG125" s="11" t="n">
        <v>737940</v>
      </c>
      <c r="EH125" s="11" t="n">
        <v>49312</v>
      </c>
      <c r="EI125" s="11" t="n">
        <v>58344</v>
      </c>
      <c r="EJ125" s="11" t="n">
        <v>7036144</v>
      </c>
      <c r="EK125" s="11" t="n">
        <v>-64752764</v>
      </c>
      <c r="EL125" s="11" t="n">
        <v>38974506</v>
      </c>
      <c r="EM125" s="11" t="n">
        <v>-13549346</v>
      </c>
      <c r="EN125" s="11" t="n">
        <v>-2658964</v>
      </c>
      <c r="EO125" s="11" t="n">
        <v>-6065186</v>
      </c>
      <c r="EP125" s="11" t="n">
        <v>935930</v>
      </c>
      <c r="EQ125" s="11" t="n">
        <v>70545652</v>
      </c>
      <c r="ER125" s="11" t="n">
        <v>-13733556</v>
      </c>
      <c r="ES125" s="11" t="n">
        <v>-6495304</v>
      </c>
      <c r="ET125" s="11" t="n">
        <v>-24334</v>
      </c>
      <c r="EU125" s="11" t="n">
        <v>601970</v>
      </c>
      <c r="EV125" s="11" t="n">
        <v>-457156</v>
      </c>
      <c r="EW125" s="11" t="n">
        <v>3381356</v>
      </c>
      <c r="EX125" s="11" t="n">
        <v>-638264</v>
      </c>
      <c r="EY125" s="11" t="n">
        <v>7360454</v>
      </c>
      <c r="EZ125" s="11" t="n">
        <v>7462</v>
      </c>
      <c r="FA125" s="11" t="n">
        <v>-883</v>
      </c>
      <c r="FB125" s="11" t="n">
        <v>11130</v>
      </c>
      <c r="FC125" s="11" t="n">
        <v>1301</v>
      </c>
      <c r="FD125" s="11" t="n">
        <v>-438</v>
      </c>
      <c r="FE125" s="11" t="n">
        <v>-118343</v>
      </c>
      <c r="FF125" s="11" t="n">
        <v>761558</v>
      </c>
      <c r="FG125" s="11" t="n">
        <v>-227907</v>
      </c>
      <c r="FH125" s="11" t="n">
        <v>2267912</v>
      </c>
      <c r="FI125" s="11" t="n">
        <v>86398</v>
      </c>
      <c r="FJ125" s="11" t="n">
        <v>47602</v>
      </c>
      <c r="FK125" s="11" t="n">
        <v>-275315</v>
      </c>
      <c r="FL125" s="11" t="n">
        <v>-472714</v>
      </c>
      <c r="FM125" s="11" t="n">
        <v>3427422</v>
      </c>
      <c r="FN125" s="11" t="n">
        <v>382033</v>
      </c>
      <c r="FO125" s="11" t="n">
        <v>279362</v>
      </c>
      <c r="FP125" s="11" t="n">
        <v>307902</v>
      </c>
      <c r="FQ125" s="11" t="n">
        <v>-2244396</v>
      </c>
      <c r="FR125" s="11" t="n">
        <v>1314952</v>
      </c>
      <c r="FS125" s="11" t="n">
        <v>-3642216</v>
      </c>
      <c r="FT125" s="11" t="n">
        <v>-12865118</v>
      </c>
      <c r="FU125" s="11" t="n">
        <v>94340488</v>
      </c>
      <c r="FV125" s="11" t="n">
        <v>-39856512</v>
      </c>
      <c r="FW125" s="11" t="n">
        <v>174600802</v>
      </c>
      <c r="FX125" s="11" t="n">
        <v>620004</v>
      </c>
      <c r="FY125" s="11" t="n">
        <v>16627576</v>
      </c>
      <c r="FZ125" s="11" t="n">
        <v>24707718</v>
      </c>
      <c r="GA125" s="11" t="n">
        <v>-123851552</v>
      </c>
      <c r="GB125" s="11" t="n">
        <v>-172768332</v>
      </c>
      <c r="GC125" s="11" t="n">
        <v>302208776</v>
      </c>
      <c r="GD125" s="11" t="n">
        <v>-104555</v>
      </c>
      <c r="GE125" s="11" t="n">
        <v>816018</v>
      </c>
      <c r="GF125" s="11" t="n">
        <v>-388293</v>
      </c>
      <c r="GG125" s="11" t="n">
        <v>1111854</v>
      </c>
      <c r="GH125" s="11" t="n">
        <v>59388</v>
      </c>
      <c r="GI125" s="11" t="n">
        <v>64177</v>
      </c>
      <c r="GJ125" s="11" t="n">
        <v>-137706</v>
      </c>
      <c r="GK125" s="11" t="n">
        <v>-721434</v>
      </c>
      <c r="GL125" s="11" t="n">
        <v>1706292</v>
      </c>
      <c r="GM125" s="11" t="n">
        <v>171060</v>
      </c>
      <c r="GN125" s="11" t="n">
        <v>-2270882</v>
      </c>
      <c r="GO125" s="11" t="n">
        <v>2964747</v>
      </c>
      <c r="GP125" s="11" t="n">
        <v>14143849</v>
      </c>
      <c r="GQ125" s="11" t="n">
        <v>-14705364</v>
      </c>
      <c r="GR125" s="11" t="n">
        <v>-134537082</v>
      </c>
      <c r="GS125" s="11" t="n">
        <v>84054549</v>
      </c>
      <c r="GT125" s="11" t="n">
        <v>-3077890</v>
      </c>
      <c r="GU125" s="11" t="n">
        <v>-5042904</v>
      </c>
      <c r="GV125" s="11" t="n">
        <v>-12586421</v>
      </c>
      <c r="GW125" s="11" t="n">
        <v>149691882</v>
      </c>
      <c r="GX125" s="11" t="n">
        <v>-729464</v>
      </c>
      <c r="GY125" s="11" t="n">
        <v>-30005380</v>
      </c>
      <c r="GZ125" s="11" t="n">
        <v>-13972326</v>
      </c>
      <c r="HA125" s="11" t="n">
        <v>36183276</v>
      </c>
      <c r="HB125" s="11" t="n">
        <v>-55035994</v>
      </c>
      <c r="HC125" s="11" t="n">
        <v>14346484</v>
      </c>
      <c r="HD125" s="11" t="n">
        <v>232082</v>
      </c>
      <c r="HE125" s="11" t="n">
        <v>-26423</v>
      </c>
      <c r="HF125" s="11" t="n">
        <v>345030</v>
      </c>
      <c r="HG125" s="11" t="n">
        <v>45271</v>
      </c>
      <c r="HH125" s="11" t="n">
        <v>22902</v>
      </c>
      <c r="HI125" s="11" t="n">
        <v>-5532223</v>
      </c>
      <c r="HJ125" s="11" t="n">
        <v>25704138</v>
      </c>
      <c r="HK125" s="11" t="n">
        <v>-15647777</v>
      </c>
      <c r="HL125" s="11" t="n">
        <v>5506432</v>
      </c>
      <c r="HM125" s="11" t="n">
        <v>5298138</v>
      </c>
      <c r="HN125" s="11" t="n">
        <v>2860672</v>
      </c>
      <c r="HO125" s="11" t="n">
        <v>-80995</v>
      </c>
      <c r="HP125" s="11" t="n">
        <v>-28277094</v>
      </c>
      <c r="HQ125" s="11" t="n">
        <v>5649762</v>
      </c>
      <c r="HR125" s="11" t="n">
        <v>2618243</v>
      </c>
      <c r="HS125" s="11" t="n">
        <v>30437144</v>
      </c>
      <c r="HT125" s="11" t="n">
        <v>9353120</v>
      </c>
      <c r="HU125" s="11" t="n">
        <v>-37352896</v>
      </c>
      <c r="HV125" s="11" t="n">
        <v>55903352</v>
      </c>
      <c r="HW125" s="11" t="n">
        <v>-14460336</v>
      </c>
      <c r="HX125" s="11" t="n">
        <v>-198274046</v>
      </c>
      <c r="HY125" s="11" t="n">
        <v>-26693924</v>
      </c>
      <c r="HZ125" s="11" t="n">
        <v>3102066</v>
      </c>
      <c r="IA125" s="11" t="n">
        <v>3808444</v>
      </c>
      <c r="IB125" s="11" t="n">
        <v>-251527584</v>
      </c>
      <c r="IC125" s="11" t="n">
        <v>365119598</v>
      </c>
      <c r="ID125" s="11" t="n">
        <v>-93027404</v>
      </c>
      <c r="IE125" s="11" t="n">
        <v>45221348</v>
      </c>
      <c r="IF125" s="11" t="n">
        <v>-17355752</v>
      </c>
      <c r="IG125" s="11" t="n">
        <v>8468656</v>
      </c>
      <c r="IH125" s="11" t="n">
        <v>-4078243</v>
      </c>
      <c r="II125" s="11" t="n">
        <v>26280478</v>
      </c>
      <c r="IJ125" s="11" t="n">
        <v>-15896935</v>
      </c>
      <c r="IK125" s="11" t="n">
        <v>5556210</v>
      </c>
      <c r="IL125" s="11" t="n">
        <v>3070928</v>
      </c>
      <c r="IM125" s="11" t="n">
        <v>2605419</v>
      </c>
      <c r="IN125" s="11" t="n">
        <v>-230142</v>
      </c>
      <c r="IO125" s="11" t="n">
        <v>-28759934</v>
      </c>
      <c r="IP125" s="11" t="n">
        <v>5666892</v>
      </c>
      <c r="IQ125" s="11" t="n">
        <v>2652540</v>
      </c>
      <c r="IR125" s="11" t="n">
        <v>-174773330</v>
      </c>
      <c r="IS125" s="11" t="n">
        <v>103971667</v>
      </c>
      <c r="IT125" s="11" t="n">
        <v>-35684047</v>
      </c>
      <c r="IU125" s="11" t="n">
        <v>11263468</v>
      </c>
      <c r="IV125" s="11" t="n">
        <v>-8161238</v>
      </c>
      <c r="IW125" s="11" t="n">
        <v>2555375</v>
      </c>
      <c r="IX125" s="11" t="n">
        <v>-189946322</v>
      </c>
      <c r="IY125" s="11" t="n">
        <v>36732932</v>
      </c>
      <c r="IZ125" s="11" t="n">
        <v>16929753</v>
      </c>
      <c r="JA125" s="11" t="n">
        <v>6502462</v>
      </c>
      <c r="JB125" s="11" t="n">
        <v>358286</v>
      </c>
      <c r="JC125" s="11" t="n">
        <v>1999</v>
      </c>
      <c r="JD125" s="11" t="n">
        <v>486010</v>
      </c>
      <c r="JE125" s="11" t="n">
        <v>267705</v>
      </c>
      <c r="JF125" s="11" t="n">
        <v>1538250</v>
      </c>
      <c r="JG125" s="11" t="n">
        <v>-6780469</v>
      </c>
      <c r="JH125" s="11" t="n">
        <v>37763174</v>
      </c>
      <c r="JI125" s="11" t="n">
        <v>-16020031</v>
      </c>
      <c r="JJ125" s="11" t="n">
        <v>70320016</v>
      </c>
      <c r="JK125" s="11" t="n">
        <v>9408306</v>
      </c>
      <c r="JL125" s="11" t="n">
        <v>4976866</v>
      </c>
      <c r="JM125" s="11" t="n">
        <v>29503319</v>
      </c>
      <c r="JN125" s="11" t="n">
        <v>-49946930</v>
      </c>
      <c r="JO125" s="11" t="n">
        <v>-66742690</v>
      </c>
      <c r="JP125" s="11" t="n">
        <v>121321605</v>
      </c>
      <c r="JQ125" s="11" t="n">
        <v>-13614</v>
      </c>
      <c r="JR125" s="11" t="n">
        <v>14840</v>
      </c>
      <c r="JS125" s="11" t="n">
        <v>-62936</v>
      </c>
      <c r="JT125" s="11" t="n">
        <v>-478152</v>
      </c>
      <c r="JU125" s="11" t="n">
        <v>18550</v>
      </c>
      <c r="JV125" s="11" t="n">
        <v>9821</v>
      </c>
      <c r="JW125" s="11" t="n">
        <v>55782</v>
      </c>
      <c r="JX125" s="11" t="n">
        <v>-96460</v>
      </c>
      <c r="JY125" s="11" t="n">
        <v>-712320</v>
      </c>
      <c r="JZ125" s="11" t="n">
        <v>-87060</v>
      </c>
      <c r="KA125" s="11" t="n">
        <v>1154066</v>
      </c>
      <c r="KB125" s="11" t="n">
        <v>582325</v>
      </c>
      <c r="KC125" s="11" t="n">
        <v>11720892</v>
      </c>
      <c r="KD125" s="11" t="n">
        <v>-5969884</v>
      </c>
      <c r="KE125" s="11" t="n">
        <v>-53309608</v>
      </c>
      <c r="KF125" s="11" t="n">
        <v>33731908</v>
      </c>
      <c r="KG125" s="11" t="n">
        <v>39074</v>
      </c>
      <c r="KH125" s="11" t="n">
        <v>-11241842</v>
      </c>
      <c r="KI125" s="11" t="n">
        <v>-6069313</v>
      </c>
      <c r="KJ125" s="11" t="n">
        <v>59958020</v>
      </c>
      <c r="KK125" s="11" t="n">
        <v>4510501</v>
      </c>
      <c r="KL125" s="11" t="n">
        <v>-38625314</v>
      </c>
      <c r="KM125" s="11" t="n">
        <v>16287593</v>
      </c>
      <c r="KN125" s="11" t="n">
        <v>-71286414</v>
      </c>
      <c r="KO125" s="11" t="n">
        <v>-6333936</v>
      </c>
      <c r="KP125" s="11" t="n">
        <v>-3279293</v>
      </c>
      <c r="KQ125" s="11" t="n">
        <v>-19762926</v>
      </c>
      <c r="KR125" s="11" t="n">
        <v>50954050</v>
      </c>
      <c r="KS125" s="11" t="n">
        <v>69133260</v>
      </c>
      <c r="KT125" s="11" t="n">
        <v>-123192420</v>
      </c>
      <c r="KU125" s="11" t="n">
        <v>255569322</v>
      </c>
      <c r="KV125" s="11" t="n">
        <v>-106560551</v>
      </c>
      <c r="KW125" s="11" t="n">
        <v>463810525</v>
      </c>
      <c r="KX125" s="11" t="n">
        <v>-10347932</v>
      </c>
      <c r="KY125" s="11" t="n">
        <v>67352458</v>
      </c>
      <c r="KZ125" s="11" t="n">
        <v>-9303289</v>
      </c>
      <c r="LA125" s="11" t="n">
        <v>335447082</v>
      </c>
      <c r="LB125" s="11" t="n">
        <v>468473772</v>
      </c>
      <c r="LC125" s="11" t="n">
        <v>-804105551</v>
      </c>
      <c r="LD125" s="11" t="n">
        <v>-107371730</v>
      </c>
      <c r="LE125" s="11" t="n">
        <v>1280846</v>
      </c>
      <c r="LF125" s="11" t="n">
        <v>173419</v>
      </c>
      <c r="LG125" s="11" t="n">
        <v>8728218</v>
      </c>
      <c r="LH125" s="11" t="n">
        <v>-6110244</v>
      </c>
      <c r="LI125" s="11" t="n">
        <v>-54500208</v>
      </c>
      <c r="LJ125" s="11" t="n">
        <v>34258740</v>
      </c>
      <c r="LK125" s="11" t="n">
        <v>687694</v>
      </c>
      <c r="LL125" s="11" t="n">
        <v>-6644652</v>
      </c>
      <c r="LM125" s="11" t="n">
        <v>-5585880</v>
      </c>
      <c r="LN125" s="11" t="n">
        <v>60959640</v>
      </c>
      <c r="LO125" s="11" t="n">
        <v>40086064</v>
      </c>
      <c r="LP125" s="11" t="n">
        <v>362841046</v>
      </c>
      <c r="LQ125" s="11" t="n">
        <v>-224036593</v>
      </c>
      <c r="LR125" s="11" t="n">
        <v>-25255572</v>
      </c>
      <c r="LS125" s="11" t="n">
        <v>402766262</v>
      </c>
    </row>
    <row r="126" customFormat="false" ht="15" hidden="false" customHeight="true" outlineLevel="0" collapsed="false">
      <c r="A126" s="7" t="s">
        <v>192</v>
      </c>
      <c r="B126" s="11" t="n">
        <v>-1514438</v>
      </c>
      <c r="C126" s="11" t="n">
        <v>78678694</v>
      </c>
      <c r="D126" s="11" t="n">
        <v>-2844662</v>
      </c>
      <c r="E126" s="11" t="n">
        <v>763802668</v>
      </c>
      <c r="F126" s="11" t="n">
        <v>-22424390</v>
      </c>
      <c r="G126" s="11" t="n">
        <v>40821796</v>
      </c>
      <c r="H126" s="11" t="n">
        <v>147273030</v>
      </c>
      <c r="I126" s="11" t="n">
        <v>-135089364</v>
      </c>
      <c r="J126" s="11" t="n">
        <v>-3285146</v>
      </c>
      <c r="K126" s="11" t="n">
        <v>11877</v>
      </c>
      <c r="L126" s="11" t="n">
        <v>-8198887</v>
      </c>
      <c r="M126" s="11" t="n">
        <v>186696</v>
      </c>
      <c r="N126" s="11" t="n">
        <v>-499698</v>
      </c>
      <c r="O126" s="11" t="n">
        <v>-1301416</v>
      </c>
      <c r="P126" s="11" t="n">
        <v>4586597</v>
      </c>
      <c r="Q126" s="11" t="n">
        <v>5553653</v>
      </c>
      <c r="R126" s="11" t="n">
        <v>-1230902525</v>
      </c>
      <c r="S126" s="11" t="n">
        <v>38944082</v>
      </c>
      <c r="T126" s="11" t="n">
        <v>-62590858</v>
      </c>
      <c r="U126" s="11" t="n">
        <v>-251855602</v>
      </c>
      <c r="V126" s="11" t="n">
        <v>54753527</v>
      </c>
      <c r="W126" s="11" t="n">
        <v>-9410341</v>
      </c>
      <c r="X126" s="11" t="n">
        <v>174819</v>
      </c>
      <c r="Y126" s="11" t="n">
        <v>-618468</v>
      </c>
      <c r="Z126" s="11" t="n">
        <v>-1289539</v>
      </c>
      <c r="AA126" s="11" t="n">
        <v>7555847</v>
      </c>
      <c r="AB126" s="11" t="n">
        <v>27241879</v>
      </c>
      <c r="AC126" s="11" t="n">
        <v>31019674</v>
      </c>
      <c r="AD126" s="11" t="n">
        <v>-140943319</v>
      </c>
      <c r="AE126" s="11" t="n">
        <v>-1581888856</v>
      </c>
      <c r="AF126" s="11" t="n">
        <v>-2366658</v>
      </c>
      <c r="AG126" s="11" t="n">
        <v>-1114720</v>
      </c>
      <c r="AH126" s="11" t="n">
        <v>51260597</v>
      </c>
      <c r="AI126" s="11" t="n">
        <v>-13513858</v>
      </c>
      <c r="AJ126" s="11" t="n">
        <v>-79058530</v>
      </c>
      <c r="AK126" s="11" t="n">
        <v>-329940597</v>
      </c>
      <c r="AL126" s="11" t="n">
        <v>-33896958</v>
      </c>
      <c r="AM126" s="11" t="n">
        <v>420259</v>
      </c>
      <c r="AN126" s="11" t="n">
        <v>-272909765</v>
      </c>
      <c r="AO126" s="11" t="n">
        <v>3815160</v>
      </c>
      <c r="AP126" s="11" t="n">
        <v>-15745846</v>
      </c>
      <c r="AQ126" s="11" t="n">
        <v>-55338772</v>
      </c>
      <c r="AR126" s="11" t="n">
        <v>48303789</v>
      </c>
      <c r="AS126" s="11" t="n">
        <v>41837275</v>
      </c>
      <c r="AT126" s="11" t="n">
        <v>-2917519943</v>
      </c>
      <c r="AU126" s="11" t="n">
        <v>303707910</v>
      </c>
      <c r="AV126" s="11" t="n">
        <v>-95660638</v>
      </c>
      <c r="AW126" s="11" t="n">
        <v>-421361194</v>
      </c>
      <c r="AX126" s="11" t="n">
        <v>514144167</v>
      </c>
      <c r="AY126" s="11" t="n">
        <v>-300666711</v>
      </c>
      <c r="AZ126" s="11" t="n">
        <v>943445</v>
      </c>
      <c r="BA126" s="11" t="n">
        <v>-18248276</v>
      </c>
      <c r="BB126" s="11" t="n">
        <v>-63077713</v>
      </c>
      <c r="BC126" s="11" t="n">
        <v>53244459</v>
      </c>
      <c r="BD126" s="11" t="n">
        <v>2116828565</v>
      </c>
      <c r="BE126" s="11" t="n">
        <v>585070126</v>
      </c>
      <c r="BF126" s="11" t="n">
        <v>1370576867</v>
      </c>
      <c r="BG126" s="11" t="n">
        <v>-18063684</v>
      </c>
      <c r="BH126" s="11" t="n">
        <v>-130311910</v>
      </c>
      <c r="BI126" s="11" t="n">
        <v>-448396060</v>
      </c>
      <c r="BJ126" s="11" t="n">
        <v>374921565</v>
      </c>
      <c r="BK126" s="11" t="n">
        <v>-39559486</v>
      </c>
      <c r="BL126" s="11" t="n">
        <v>102512550</v>
      </c>
      <c r="BM126" s="11" t="n">
        <v>238923051</v>
      </c>
      <c r="BN126" s="11" t="n">
        <v>645796</v>
      </c>
      <c r="BO126" s="11" t="n">
        <v>-408488888</v>
      </c>
      <c r="BP126" s="11" t="n">
        <v>4097184</v>
      </c>
      <c r="BQ126" s="11" t="n">
        <v>-22971664</v>
      </c>
      <c r="BR126" s="11" t="n">
        <v>-90912868</v>
      </c>
      <c r="BS126" s="11" t="n">
        <v>2121786</v>
      </c>
      <c r="BT126" s="11" t="n">
        <v>-134906</v>
      </c>
      <c r="BU126" s="11" t="n">
        <v>21888</v>
      </c>
      <c r="BV126" s="11" t="n">
        <v>-15180</v>
      </c>
      <c r="BW126" s="11" t="n">
        <v>72850</v>
      </c>
      <c r="BX126" s="11" t="n">
        <v>893965</v>
      </c>
      <c r="BY126" s="11" t="n">
        <v>-12989040</v>
      </c>
      <c r="BZ126" s="11" t="n">
        <v>4803136</v>
      </c>
      <c r="CA126" s="11" t="n">
        <v>-65071798</v>
      </c>
      <c r="CB126" s="11" t="n">
        <v>-565021349</v>
      </c>
      <c r="CC126" s="11" t="n">
        <v>682272</v>
      </c>
      <c r="CD126" s="11" t="n">
        <v>3543504</v>
      </c>
      <c r="CE126" s="11" t="n">
        <v>5599752</v>
      </c>
      <c r="CF126" s="11" t="n">
        <v>-4728340</v>
      </c>
      <c r="CG126" s="11" t="n">
        <v>-31749430</v>
      </c>
      <c r="CH126" s="11" t="n">
        <v>-126088570</v>
      </c>
      <c r="CI126" s="11" t="n">
        <v>448593034</v>
      </c>
      <c r="CJ126" s="11" t="n">
        <v>729220</v>
      </c>
      <c r="CK126" s="11" t="n">
        <v>26530244</v>
      </c>
      <c r="CL126" s="11" t="n">
        <v>104181422</v>
      </c>
      <c r="CM126" s="11" t="n">
        <v>7176529</v>
      </c>
      <c r="CN126" s="11" t="n">
        <v>-3307308296</v>
      </c>
      <c r="CO126" s="11" t="n">
        <v>-824380176</v>
      </c>
      <c r="CP126" s="11" t="n">
        <v>-2747111994</v>
      </c>
      <c r="CQ126" s="11" t="n">
        <v>-6013277831</v>
      </c>
      <c r="CR126" s="11" t="n">
        <v>194257456</v>
      </c>
      <c r="CS126" s="11" t="n">
        <v>763624948</v>
      </c>
      <c r="CT126" s="11" t="n">
        <v>43134846</v>
      </c>
      <c r="CU126" s="11" t="n">
        <v>28987404</v>
      </c>
      <c r="CV126" s="11" t="n">
        <v>-342442990</v>
      </c>
      <c r="CW126" s="11" t="n">
        <v>-1352578084</v>
      </c>
      <c r="CX126" s="11" t="n">
        <v>-15356522</v>
      </c>
      <c r="CY126" s="11" t="n">
        <v>5002436</v>
      </c>
      <c r="CZ126" s="11" t="n">
        <v>-72367592</v>
      </c>
      <c r="DA126" s="11" t="n">
        <v>-622479279</v>
      </c>
      <c r="DB126" s="11" t="n">
        <v>916332</v>
      </c>
      <c r="DC126" s="11" t="n">
        <v>3448766</v>
      </c>
      <c r="DD126" s="11" t="n">
        <v>-766213</v>
      </c>
      <c r="DE126" s="11" t="n">
        <v>-5441660</v>
      </c>
      <c r="DF126" s="11" t="n">
        <v>-36894080</v>
      </c>
      <c r="DG126" s="11" t="n">
        <v>-143407105</v>
      </c>
      <c r="DH126" s="11" t="n">
        <v>-65101792</v>
      </c>
      <c r="DI126" s="11" t="n">
        <v>439498246</v>
      </c>
      <c r="DJ126" s="11" t="n">
        <v>4383456053</v>
      </c>
      <c r="DK126" s="11" t="n">
        <v>163624164</v>
      </c>
      <c r="DL126" s="11" t="n">
        <v>1210987630</v>
      </c>
      <c r="DM126" s="11" t="n">
        <v>2841894011</v>
      </c>
      <c r="DN126" s="11" t="n">
        <v>-40845652</v>
      </c>
      <c r="DO126" s="11" t="n">
        <v>-258314950</v>
      </c>
      <c r="DP126" s="11" t="n">
        <v>-1006364818</v>
      </c>
      <c r="DQ126" s="11" t="n">
        <v>-110550130</v>
      </c>
      <c r="DR126" s="11" t="n">
        <v>-236362</v>
      </c>
      <c r="DS126" s="11" t="n">
        <v>-6792</v>
      </c>
      <c r="DT126" s="11" t="n">
        <v>2181524</v>
      </c>
      <c r="DU126" s="11" t="n">
        <v>-71954</v>
      </c>
      <c r="DV126" s="11" t="n">
        <v>33288</v>
      </c>
      <c r="DW126" s="11" t="n">
        <v>243880</v>
      </c>
      <c r="DX126" s="11" t="n">
        <v>-396954</v>
      </c>
      <c r="DY126" s="11" t="n">
        <v>796834</v>
      </c>
      <c r="DZ126" s="11" t="n">
        <v>-232543944</v>
      </c>
      <c r="EA126" s="11" t="n">
        <v>7238012</v>
      </c>
      <c r="EB126" s="11" t="n">
        <v>-8100548</v>
      </c>
      <c r="EC126" s="11" t="n">
        <v>-35655410</v>
      </c>
      <c r="ED126" s="11" t="n">
        <v>41706438</v>
      </c>
      <c r="EE126" s="11" t="n">
        <v>672164</v>
      </c>
      <c r="EF126" s="11" t="n">
        <v>-34586</v>
      </c>
      <c r="EG126" s="11" t="n">
        <v>-120552</v>
      </c>
      <c r="EH126" s="11" t="n">
        <v>-202400</v>
      </c>
      <c r="EI126" s="11" t="n">
        <v>-139770</v>
      </c>
      <c r="EJ126" s="11" t="n">
        <v>3987824</v>
      </c>
      <c r="EK126" s="11" t="n">
        <v>42014440</v>
      </c>
      <c r="EL126" s="11" t="n">
        <v>89144260</v>
      </c>
      <c r="EM126" s="11" t="n">
        <v>5608572</v>
      </c>
      <c r="EN126" s="11" t="n">
        <v>-1446628</v>
      </c>
      <c r="EO126" s="11" t="n">
        <v>-3386090</v>
      </c>
      <c r="EP126" s="11" t="n">
        <v>540642</v>
      </c>
      <c r="EQ126" s="11" t="n">
        <v>-3336680</v>
      </c>
      <c r="ER126" s="11" t="n">
        <v>7730604</v>
      </c>
      <c r="ES126" s="11" t="n">
        <v>16847850</v>
      </c>
      <c r="ET126" s="11" t="n">
        <v>-16587</v>
      </c>
      <c r="EU126" s="11" t="n">
        <v>6011821</v>
      </c>
      <c r="EV126" s="11" t="n">
        <v>-185222</v>
      </c>
      <c r="EW126" s="11" t="n">
        <v>150198</v>
      </c>
      <c r="EX126" s="11" t="n">
        <v>732144</v>
      </c>
      <c r="EY126" s="11" t="n">
        <v>-1576921</v>
      </c>
      <c r="EZ126" s="11" t="n">
        <v>19662</v>
      </c>
      <c r="FA126" s="11" t="n">
        <v>-273</v>
      </c>
      <c r="FB126" s="11" t="n">
        <v>1980</v>
      </c>
      <c r="FC126" s="11" t="n">
        <v>3924</v>
      </c>
      <c r="FD126" s="11" t="n">
        <v>-17457</v>
      </c>
      <c r="FE126" s="11" t="n">
        <v>-120613</v>
      </c>
      <c r="FF126" s="11" t="n">
        <v>-539592</v>
      </c>
      <c r="FG126" s="11" t="n">
        <v>-554348</v>
      </c>
      <c r="FH126" s="11" t="n">
        <v>4457885</v>
      </c>
      <c r="FI126" s="11" t="n">
        <v>19638</v>
      </c>
      <c r="FJ126" s="11" t="n">
        <v>31768</v>
      </c>
      <c r="FK126" s="11" t="n">
        <v>-168983</v>
      </c>
      <c r="FL126" s="11" t="n">
        <v>51864</v>
      </c>
      <c r="FM126" s="11" t="n">
        <v>-30162</v>
      </c>
      <c r="FN126" s="11" t="n">
        <v>397492</v>
      </c>
      <c r="FO126" s="11" t="n">
        <v>-3948253</v>
      </c>
      <c r="FP126" s="11" t="n">
        <v>116492</v>
      </c>
      <c r="FQ126" s="11" t="n">
        <v>62112</v>
      </c>
      <c r="FR126" s="11" t="n">
        <v>33927</v>
      </c>
      <c r="FS126" s="11" t="n">
        <v>2389384</v>
      </c>
      <c r="FT126" s="11" t="n">
        <v>1867382</v>
      </c>
      <c r="FU126" s="11" t="n">
        <v>-58264058</v>
      </c>
      <c r="FV126" s="11" t="n">
        <v>-186570977</v>
      </c>
      <c r="FW126" s="11" t="n">
        <v>-490653273</v>
      </c>
      <c r="FX126" s="11" t="n">
        <v>1748440</v>
      </c>
      <c r="FY126" s="11" t="n">
        <v>5520766</v>
      </c>
      <c r="FZ126" s="11" t="n">
        <v>15606668</v>
      </c>
      <c r="GA126" s="11" t="n">
        <v>2434386</v>
      </c>
      <c r="GB126" s="11" t="n">
        <v>-27541232</v>
      </c>
      <c r="GC126" s="11" t="n">
        <v>-108691949</v>
      </c>
      <c r="GD126" s="11" t="n">
        <v>-73105</v>
      </c>
      <c r="GE126" s="11" t="n">
        <v>-544932</v>
      </c>
      <c r="GF126" s="11" t="n">
        <v>-974258</v>
      </c>
      <c r="GG126" s="11" t="n">
        <v>1322999</v>
      </c>
      <c r="GH126" s="11" t="n">
        <v>14928</v>
      </c>
      <c r="GI126" s="11" t="n">
        <v>28117</v>
      </c>
      <c r="GJ126" s="11" t="n">
        <v>-83276</v>
      </c>
      <c r="GK126" s="11" t="n">
        <v>10644</v>
      </c>
      <c r="GL126" s="11" t="n">
        <v>-350592</v>
      </c>
      <c r="GM126" s="11" t="n">
        <v>-600965</v>
      </c>
      <c r="GN126" s="11" t="n">
        <v>1336538</v>
      </c>
      <c r="GO126" s="11" t="n">
        <v>3915297</v>
      </c>
      <c r="GP126" s="11" t="n">
        <v>8459099</v>
      </c>
      <c r="GQ126" s="11" t="n">
        <v>11373200</v>
      </c>
      <c r="GR126" s="11" t="n">
        <v>87242626</v>
      </c>
      <c r="GS126" s="11" t="n">
        <v>183589069</v>
      </c>
      <c r="GT126" s="11" t="n">
        <v>-285454</v>
      </c>
      <c r="GU126" s="11" t="n">
        <v>-3249832</v>
      </c>
      <c r="GV126" s="11" t="n">
        <v>-7713491</v>
      </c>
      <c r="GW126" s="11" t="n">
        <v>-9021242</v>
      </c>
      <c r="GX126" s="11" t="n">
        <v>-217613</v>
      </c>
      <c r="GY126" s="11" t="n">
        <v>91421719</v>
      </c>
      <c r="GZ126" s="11" t="n">
        <v>-2205954</v>
      </c>
      <c r="HA126" s="11" t="n">
        <v>3202562</v>
      </c>
      <c r="HB126" s="11" t="n">
        <v>14095508</v>
      </c>
      <c r="HC126" s="11" t="n">
        <v>-16423725</v>
      </c>
      <c r="HD126" s="11" t="n">
        <v>618578</v>
      </c>
      <c r="HE126" s="11" t="n">
        <v>2857</v>
      </c>
      <c r="HF126" s="11" t="n">
        <v>61380</v>
      </c>
      <c r="HG126" s="11" t="n">
        <v>180508</v>
      </c>
      <c r="HH126" s="11" t="n">
        <v>-106479</v>
      </c>
      <c r="HI126" s="11" t="n">
        <v>-7470815</v>
      </c>
      <c r="HJ126" s="11" t="n">
        <v>-16682968</v>
      </c>
      <c r="HK126" s="11" t="n">
        <v>-35766156</v>
      </c>
      <c r="HL126" s="11" t="n">
        <v>-1952373</v>
      </c>
      <c r="HM126" s="11" t="n">
        <v>664258</v>
      </c>
      <c r="HN126" s="11" t="n">
        <v>2014876</v>
      </c>
      <c r="HO126" s="11" t="n">
        <v>-1295007</v>
      </c>
      <c r="HP126" s="11" t="n">
        <v>1319288</v>
      </c>
      <c r="HQ126" s="11" t="n">
        <v>-3065454</v>
      </c>
      <c r="HR126" s="11" t="n">
        <v>-6726336</v>
      </c>
      <c r="HS126" s="11" t="n">
        <v>-94107127</v>
      </c>
      <c r="HT126" s="11" t="n">
        <v>772940</v>
      </c>
      <c r="HU126" s="11" t="n">
        <v>-3338632</v>
      </c>
      <c r="HV126" s="11" t="n">
        <v>-14692291</v>
      </c>
      <c r="HW126" s="11" t="n">
        <v>16970238</v>
      </c>
      <c r="HX126" s="11" t="n">
        <v>629247746</v>
      </c>
      <c r="HY126" s="11" t="n">
        <v>17644018</v>
      </c>
      <c r="HZ126" s="11" t="n">
        <v>76772701</v>
      </c>
      <c r="IA126" s="11" t="n">
        <v>-26922819</v>
      </c>
      <c r="IB126" s="11" t="n">
        <v>-22468696</v>
      </c>
      <c r="IC126" s="11" t="n">
        <v>-98870638</v>
      </c>
      <c r="ID126" s="11" t="n">
        <v>113692704</v>
      </c>
      <c r="IE126" s="11" t="n">
        <v>-30978</v>
      </c>
      <c r="IF126" s="11" t="n">
        <v>2226588</v>
      </c>
      <c r="IG126" s="11" t="n">
        <v>9641067</v>
      </c>
      <c r="IH126" s="11" t="n">
        <v>-3432643</v>
      </c>
      <c r="II126" s="11" t="n">
        <v>-17053628</v>
      </c>
      <c r="IJ126" s="11" t="n">
        <v>-36297286</v>
      </c>
      <c r="IK126" s="11" t="n">
        <v>-2191887</v>
      </c>
      <c r="IL126" s="11" t="n">
        <v>261848</v>
      </c>
      <c r="IM126" s="11" t="n">
        <v>834039</v>
      </c>
      <c r="IN126" s="11" t="n">
        <v>-601002</v>
      </c>
      <c r="IO126" s="11" t="n">
        <v>1374748</v>
      </c>
      <c r="IP126" s="11" t="n">
        <v>-3153024</v>
      </c>
      <c r="IQ126" s="11" t="n">
        <v>-6887655</v>
      </c>
      <c r="IR126" s="11" t="n">
        <v>113385582</v>
      </c>
      <c r="IS126" s="11" t="n">
        <v>239901619</v>
      </c>
      <c r="IT126" s="11" t="n">
        <v>15638097</v>
      </c>
      <c r="IU126" s="11" t="n">
        <v>-7107040</v>
      </c>
      <c r="IV126" s="11" t="n">
        <v>5289774</v>
      </c>
      <c r="IW126" s="11" t="n">
        <v>12172323</v>
      </c>
      <c r="IX126" s="11" t="n">
        <v>9249502</v>
      </c>
      <c r="IY126" s="11" t="n">
        <v>-21044940</v>
      </c>
      <c r="IZ126" s="11" t="n">
        <v>-45802647</v>
      </c>
      <c r="JA126" s="11" t="n">
        <v>887586</v>
      </c>
      <c r="JB126" s="11" t="n">
        <v>880690</v>
      </c>
      <c r="JC126" s="11" t="n">
        <v>15724</v>
      </c>
      <c r="JD126" s="11" t="n">
        <v>86460</v>
      </c>
      <c r="JE126" s="11" t="n">
        <v>315102</v>
      </c>
      <c r="JF126" s="11" t="n">
        <v>299279</v>
      </c>
      <c r="JG126" s="11" t="n">
        <v>-15533432</v>
      </c>
      <c r="JH126" s="11" t="n">
        <v>-23361920</v>
      </c>
      <c r="JI126" s="11" t="n">
        <v>-75332786</v>
      </c>
      <c r="JJ126" s="11" t="n">
        <v>-192198127</v>
      </c>
      <c r="JK126" s="11" t="n">
        <v>1107856</v>
      </c>
      <c r="JL126" s="11" t="n">
        <v>4212700</v>
      </c>
      <c r="JM126" s="11" t="n">
        <v>1847082</v>
      </c>
      <c r="JN126" s="11" t="n">
        <v>963012</v>
      </c>
      <c r="JO126" s="11" t="n">
        <v>-10929746</v>
      </c>
      <c r="JP126" s="11" t="n">
        <v>-43166714</v>
      </c>
      <c r="JQ126" s="11" t="n">
        <v>-33134</v>
      </c>
      <c r="JR126" s="11" t="n">
        <v>2640</v>
      </c>
      <c r="JS126" s="11" t="n">
        <v>-165172</v>
      </c>
      <c r="JT126" s="11" t="n">
        <v>-1281644</v>
      </c>
      <c r="JU126" s="11" t="n">
        <v>3300</v>
      </c>
      <c r="JV126" s="11" t="n">
        <v>8906</v>
      </c>
      <c r="JW126" s="11" t="n">
        <v>-11623</v>
      </c>
      <c r="JX126" s="11" t="n">
        <v>-17160</v>
      </c>
      <c r="JY126" s="11" t="n">
        <v>-126720</v>
      </c>
      <c r="JZ126" s="11" t="n">
        <v>-402430</v>
      </c>
      <c r="KA126" s="11" t="n">
        <v>-925504</v>
      </c>
      <c r="KB126" s="11" t="n">
        <v>79042</v>
      </c>
      <c r="KC126" s="11" t="n">
        <v>15374351</v>
      </c>
      <c r="KD126" s="11" t="n">
        <v>4607312</v>
      </c>
      <c r="KE126" s="11" t="n">
        <v>34574104</v>
      </c>
      <c r="KF126" s="11" t="n">
        <v>73583286</v>
      </c>
      <c r="KG126" s="11" t="n">
        <v>-256636</v>
      </c>
      <c r="KH126" s="11" t="n">
        <v>-1206562</v>
      </c>
      <c r="KI126" s="11" t="n">
        <v>-4160158</v>
      </c>
      <c r="KJ126" s="11" t="n">
        <v>-3580700</v>
      </c>
      <c r="KK126" s="11" t="n">
        <v>9927996</v>
      </c>
      <c r="KL126" s="11" t="n">
        <v>23878180</v>
      </c>
      <c r="KM126" s="11" t="n">
        <v>76806028</v>
      </c>
      <c r="KN126" s="11" t="n">
        <v>198103081</v>
      </c>
      <c r="KO126" s="11" t="n">
        <v>-548336</v>
      </c>
      <c r="KP126" s="11" t="n">
        <v>-2180828</v>
      </c>
      <c r="KQ126" s="11" t="n">
        <v>163204</v>
      </c>
      <c r="KR126" s="11" t="n">
        <v>-1003092</v>
      </c>
      <c r="KS126" s="11" t="n">
        <v>11334016</v>
      </c>
      <c r="KT126" s="11" t="n">
        <v>44778805</v>
      </c>
      <c r="KU126" s="11" t="n">
        <v>-157800176</v>
      </c>
      <c r="KV126" s="11" t="n">
        <v>-505464596</v>
      </c>
      <c r="KW126" s="11" t="n">
        <v>-1327457450</v>
      </c>
      <c r="KX126" s="11" t="n">
        <v>5079588</v>
      </c>
      <c r="KY126" s="11" t="n">
        <v>-43973314</v>
      </c>
      <c r="KZ126" s="11" t="n">
        <v>-183585919</v>
      </c>
      <c r="LA126" s="11" t="n">
        <v>-6745632</v>
      </c>
      <c r="LB126" s="11" t="n">
        <v>75911224</v>
      </c>
      <c r="LC126" s="11" t="n">
        <v>299904454</v>
      </c>
      <c r="LD126" s="11" t="n">
        <v>-563814</v>
      </c>
      <c r="LE126" s="11" t="n">
        <v>-928124</v>
      </c>
      <c r="LF126" s="11" t="n">
        <v>-1027676</v>
      </c>
      <c r="LG126" s="11" t="n">
        <v>6994753</v>
      </c>
      <c r="LH126" s="11" t="n">
        <v>4708552</v>
      </c>
      <c r="LI126" s="11" t="n">
        <v>35343104</v>
      </c>
      <c r="LJ126" s="11" t="n">
        <v>74619790</v>
      </c>
      <c r="LK126" s="11" t="n">
        <v>-147116</v>
      </c>
      <c r="LL126" s="11" t="n">
        <v>-371072</v>
      </c>
      <c r="LM126" s="11" t="n">
        <v>-1519605</v>
      </c>
      <c r="LN126" s="11" t="n">
        <v>-3719680</v>
      </c>
      <c r="LO126" s="11" t="n">
        <v>-30919268</v>
      </c>
      <c r="LP126" s="11" t="n">
        <v>-235275918</v>
      </c>
      <c r="LQ126" s="11" t="n">
        <v>-493533253</v>
      </c>
      <c r="LR126" s="11" t="n">
        <v>16189636</v>
      </c>
      <c r="LS126" s="11" t="n">
        <v>-24931558</v>
      </c>
    </row>
    <row r="127" customFormat="false" ht="15" hidden="false" customHeight="true" outlineLevel="0" collapsed="false">
      <c r="A127" s="7" t="s">
        <v>193</v>
      </c>
      <c r="B127" s="11" t="n">
        <v>-1811550</v>
      </c>
      <c r="C127" s="11" t="n">
        <v>-815412324</v>
      </c>
      <c r="D127" s="11" t="n">
        <v>-2867448</v>
      </c>
      <c r="E127" s="11" t="n">
        <v>506587218</v>
      </c>
      <c r="F127" s="11" t="n">
        <v>13643466</v>
      </c>
      <c r="G127" s="11" t="n">
        <v>-397352748</v>
      </c>
      <c r="H127" s="11" t="n">
        <v>117633816</v>
      </c>
      <c r="I127" s="11" t="n">
        <v>-171857124</v>
      </c>
      <c r="J127" s="11" t="n">
        <v>5852275</v>
      </c>
      <c r="K127" s="11" t="n">
        <v>8450</v>
      </c>
      <c r="L127" s="11" t="n">
        <v>-5429450</v>
      </c>
      <c r="M127" s="11" t="n">
        <v>-211900</v>
      </c>
      <c r="N127" s="11" t="n">
        <v>4200950</v>
      </c>
      <c r="O127" s="11" t="n">
        <v>-927225</v>
      </c>
      <c r="P127" s="11" t="n">
        <v>5596825</v>
      </c>
      <c r="Q127" s="11" t="n">
        <v>-5459888</v>
      </c>
      <c r="R127" s="11" t="n">
        <v>-807348807</v>
      </c>
      <c r="S127" s="11" t="n">
        <v>-51304439</v>
      </c>
      <c r="T127" s="11" t="n">
        <v>607263862</v>
      </c>
      <c r="U127" s="11" t="n">
        <v>-37341090</v>
      </c>
      <c r="V127" s="11" t="n">
        <v>1964044564</v>
      </c>
      <c r="W127" s="11" t="n">
        <v>-6231130</v>
      </c>
      <c r="X127" s="11" t="n">
        <v>-271770</v>
      </c>
      <c r="Y127" s="11" t="n">
        <v>4796100</v>
      </c>
      <c r="Z127" s="11" t="n">
        <v>-918972</v>
      </c>
      <c r="AA127" s="11" t="n">
        <v>8057416</v>
      </c>
      <c r="AB127" s="11" t="n">
        <v>18365110</v>
      </c>
      <c r="AC127" s="11" t="n">
        <v>16151530</v>
      </c>
      <c r="AD127" s="11" t="n">
        <v>-93271833</v>
      </c>
      <c r="AE127" s="11" t="n">
        <v>-1050034691</v>
      </c>
      <c r="AF127" s="11" t="n">
        <v>14840070</v>
      </c>
      <c r="AG127" s="11" t="n">
        <v>-6776541</v>
      </c>
      <c r="AH127" s="11" t="n">
        <v>-22049387</v>
      </c>
      <c r="AI127" s="11" t="n">
        <v>69409278</v>
      </c>
      <c r="AJ127" s="11" t="n">
        <v>829096966</v>
      </c>
      <c r="AK127" s="11" t="n">
        <v>-275468886</v>
      </c>
      <c r="AL127" s="11" t="n">
        <v>282160515</v>
      </c>
      <c r="AM127" s="11" t="n">
        <v>312780</v>
      </c>
      <c r="AN127" s="11" t="n">
        <v>-182021580</v>
      </c>
      <c r="AO127" s="11" t="n">
        <v>-9794460</v>
      </c>
      <c r="AP127" s="11" t="n">
        <v>139474530</v>
      </c>
      <c r="AQ127" s="11" t="n">
        <v>-45427785</v>
      </c>
      <c r="AR127" s="11" t="n">
        <v>61422465</v>
      </c>
      <c r="AS127" s="11" t="n">
        <v>-305835300</v>
      </c>
      <c r="AT127" s="11" t="n">
        <v>-3027092403</v>
      </c>
      <c r="AU127" s="11" t="n">
        <v>-2283611271</v>
      </c>
      <c r="AV127" s="11" t="n">
        <v>889842750</v>
      </c>
      <c r="AW127" s="11" t="n">
        <v>-2125670082</v>
      </c>
      <c r="AX127" s="11" t="n">
        <v>879545316</v>
      </c>
      <c r="AY127" s="11" t="n">
        <v>-200649756</v>
      </c>
      <c r="AZ127" s="11" t="n">
        <v>-13147692</v>
      </c>
      <c r="BA127" s="11" t="n">
        <v>152163600</v>
      </c>
      <c r="BB127" s="11" t="n">
        <v>-51595764</v>
      </c>
      <c r="BC127" s="11" t="n">
        <v>67551132</v>
      </c>
      <c r="BD127" s="11" t="n">
        <v>1368078720</v>
      </c>
      <c r="BE127" s="11" t="n">
        <v>922282506</v>
      </c>
      <c r="BF127" s="11" t="n">
        <v>883907247</v>
      </c>
      <c r="BG127" s="11" t="n">
        <v>91562241</v>
      </c>
      <c r="BH127" s="11" t="n">
        <v>1097921442</v>
      </c>
      <c r="BI127" s="11" t="n">
        <v>-293873901</v>
      </c>
      <c r="BJ127" s="11" t="n">
        <v>466579677</v>
      </c>
      <c r="BK127" s="11" t="n">
        <v>-907473714</v>
      </c>
      <c r="BL127" s="11" t="n">
        <v>241060782</v>
      </c>
      <c r="BM127" s="11" t="n">
        <v>321122538</v>
      </c>
      <c r="BN127" s="11" t="n">
        <v>305695</v>
      </c>
      <c r="BO127" s="11" t="n">
        <v>-257644595</v>
      </c>
      <c r="BP127" s="11" t="n">
        <v>-1363440</v>
      </c>
      <c r="BQ127" s="11" t="n">
        <v>203747570</v>
      </c>
      <c r="BR127" s="11" t="n">
        <v>2334800</v>
      </c>
      <c r="BS127" s="11" t="n">
        <v>673313940</v>
      </c>
      <c r="BT127" s="11" t="n">
        <v>-88400</v>
      </c>
      <c r="BU127" s="11" t="n">
        <v>9100</v>
      </c>
      <c r="BV127" s="11" t="n">
        <v>74750</v>
      </c>
      <c r="BW127" s="11" t="n">
        <v>51805</v>
      </c>
      <c r="BX127" s="11" t="n">
        <v>679835</v>
      </c>
      <c r="BY127" s="11" t="n">
        <v>-8063900</v>
      </c>
      <c r="BZ127" s="11" t="n">
        <v>-4081350</v>
      </c>
      <c r="CA127" s="11" t="n">
        <v>-42986905</v>
      </c>
      <c r="CB127" s="11" t="n">
        <v>-378268735</v>
      </c>
      <c r="CC127" s="11" t="n">
        <v>-6398600</v>
      </c>
      <c r="CD127" s="11" t="n">
        <v>-300560</v>
      </c>
      <c r="CE127" s="11" t="n">
        <v>-23075520</v>
      </c>
      <c r="CF127" s="11" t="n">
        <v>33957430</v>
      </c>
      <c r="CG127" s="11" t="n">
        <v>288472210</v>
      </c>
      <c r="CH127" s="11" t="n">
        <v>-108911660</v>
      </c>
      <c r="CI127" s="11" t="n">
        <v>282541939</v>
      </c>
      <c r="CJ127" s="11" t="n">
        <v>3951923</v>
      </c>
      <c r="CK127" s="11" t="n">
        <v>-221807150</v>
      </c>
      <c r="CL127" s="11" t="n">
        <v>-227734</v>
      </c>
      <c r="CM127" s="11" t="n">
        <v>-730761508</v>
      </c>
      <c r="CN127" s="11" t="n">
        <v>-2070569095</v>
      </c>
      <c r="CO127" s="11" t="n">
        <v>-1373330164</v>
      </c>
      <c r="CP127" s="11" t="n">
        <v>-1966026546</v>
      </c>
      <c r="CQ127" s="11" t="n">
        <v>-6420364720</v>
      </c>
      <c r="CR127" s="11" t="n">
        <v>-1644691498</v>
      </c>
      <c r="CS127" s="11" t="n">
        <v>-29167792</v>
      </c>
      <c r="CT127" s="11" t="n">
        <v>-5445085380</v>
      </c>
      <c r="CU127" s="11" t="n">
        <v>1542305516</v>
      </c>
      <c r="CV127" s="11" t="n">
        <v>1488295792</v>
      </c>
      <c r="CW127" s="11" t="n">
        <v>-5079721592</v>
      </c>
      <c r="CX127" s="11" t="n">
        <v>-9553580</v>
      </c>
      <c r="CY127" s="11" t="n">
        <v>-4946950</v>
      </c>
      <c r="CZ127" s="11" t="n">
        <v>-47815481</v>
      </c>
      <c r="DA127" s="11" t="n">
        <v>-417025407</v>
      </c>
      <c r="DB127" s="11" t="n">
        <v>-7569150</v>
      </c>
      <c r="DC127" s="11" t="n">
        <v>-676497</v>
      </c>
      <c r="DD127" s="11" t="n">
        <v>-30542159</v>
      </c>
      <c r="DE127" s="11" t="n">
        <v>37533150</v>
      </c>
      <c r="DF127" s="11" t="n">
        <v>314587550</v>
      </c>
      <c r="DG127" s="11" t="n">
        <v>-123332990</v>
      </c>
      <c r="DH127" s="11" t="n">
        <v>-10183330</v>
      </c>
      <c r="DI127" s="11" t="n">
        <v>283931885</v>
      </c>
      <c r="DJ127" s="11" t="n">
        <v>2839020835</v>
      </c>
      <c r="DK127" s="11" t="n">
        <v>197990456</v>
      </c>
      <c r="DL127" s="11" t="n">
        <v>1914591332</v>
      </c>
      <c r="DM127" s="11" t="n">
        <v>1815271018</v>
      </c>
      <c r="DN127" s="11" t="n">
        <v>225675822</v>
      </c>
      <c r="DO127" s="11" t="n">
        <v>2281866634</v>
      </c>
      <c r="DP127" s="11" t="n">
        <v>-706677884</v>
      </c>
      <c r="DQ127" s="11" t="n">
        <v>-1935598940</v>
      </c>
      <c r="DR127" s="11" t="n">
        <v>-2822040</v>
      </c>
      <c r="DS127" s="11" t="n">
        <v>-6630</v>
      </c>
      <c r="DT127" s="11" t="n">
        <v>1473030</v>
      </c>
      <c r="DU127" s="11" t="n">
        <v>26910</v>
      </c>
      <c r="DV127" s="11" t="n">
        <v>-1205880</v>
      </c>
      <c r="DW127" s="11" t="n">
        <v>128310</v>
      </c>
      <c r="DX127" s="11" t="n">
        <v>-503490</v>
      </c>
      <c r="DY127" s="11" t="n">
        <v>1482636</v>
      </c>
      <c r="DZ127" s="11" t="n">
        <v>-126125460</v>
      </c>
      <c r="EA127" s="11" t="n">
        <v>-9141156</v>
      </c>
      <c r="EB127" s="11" t="n">
        <v>76208736</v>
      </c>
      <c r="EC127" s="11" t="n">
        <v>-125495724</v>
      </c>
      <c r="ED127" s="11" t="n">
        <v>41089524</v>
      </c>
      <c r="EE127" s="11" t="n">
        <v>477582</v>
      </c>
      <c r="EF127" s="11" t="n">
        <v>-7338</v>
      </c>
      <c r="EG127" s="11" t="n">
        <v>-454500</v>
      </c>
      <c r="EH127" s="11" t="n">
        <v>-227424</v>
      </c>
      <c r="EI127" s="11" t="n">
        <v>-167988</v>
      </c>
      <c r="EJ127" s="11" t="n">
        <v>3568752</v>
      </c>
      <c r="EK127" s="11" t="n">
        <v>14115468</v>
      </c>
      <c r="EL127" s="11" t="n">
        <v>59770878</v>
      </c>
      <c r="EM127" s="11" t="n">
        <v>1054842</v>
      </c>
      <c r="EN127" s="11" t="n">
        <v>3179388</v>
      </c>
      <c r="EO127" s="11" t="n">
        <v>781062</v>
      </c>
      <c r="EP127" s="11" t="n">
        <v>1239090</v>
      </c>
      <c r="EQ127" s="11" t="n">
        <v>-50160324</v>
      </c>
      <c r="ER127" s="11" t="n">
        <v>3961212</v>
      </c>
      <c r="ES127" s="11" t="n">
        <v>20521908</v>
      </c>
      <c r="ET127" s="11" t="n">
        <v>8255</v>
      </c>
      <c r="EU127" s="11" t="n">
        <v>3699345</v>
      </c>
      <c r="EV127" s="11" t="n">
        <v>243165</v>
      </c>
      <c r="EW127" s="11" t="n">
        <v>-2648620</v>
      </c>
      <c r="EX127" s="11" t="n">
        <v>1029925</v>
      </c>
      <c r="EY127" s="11" t="n">
        <v>-7092215</v>
      </c>
      <c r="EZ127" s="11" t="n">
        <v>13000</v>
      </c>
      <c r="FA127" s="11" t="n">
        <v>650</v>
      </c>
      <c r="FB127" s="11" t="n">
        <v>-9750</v>
      </c>
      <c r="FC127" s="11" t="n">
        <v>2795</v>
      </c>
      <c r="FD127" s="11" t="n">
        <v>-18135</v>
      </c>
      <c r="FE127" s="11" t="n">
        <v>-91650</v>
      </c>
      <c r="FF127" s="11" t="n">
        <v>-198250</v>
      </c>
      <c r="FG127" s="11" t="n">
        <v>-369395</v>
      </c>
      <c r="FH127" s="11" t="n">
        <v>3041935</v>
      </c>
      <c r="FI127" s="11" t="n">
        <v>-78650</v>
      </c>
      <c r="FJ127" s="11" t="n">
        <v>1235</v>
      </c>
      <c r="FK127" s="11" t="n">
        <v>24245</v>
      </c>
      <c r="FL127" s="11" t="n">
        <v>319670</v>
      </c>
      <c r="FM127" s="11" t="n">
        <v>-2558010</v>
      </c>
      <c r="FN127" s="11" t="n">
        <v>138710</v>
      </c>
      <c r="FO127" s="11" t="n">
        <v>-2312493</v>
      </c>
      <c r="FP127" s="11" t="n">
        <v>-154493</v>
      </c>
      <c r="FQ127" s="11" t="n">
        <v>1614450</v>
      </c>
      <c r="FR127" s="11" t="n">
        <v>-908198</v>
      </c>
      <c r="FS127" s="11" t="n">
        <v>3846284</v>
      </c>
      <c r="FT127" s="11" t="n">
        <v>-1115148</v>
      </c>
      <c r="FU127" s="11" t="n">
        <v>-18474582</v>
      </c>
      <c r="FV127" s="11" t="n">
        <v>-118478907</v>
      </c>
      <c r="FW127" s="11" t="n">
        <v>-263109153</v>
      </c>
      <c r="FX127" s="11" t="n">
        <v>-2012782</v>
      </c>
      <c r="FY127" s="11" t="n">
        <v>-7477379</v>
      </c>
      <c r="FZ127" s="11" t="n">
        <v>-19432577</v>
      </c>
      <c r="GA127" s="11" t="n">
        <v>89970802</v>
      </c>
      <c r="GB127" s="11" t="n">
        <v>152959634</v>
      </c>
      <c r="GC127" s="11" t="n">
        <v>-300393874</v>
      </c>
      <c r="GD127" s="11" t="n">
        <v>-61210</v>
      </c>
      <c r="GE127" s="11" t="n">
        <v>-188850</v>
      </c>
      <c r="GF127" s="11" t="n">
        <v>-647263</v>
      </c>
      <c r="GG127" s="11" t="n">
        <v>976939</v>
      </c>
      <c r="GH127" s="11" t="n">
        <v>-55350</v>
      </c>
      <c r="GI127" s="11" t="n">
        <v>-19203</v>
      </c>
      <c r="GJ127" s="11" t="n">
        <v>-36541</v>
      </c>
      <c r="GK127" s="11" t="n">
        <v>526050</v>
      </c>
      <c r="GL127" s="11" t="n">
        <v>-996150</v>
      </c>
      <c r="GM127" s="11" t="n">
        <v>-692890</v>
      </c>
      <c r="GN127" s="11" t="n">
        <v>397940</v>
      </c>
      <c r="GO127" s="11" t="n">
        <v>2823922</v>
      </c>
      <c r="GP127" s="11" t="n">
        <v>7435414</v>
      </c>
      <c r="GQ127" s="11" t="n">
        <v>4504588</v>
      </c>
      <c r="GR127" s="11" t="n">
        <v>29291636</v>
      </c>
      <c r="GS127" s="11" t="n">
        <v>123696584</v>
      </c>
      <c r="GT127" s="11" t="n">
        <v>2428728</v>
      </c>
      <c r="GU127" s="11" t="n">
        <v>6486016</v>
      </c>
      <c r="GV127" s="11" t="n">
        <v>646844</v>
      </c>
      <c r="GW127" s="11" t="n">
        <v>-105354040</v>
      </c>
      <c r="GX127" s="11" t="n">
        <v>545415</v>
      </c>
      <c r="GY127" s="11" t="n">
        <v>54120105</v>
      </c>
      <c r="GZ127" s="11" t="n">
        <v>11066445</v>
      </c>
      <c r="HA127" s="11" t="n">
        <v>-29450460</v>
      </c>
      <c r="HB127" s="11" t="n">
        <v>50782485</v>
      </c>
      <c r="HC127" s="11" t="n">
        <v>-17262375</v>
      </c>
      <c r="HD127" s="11" t="n">
        <v>411840</v>
      </c>
      <c r="HE127" s="11" t="n">
        <v>31200</v>
      </c>
      <c r="HF127" s="11" t="n">
        <v>-302250</v>
      </c>
      <c r="HG127" s="11" t="n">
        <v>144105</v>
      </c>
      <c r="HH127" s="11" t="n">
        <v>-137865</v>
      </c>
      <c r="HI127" s="11" t="n">
        <v>-5260320</v>
      </c>
      <c r="HJ127" s="11" t="n">
        <v>-7753590</v>
      </c>
      <c r="HK127" s="11" t="n">
        <v>-24046425</v>
      </c>
      <c r="HL127" s="11" t="n">
        <v>-645255</v>
      </c>
      <c r="HM127" s="11" t="n">
        <v>-4447950</v>
      </c>
      <c r="HN127" s="11" t="n">
        <v>18915</v>
      </c>
      <c r="HO127" s="11" t="n">
        <v>-1809795</v>
      </c>
      <c r="HP127" s="11" t="n">
        <v>20360730</v>
      </c>
      <c r="HQ127" s="11" t="n">
        <v>-2121990</v>
      </c>
      <c r="HR127" s="11" t="n">
        <v>-8275410</v>
      </c>
      <c r="HS127" s="11" t="n">
        <v>-52809717</v>
      </c>
      <c r="HT127" s="11" t="n">
        <v>-7580769</v>
      </c>
      <c r="HU127" s="11" t="n">
        <v>30201450</v>
      </c>
      <c r="HV127" s="11" t="n">
        <v>-50934498</v>
      </c>
      <c r="HW127" s="11" t="n">
        <v>17010624</v>
      </c>
      <c r="HX127" s="11" t="n">
        <v>319286808</v>
      </c>
      <c r="HY127" s="11" t="n">
        <v>145275042</v>
      </c>
      <c r="HZ127" s="11" t="n">
        <v>-137091423</v>
      </c>
      <c r="IA127" s="11" t="n">
        <v>16493163</v>
      </c>
      <c r="IB127" s="11" t="n">
        <v>203451594</v>
      </c>
      <c r="IC127" s="11" t="n">
        <v>-327628563</v>
      </c>
      <c r="ID127" s="11" t="n">
        <v>105213567</v>
      </c>
      <c r="IE127" s="11" t="n">
        <v>-61714998</v>
      </c>
      <c r="IF127" s="11" t="n">
        <v>37362474</v>
      </c>
      <c r="IG127" s="11" t="n">
        <v>-28251234</v>
      </c>
      <c r="IH127" s="11" t="n">
        <v>-2703264</v>
      </c>
      <c r="II127" s="11" t="n">
        <v>-6460350</v>
      </c>
      <c r="IJ127" s="11" t="n">
        <v>-24507429</v>
      </c>
      <c r="IK127" s="11" t="n">
        <v>-504123</v>
      </c>
      <c r="IL127" s="11" t="n">
        <v>-2473350</v>
      </c>
      <c r="IM127" s="11" t="n">
        <v>-910737</v>
      </c>
      <c r="IN127" s="11" t="n">
        <v>-943119</v>
      </c>
      <c r="IO127" s="11" t="n">
        <v>20246550</v>
      </c>
      <c r="IP127" s="11" t="n">
        <v>-1792650</v>
      </c>
      <c r="IQ127" s="11" t="n">
        <v>-8380350</v>
      </c>
      <c r="IR127" s="11" t="n">
        <v>31622736</v>
      </c>
      <c r="IS127" s="11" t="n">
        <v>155189112</v>
      </c>
      <c r="IT127" s="11" t="n">
        <v>2203656</v>
      </c>
      <c r="IU127" s="11" t="n">
        <v>84188604</v>
      </c>
      <c r="IV127" s="11" t="n">
        <v>-630852</v>
      </c>
      <c r="IW127" s="11" t="n">
        <v>-8962668</v>
      </c>
      <c r="IX127" s="11" t="n">
        <v>131336412</v>
      </c>
      <c r="IY127" s="11" t="n">
        <v>-9016356</v>
      </c>
      <c r="IZ127" s="11" t="n">
        <v>-53400204</v>
      </c>
      <c r="JA127" s="11" t="n">
        <v>-21384000</v>
      </c>
      <c r="JB127" s="11" t="n">
        <v>556660</v>
      </c>
      <c r="JC127" s="11" t="n">
        <v>14625</v>
      </c>
      <c r="JD127" s="11" t="n">
        <v>-425750</v>
      </c>
      <c r="JE127" s="11" t="n">
        <v>50505</v>
      </c>
      <c r="JF127" s="11" t="n">
        <v>-1320215</v>
      </c>
      <c r="JG127" s="11" t="n">
        <v>-9843405</v>
      </c>
      <c r="JH127" s="11" t="n">
        <v>-12188410</v>
      </c>
      <c r="JI127" s="11" t="n">
        <v>-46818005</v>
      </c>
      <c r="JJ127" s="11" t="n">
        <v>-113383205</v>
      </c>
      <c r="JK127" s="11" t="n">
        <v>-7848750</v>
      </c>
      <c r="JL127" s="11" t="n">
        <v>-336960</v>
      </c>
      <c r="JM127" s="11" t="n">
        <v>-26324220</v>
      </c>
      <c r="JN127" s="11" t="n">
        <v>36913630</v>
      </c>
      <c r="JO127" s="11" t="n">
        <v>57811910</v>
      </c>
      <c r="JP127" s="11" t="n">
        <v>-121324060</v>
      </c>
      <c r="JQ127" s="11" t="n">
        <v>-20800</v>
      </c>
      <c r="JR127" s="11" t="n">
        <v>-13000</v>
      </c>
      <c r="JS127" s="11" t="n">
        <v>-108940</v>
      </c>
      <c r="JT127" s="11" t="n">
        <v>-856180</v>
      </c>
      <c r="JU127" s="11" t="n">
        <v>-16250</v>
      </c>
      <c r="JV127" s="11" t="n">
        <v>-975</v>
      </c>
      <c r="JW127" s="11" t="n">
        <v>-71825</v>
      </c>
      <c r="JX127" s="11" t="n">
        <v>84500</v>
      </c>
      <c r="JY127" s="11" t="n">
        <v>624000</v>
      </c>
      <c r="JZ127" s="11" t="n">
        <v>-336050</v>
      </c>
      <c r="KA127" s="11" t="n">
        <v>-225550</v>
      </c>
      <c r="KB127" s="11" t="n">
        <v>176995</v>
      </c>
      <c r="KC127" s="11" t="n">
        <v>10903165</v>
      </c>
      <c r="KD127" s="11" t="n">
        <v>1291940</v>
      </c>
      <c r="KE127" s="11" t="n">
        <v>16098680</v>
      </c>
      <c r="KF127" s="11" t="n">
        <v>49819770</v>
      </c>
      <c r="KG127" s="11" t="n">
        <v>148850</v>
      </c>
      <c r="KH127" s="11" t="n">
        <v>9296950</v>
      </c>
      <c r="KI127" s="11" t="n">
        <v>-100100</v>
      </c>
      <c r="KJ127" s="11" t="n">
        <v>-42628300</v>
      </c>
      <c r="KK127" s="11" t="n">
        <v>6321001</v>
      </c>
      <c r="KL127" s="11" t="n">
        <v>10399050</v>
      </c>
      <c r="KM127" s="11" t="n">
        <v>47094493</v>
      </c>
      <c r="KN127" s="11" t="n">
        <v>110468261</v>
      </c>
      <c r="KO127" s="11" t="n">
        <v>5107700</v>
      </c>
      <c r="KP127" s="11" t="n">
        <v>663807</v>
      </c>
      <c r="KQ127" s="11" t="n">
        <v>17893649</v>
      </c>
      <c r="KR127" s="11" t="n">
        <v>-36962750</v>
      </c>
      <c r="KS127" s="11" t="n">
        <v>-59826250</v>
      </c>
      <c r="KT127" s="11" t="n">
        <v>121715330</v>
      </c>
      <c r="KU127" s="11" t="n">
        <v>-45483974</v>
      </c>
      <c r="KV127" s="11" t="n">
        <v>-301141651</v>
      </c>
      <c r="KW127" s="11" t="n">
        <v>-665915425</v>
      </c>
      <c r="KX127" s="11" t="n">
        <v>-156548368</v>
      </c>
      <c r="KY127" s="11" t="n">
        <v>-300641036</v>
      </c>
      <c r="KZ127" s="11" t="n">
        <v>301478386</v>
      </c>
      <c r="LA127" s="11" t="n">
        <v>-238561682</v>
      </c>
      <c r="LB127" s="11" t="n">
        <v>-409337374</v>
      </c>
      <c r="LC127" s="11" t="n">
        <v>782547524</v>
      </c>
      <c r="LD127" s="11" t="n">
        <v>167978580</v>
      </c>
      <c r="LE127" s="11" t="n">
        <v>-240950</v>
      </c>
      <c r="LF127" s="11" t="n">
        <v>-522681</v>
      </c>
      <c r="LG127" s="11" t="n">
        <v>5594393</v>
      </c>
      <c r="LH127" s="11" t="n">
        <v>935300</v>
      </c>
      <c r="LI127" s="11" t="n">
        <v>13414600</v>
      </c>
      <c r="LJ127" s="11" t="n">
        <v>50815490</v>
      </c>
      <c r="LK127" s="11" t="n">
        <v>-397050</v>
      </c>
      <c r="LL127" s="11" t="n">
        <v>5202650</v>
      </c>
      <c r="LM127" s="11" t="n">
        <v>2067120</v>
      </c>
      <c r="LN127" s="11" t="n">
        <v>-42300500</v>
      </c>
      <c r="LO127" s="11" t="n">
        <v>-7718156</v>
      </c>
      <c r="LP127" s="11" t="n">
        <v>-65639532</v>
      </c>
      <c r="LQ127" s="11" t="n">
        <v>-321589268</v>
      </c>
      <c r="LR127" s="11" t="n">
        <v>-174904840</v>
      </c>
      <c r="LS127" s="11" t="n">
        <v>-274816520</v>
      </c>
    </row>
    <row r="129" customFormat="false" ht="15" hidden="false" customHeight="true" outlineLevel="0" collapsed="false">
      <c r="A129" s="7" t="s">
        <v>555</v>
      </c>
      <c r="B129" s="12" t="n">
        <f aca="false">COUNTIF(B2:B127,"&gt;0")</f>
        <v>53</v>
      </c>
      <c r="C129" s="12" t="n">
        <f aca="false">COUNTIF(C2:C127,"&gt;0")</f>
        <v>71</v>
      </c>
      <c r="D129" s="12" t="n">
        <f aca="false">COUNTIF(D2:D127,"&gt;0")</f>
        <v>51</v>
      </c>
      <c r="E129" s="12" t="n">
        <f aca="false">COUNTIF(E2:E127,"&gt;0")</f>
        <v>55</v>
      </c>
      <c r="F129" s="12" t="n">
        <f aca="false">COUNTIF(F2:F127,"&gt;0")</f>
        <v>53</v>
      </c>
      <c r="G129" s="12" t="n">
        <f aca="false">COUNTIF(G2:G127,"&gt;0")</f>
        <v>58</v>
      </c>
      <c r="H129" s="12" t="n">
        <f aca="false">COUNTIF(H2:H127,"&gt;0")</f>
        <v>77</v>
      </c>
      <c r="I129" s="12" t="n">
        <f aca="false">COUNTIF(I2:I127,"&gt;0")</f>
        <v>67</v>
      </c>
      <c r="J129" s="12" t="n">
        <f aca="false">COUNTIF(J2:J127,"&gt;0")</f>
        <v>46</v>
      </c>
      <c r="K129" s="12" t="n">
        <f aca="false">COUNTIF(K2:K127,"&gt;0")</f>
        <v>54</v>
      </c>
      <c r="L129" s="12" t="n">
        <f aca="false">COUNTIF(L2:L127,"&gt;0")</f>
        <v>57</v>
      </c>
      <c r="M129" s="12" t="n">
        <f aca="false">COUNTIF(M2:M127,"&gt;0")</f>
        <v>60</v>
      </c>
      <c r="N129" s="12" t="n">
        <f aca="false">COUNTIF(N2:N127,"&gt;0")</f>
        <v>66</v>
      </c>
      <c r="O129" s="12" t="n">
        <f aca="false">COUNTIF(O2:O127,"&gt;0")</f>
        <v>39</v>
      </c>
      <c r="P129" s="12" t="n">
        <f aca="false">COUNTIF(P2:P127,"&gt;0")</f>
        <v>89</v>
      </c>
      <c r="Q129" s="12" t="n">
        <f aca="false">COUNTIF(Q2:Q127,"&gt;0")</f>
        <v>74</v>
      </c>
      <c r="R129" s="12" t="n">
        <f aca="false">COUNTIF(R2:R127,"&gt;0")</f>
        <v>68</v>
      </c>
      <c r="S129" s="12" t="n">
        <f aca="false">COUNTIF(S2:S127,"&gt;0")</f>
        <v>71</v>
      </c>
      <c r="T129" s="12" t="n">
        <f aca="false">COUNTIF(T2:T127,"&gt;0")</f>
        <v>61</v>
      </c>
      <c r="U129" s="12" t="n">
        <f aca="false">COUNTIF(U2:U127,"&gt;0")</f>
        <v>47</v>
      </c>
      <c r="V129" s="12" t="n">
        <f aca="false">COUNTIF(V2:V127,"&gt;0")</f>
        <v>50</v>
      </c>
      <c r="W129" s="12" t="n">
        <f aca="false">COUNTIF(W2:W127,"&gt;0")</f>
        <v>68</v>
      </c>
      <c r="X129" s="12" t="n">
        <f aca="false">COUNTIF(X2:X127,"&gt;0")</f>
        <v>71</v>
      </c>
      <c r="Y129" s="12" t="n">
        <f aca="false">COUNTIF(Y2:Y127,"&gt;0")</f>
        <v>65</v>
      </c>
      <c r="Z129" s="12" t="n">
        <f aca="false">COUNTIF(Z2:Z127,"&gt;0")</f>
        <v>38</v>
      </c>
      <c r="AA129" s="12" t="n">
        <f aca="false">COUNTIF(AA2:AA127,"&gt;0")</f>
        <v>73</v>
      </c>
      <c r="AB129" s="12" t="n">
        <f aca="false">COUNTIF(AB2:AB127,"&gt;0")</f>
        <v>63</v>
      </c>
      <c r="AC129" s="12" t="n">
        <f aca="false">COUNTIF(AC2:AC127,"&gt;0")</f>
        <v>68</v>
      </c>
      <c r="AD129" s="12" t="n">
        <f aca="false">COUNTIF(AD2:AD127,"&gt;0")</f>
        <v>55</v>
      </c>
      <c r="AE129" s="12" t="n">
        <f aca="false">COUNTIF(AE2:AE127,"&gt;0")</f>
        <v>79</v>
      </c>
      <c r="AF129" s="12" t="n">
        <f aca="false">COUNTIF(AF2:AF127,"&gt;0")</f>
        <v>66</v>
      </c>
      <c r="AG129" s="12" t="n">
        <f aca="false">COUNTIF(AG2:AG127,"&gt;0")</f>
        <v>54</v>
      </c>
      <c r="AH129" s="12" t="n">
        <f aca="false">COUNTIF(AH2:AH127,"&gt;0")</f>
        <v>75</v>
      </c>
      <c r="AI129" s="12" t="n">
        <f aca="false">COUNTIF(AI2:AI127,"&gt;0")</f>
        <v>66</v>
      </c>
      <c r="AJ129" s="12" t="n">
        <f aca="false">COUNTIF(AJ2:AJ127,"&gt;0")</f>
        <v>71</v>
      </c>
      <c r="AK129" s="12" t="n">
        <f aca="false">COUNTIF(AK2:AK127,"&gt;0")</f>
        <v>39</v>
      </c>
      <c r="AL129" s="12" t="n">
        <f aca="false">COUNTIF(AL2:AL127,"&gt;0")</f>
        <v>58</v>
      </c>
      <c r="AM129" s="12" t="n">
        <f aca="false">COUNTIF(AM2:AM127,"&gt;0")</f>
        <v>54</v>
      </c>
      <c r="AN129" s="12" t="n">
        <f aca="false">COUNTIF(AN2:AN127,"&gt;0")</f>
        <v>69</v>
      </c>
      <c r="AO129" s="12" t="n">
        <f aca="false">COUNTIF(AO2:AO127,"&gt;0")</f>
        <v>57</v>
      </c>
      <c r="AP129" s="12" t="n">
        <f aca="false">COUNTIF(AP2:AP127,"&gt;0")</f>
        <v>66</v>
      </c>
      <c r="AQ129" s="12" t="n">
        <f aca="false">COUNTIF(AQ2:AQ127,"&gt;0")</f>
        <v>48</v>
      </c>
      <c r="AR129" s="12" t="n">
        <f aca="false">COUNTIF(AR2:AR127,"&gt;0")</f>
        <v>59</v>
      </c>
      <c r="AS129" s="12" t="n">
        <f aca="false">COUNTIF(AS2:AS127,"&gt;0")</f>
        <v>70</v>
      </c>
      <c r="AT129" s="12" t="n">
        <f aca="false">COUNTIF(AT2:AT127,"&gt;0")</f>
        <v>67</v>
      </c>
      <c r="AU129" s="12" t="n">
        <f aca="false">COUNTIF(AU2:AU127,"&gt;0")</f>
        <v>73</v>
      </c>
      <c r="AV129" s="12" t="n">
        <f aca="false">COUNTIF(AV2:AV127,"&gt;0")</f>
        <v>61</v>
      </c>
      <c r="AW129" s="12" t="n">
        <f aca="false">COUNTIF(AW2:AW127,"&gt;0")</f>
        <v>52</v>
      </c>
      <c r="AX129" s="12" t="n">
        <f aca="false">COUNTIF(AX2:AX127,"&gt;0")</f>
        <v>53</v>
      </c>
      <c r="AY129" s="12" t="n">
        <f aca="false">COUNTIF(AY2:AY127,"&gt;0")</f>
        <v>68</v>
      </c>
      <c r="AZ129" s="12" t="n">
        <f aca="false">COUNTIF(AZ2:AZ127,"&gt;0")</f>
        <v>62</v>
      </c>
      <c r="BA129" s="12" t="n">
        <f aca="false">COUNTIF(BA2:BA127,"&gt;0")</f>
        <v>67</v>
      </c>
      <c r="BB129" s="12" t="n">
        <f aca="false">COUNTIF(BB2:BB127,"&gt;0")</f>
        <v>47</v>
      </c>
      <c r="BC129" s="12" t="n">
        <f aca="false">COUNTIF(BC2:BC127,"&gt;0")</f>
        <v>59</v>
      </c>
      <c r="BD129" s="12" t="n">
        <f aca="false">COUNTIF(BD2:BD127,"&gt;0")</f>
        <v>57</v>
      </c>
      <c r="BE129" s="12" t="n">
        <f aca="false">COUNTIF(BE2:BE127,"&gt;0")</f>
        <v>67</v>
      </c>
      <c r="BF129" s="12" t="n">
        <f aca="false">COUNTIF(BF2:BF127,"&gt;0")</f>
        <v>47</v>
      </c>
      <c r="BG129" s="12" t="n">
        <f aca="false">COUNTIF(BG2:BG127,"&gt;0")</f>
        <v>65</v>
      </c>
      <c r="BH129" s="12" t="n">
        <f aca="false">COUNTIF(BH2:BH127,"&gt;0")</f>
        <v>67</v>
      </c>
      <c r="BI129" s="12" t="n">
        <f aca="false">COUNTIF(BI2:BI127,"&gt;0")</f>
        <v>47</v>
      </c>
      <c r="BJ129" s="12" t="n">
        <f aca="false">COUNTIF(BJ2:BJ127,"&gt;0")</f>
        <v>59</v>
      </c>
      <c r="BK129" s="12" t="n">
        <f aca="false">COUNTIF(BK2:BK127,"&gt;0")</f>
        <v>58</v>
      </c>
      <c r="BL129" s="12" t="n">
        <f aca="false">COUNTIF(BL2:BL127,"&gt;0")</f>
        <v>70</v>
      </c>
      <c r="BM129" s="12" t="n">
        <f aca="false">COUNTIF(BM2:BM127,"&gt;0")</f>
        <v>50</v>
      </c>
      <c r="BN129" s="12" t="n">
        <f aca="false">COUNTIF(BN2:BN127,"&gt;0")</f>
        <v>59</v>
      </c>
      <c r="BO129" s="12" t="n">
        <f aca="false">COUNTIF(BO2:BO127,"&gt;0")</f>
        <v>68</v>
      </c>
      <c r="BP129" s="12" t="n">
        <f aca="false">COUNTIF(BP2:BP127,"&gt;0")</f>
        <v>54</v>
      </c>
      <c r="BQ129" s="12" t="n">
        <f aca="false">COUNTIF(BQ2:BQ127,"&gt;0")</f>
        <v>61</v>
      </c>
      <c r="BR129" s="12" t="n">
        <f aca="false">COUNTIF(BR2:BR127,"&gt;0")</f>
        <v>49</v>
      </c>
      <c r="BS129" s="12" t="n">
        <f aca="false">COUNTIF(BS2:BS127,"&gt;0")</f>
        <v>49</v>
      </c>
      <c r="BT129" s="12" t="n">
        <f aca="false">COUNTIF(BT2:BT127,"&gt;0")</f>
        <v>81</v>
      </c>
      <c r="BU129" s="12" t="n">
        <f aca="false">COUNTIF(BU2:BU127,"&gt;0")</f>
        <v>51</v>
      </c>
      <c r="BV129" s="12" t="n">
        <f aca="false">COUNTIF(BV2:BV127,"&gt;0")</f>
        <v>64</v>
      </c>
      <c r="BW129" s="12" t="n">
        <f aca="false">COUNTIF(BW2:BW127,"&gt;0")</f>
        <v>61</v>
      </c>
      <c r="BX129" s="12" t="n">
        <f aca="false">COUNTIF(BX2:BX127,"&gt;0")</f>
        <v>50</v>
      </c>
      <c r="BY129" s="12" t="n">
        <f aca="false">COUNTIF(BY2:BY127,"&gt;0")</f>
        <v>66</v>
      </c>
      <c r="BZ129" s="12" t="n">
        <f aca="false">COUNTIF(BZ2:BZ127,"&gt;0")</f>
        <v>68</v>
      </c>
      <c r="CA129" s="12" t="n">
        <f aca="false">COUNTIF(CA2:CA127,"&gt;0")</f>
        <v>56</v>
      </c>
      <c r="CB129" s="12" t="n">
        <f aca="false">COUNTIF(CB2:CB127,"&gt;0")</f>
        <v>78</v>
      </c>
      <c r="CC129" s="12" t="n">
        <f aca="false">COUNTIF(CC2:CC127,"&gt;0")</f>
        <v>52</v>
      </c>
      <c r="CD129" s="12" t="n">
        <f aca="false">COUNTIF(CD2:CD127,"&gt;0")</f>
        <v>70</v>
      </c>
      <c r="CE129" s="12" t="n">
        <f aca="false">COUNTIF(CE2:CE127,"&gt;0")</f>
        <v>43</v>
      </c>
      <c r="CF129" s="12" t="n">
        <f aca="false">COUNTIF(CF2:CF127,"&gt;0")</f>
        <v>66</v>
      </c>
      <c r="CG129" s="12" t="n">
        <f aca="false">COUNTIF(CG2:CG127,"&gt;0")</f>
        <v>72</v>
      </c>
      <c r="CH129" s="12" t="n">
        <f aca="false">COUNTIF(CH2:CH127,"&gt;0")</f>
        <v>40</v>
      </c>
      <c r="CI129" s="12" t="n">
        <f aca="false">COUNTIF(CI2:CI127,"&gt;0")</f>
        <v>59</v>
      </c>
      <c r="CJ129" s="12" t="n">
        <f aca="false">COUNTIF(CJ2:CJ127,"&gt;0")</f>
        <v>67</v>
      </c>
      <c r="CK129" s="12" t="n">
        <f aca="false">COUNTIF(CK2:CK127,"&gt;0")</f>
        <v>67</v>
      </c>
      <c r="CL129" s="12" t="n">
        <f aca="false">COUNTIF(CL2:CL127,"&gt;0")</f>
        <v>79</v>
      </c>
      <c r="CM129" s="12" t="n">
        <f aca="false">COUNTIF(CM2:CM127,"&gt;0")</f>
        <v>75</v>
      </c>
      <c r="CN129" s="12" t="n">
        <f aca="false">COUNTIF(CN2:CN127,"&gt;0")</f>
        <v>67</v>
      </c>
      <c r="CO129" s="12" t="n">
        <f aca="false">COUNTIF(CO2:CO127,"&gt;0")</f>
        <v>68</v>
      </c>
      <c r="CP129" s="12" t="n">
        <f aca="false">COUNTIF(CP2:CP127,"&gt;0")</f>
        <v>73</v>
      </c>
      <c r="CQ129" s="12" t="n">
        <f aca="false">COUNTIF(CQ2:CQ127,"&gt;0")</f>
        <v>76</v>
      </c>
      <c r="CR129" s="12" t="n">
        <f aca="false">COUNTIF(CR2:CR127,"&gt;0")</f>
        <v>65</v>
      </c>
      <c r="CS129" s="12" t="n">
        <f aca="false">COUNTIF(CS2:CS127,"&gt;0")</f>
        <v>80</v>
      </c>
      <c r="CT129" s="12" t="n">
        <f aca="false">COUNTIF(CT2:CT127,"&gt;0")</f>
        <v>77</v>
      </c>
      <c r="CU129" s="12" t="n">
        <f aca="false">COUNTIF(CU2:CU127,"&gt;0")</f>
        <v>69</v>
      </c>
      <c r="CV129" s="12" t="n">
        <f aca="false">COUNTIF(CV2:CV127,"&gt;0")</f>
        <v>64</v>
      </c>
      <c r="CW129" s="12" t="n">
        <f aca="false">COUNTIF(CW2:CW127,"&gt;0")</f>
        <v>59</v>
      </c>
      <c r="CX129" s="12" t="n">
        <f aca="false">COUNTIF(CX2:CX127,"&gt;0")</f>
        <v>67</v>
      </c>
      <c r="CY129" s="12" t="n">
        <f aca="false">COUNTIF(CY2:CY127,"&gt;0")</f>
        <v>66</v>
      </c>
      <c r="CZ129" s="12" t="n">
        <f aca="false">COUNTIF(CZ2:CZ127,"&gt;0")</f>
        <v>55</v>
      </c>
      <c r="DA129" s="12" t="n">
        <f aca="false">COUNTIF(DA2:DA127,"&gt;0")</f>
        <v>78</v>
      </c>
      <c r="DB129" s="12" t="n">
        <f aca="false">COUNTIF(DB2:DB127,"&gt;0")</f>
        <v>57</v>
      </c>
      <c r="DC129" s="12" t="n">
        <f aca="false">COUNTIF(DC2:DC127,"&gt;0")</f>
        <v>89</v>
      </c>
      <c r="DD129" s="12" t="n">
        <f aca="false">COUNTIF(DD2:DD127,"&gt;0")</f>
        <v>59</v>
      </c>
      <c r="DE129" s="12" t="n">
        <f aca="false">COUNTIF(DE2:DE127,"&gt;0")</f>
        <v>66</v>
      </c>
      <c r="DF129" s="12" t="n">
        <f aca="false">COUNTIF(DF2:DF127,"&gt;0")</f>
        <v>70</v>
      </c>
      <c r="DG129" s="12" t="n">
        <f aca="false">COUNTIF(DG2:DG127,"&gt;0")</f>
        <v>38</v>
      </c>
      <c r="DH129" s="12" t="n">
        <f aca="false">COUNTIF(DH2:DH127,"&gt;0")</f>
        <v>57</v>
      </c>
      <c r="DI129" s="12" t="n">
        <f aca="false">COUNTIF(DI2:DI127,"&gt;0")</f>
        <v>71</v>
      </c>
      <c r="DJ129" s="12" t="n">
        <f aca="false">COUNTIF(DJ2:DJ127,"&gt;0")</f>
        <v>50</v>
      </c>
      <c r="DK129" s="12" t="n">
        <f aca="false">COUNTIF(DK2:DK127,"&gt;0")</f>
        <v>69</v>
      </c>
      <c r="DL129" s="12" t="n">
        <f aca="false">COUNTIF(DL2:DL127,"&gt;0")</f>
        <v>74</v>
      </c>
      <c r="DM129" s="12" t="n">
        <f aca="false">COUNTIF(DM2:DM127,"&gt;0")</f>
        <v>42</v>
      </c>
      <c r="DN129" s="12" t="n">
        <f aca="false">COUNTIF(DN2:DN127,"&gt;0")</f>
        <v>65</v>
      </c>
      <c r="DO129" s="12" t="n">
        <f aca="false">COUNTIF(DO2:DO127,"&gt;0")</f>
        <v>72</v>
      </c>
      <c r="DP129" s="12" t="n">
        <f aca="false">COUNTIF(DP2:DP127,"&gt;0")</f>
        <v>38</v>
      </c>
      <c r="DQ129" s="12" t="n">
        <f aca="false">COUNTIF(DQ2:DQ127,"&gt;0")</f>
        <v>51</v>
      </c>
      <c r="DR129" s="12" t="n">
        <f aca="false">COUNTIF(DR2:DR127,"&gt;0")</f>
        <v>52</v>
      </c>
      <c r="DS129" s="12" t="n">
        <f aca="false">COUNTIF(DS2:DS127,"&gt;0")</f>
        <v>53</v>
      </c>
      <c r="DT129" s="12" t="n">
        <f aca="false">COUNTIF(DT2:DT127,"&gt;0")</f>
        <v>51</v>
      </c>
      <c r="DU129" s="12" t="n">
        <f aca="false">COUNTIF(DU2:DU127,"&gt;0")</f>
        <v>49</v>
      </c>
      <c r="DV129" s="12" t="n">
        <f aca="false">COUNTIF(DV2:DV127,"&gt;0")</f>
        <v>60</v>
      </c>
      <c r="DW129" s="12" t="n">
        <f aca="false">COUNTIF(DW2:DW127,"&gt;0")</f>
        <v>58</v>
      </c>
      <c r="DX129" s="12" t="n">
        <f aca="false">COUNTIF(DX2:DX127,"&gt;0")</f>
        <v>79</v>
      </c>
      <c r="DY129" s="12" t="n">
        <f aca="false">COUNTIF(DY2:DY127,"&gt;0")</f>
        <v>73</v>
      </c>
      <c r="DZ129" s="12" t="n">
        <f aca="false">COUNTIF(DZ2:DZ127,"&gt;0")</f>
        <v>69</v>
      </c>
      <c r="EA129" s="12" t="n">
        <f aca="false">COUNTIF(EA2:EA127,"&gt;0")</f>
        <v>77</v>
      </c>
      <c r="EB129" s="12" t="n">
        <f aca="false">COUNTIF(EB2:EB127,"&gt;0")</f>
        <v>60</v>
      </c>
      <c r="EC129" s="12" t="n">
        <f aca="false">COUNTIF(EC2:EC127,"&gt;0")</f>
        <v>51</v>
      </c>
      <c r="ED129" s="12" t="n">
        <f aca="false">COUNTIF(ED2:ED127,"&gt;0")</f>
        <v>48</v>
      </c>
      <c r="EE129" s="12" t="n">
        <f aca="false">COUNTIF(EE2:EE127,"&gt;0")</f>
        <v>57</v>
      </c>
      <c r="EF129" s="12" t="n">
        <f aca="false">COUNTIF(EF2:EF127,"&gt;0")</f>
        <v>58</v>
      </c>
      <c r="EG129" s="12" t="n">
        <f aca="false">COUNTIF(EG2:EG127,"&gt;0")</f>
        <v>61</v>
      </c>
      <c r="EH129" s="12" t="n">
        <f aca="false">COUNTIF(EH2:EH127,"&gt;0")</f>
        <v>50</v>
      </c>
      <c r="EI129" s="12" t="n">
        <f aca="false">COUNTIF(EI2:EI127,"&gt;0")</f>
        <v>74</v>
      </c>
      <c r="EJ129" s="12" t="n">
        <f aca="false">COUNTIF(EJ2:EJ127,"&gt;0")</f>
        <v>62</v>
      </c>
      <c r="EK129" s="12" t="n">
        <f aca="false">COUNTIF(EK2:EK127,"&gt;0")</f>
        <v>68</v>
      </c>
      <c r="EL129" s="12" t="n">
        <f aca="false">COUNTIF(EL2:EL127,"&gt;0")</f>
        <v>51</v>
      </c>
      <c r="EM129" s="12" t="n">
        <f aca="false">COUNTIF(EM2:EM127,"&gt;0")</f>
        <v>67</v>
      </c>
      <c r="EN129" s="12" t="n">
        <f aca="false">COUNTIF(EN2:EN127,"&gt;0")</f>
        <v>68</v>
      </c>
      <c r="EO129" s="12" t="n">
        <f aca="false">COUNTIF(EO2:EO127,"&gt;0")</f>
        <v>49</v>
      </c>
      <c r="EP129" s="12" t="n">
        <f aca="false">COUNTIF(EP2:EP127,"&gt;0")</f>
        <v>67</v>
      </c>
      <c r="EQ129" s="12" t="n">
        <f aca="false">COUNTIF(EQ2:EQ127,"&gt;0")</f>
        <v>59</v>
      </c>
      <c r="ER129" s="12" t="n">
        <f aca="false">COUNTIF(ER2:ER127,"&gt;0")</f>
        <v>73</v>
      </c>
      <c r="ES129" s="12" t="n">
        <f aca="false">COUNTIF(ES2:ES127,"&gt;0")</f>
        <v>42</v>
      </c>
      <c r="ET129" s="12" t="n">
        <f aca="false">COUNTIF(ET2:ET127,"&gt;0")</f>
        <v>57</v>
      </c>
      <c r="EU129" s="12" t="n">
        <f aca="false">COUNTIF(EU2:EU127,"&gt;0")</f>
        <v>61</v>
      </c>
      <c r="EV129" s="12" t="n">
        <f aca="false">COUNTIF(EV2:EV127,"&gt;0")</f>
        <v>53</v>
      </c>
      <c r="EW129" s="12" t="n">
        <f aca="false">COUNTIF(EW2:EW127,"&gt;0")</f>
        <v>66</v>
      </c>
      <c r="EX129" s="12" t="n">
        <f aca="false">COUNTIF(EX2:EX127,"&gt;0")</f>
        <v>73</v>
      </c>
      <c r="EY129" s="12" t="n">
        <f aca="false">COUNTIF(EY2:EY127,"&gt;0")</f>
        <v>66</v>
      </c>
      <c r="EZ129" s="12" t="n">
        <f aca="false">COUNTIF(EZ2:EZ127,"&gt;0")</f>
        <v>55</v>
      </c>
      <c r="FA129" s="12" t="n">
        <f aca="false">COUNTIF(FA2:FA127,"&gt;0")</f>
        <v>46</v>
      </c>
      <c r="FB129" s="12" t="n">
        <f aca="false">COUNTIF(FB2:FB127,"&gt;0")</f>
        <v>69</v>
      </c>
      <c r="FC129" s="12" t="n">
        <f aca="false">COUNTIF(FC2:FC127,"&gt;0")</f>
        <v>78</v>
      </c>
      <c r="FD129" s="12" t="n">
        <f aca="false">COUNTIF(FD2:FD127,"&gt;0")</f>
        <v>51</v>
      </c>
      <c r="FE129" s="12" t="n">
        <f aca="false">COUNTIF(FE2:FE127,"&gt;0")</f>
        <v>62</v>
      </c>
      <c r="FF129" s="12" t="n">
        <f aca="false">COUNTIF(FF2:FF127,"&gt;0")</f>
        <v>56</v>
      </c>
      <c r="FG129" s="12" t="n">
        <f aca="false">COUNTIF(FG2:FG127,"&gt;0")</f>
        <v>84</v>
      </c>
      <c r="FH129" s="12" t="n">
        <f aca="false">COUNTIF(FH2:FH127,"&gt;0")</f>
        <v>46</v>
      </c>
      <c r="FI129" s="12" t="n">
        <f aca="false">COUNTIF(FI2:FI127,"&gt;0")</f>
        <v>57</v>
      </c>
      <c r="FJ129" s="12" t="n">
        <f aca="false">COUNTIF(FJ2:FJ127,"&gt;0")</f>
        <v>82</v>
      </c>
      <c r="FK129" s="12" t="n">
        <f aca="false">COUNTIF(FK2:FK127,"&gt;0")</f>
        <v>39</v>
      </c>
      <c r="FL129" s="12" t="n">
        <f aca="false">COUNTIF(FL2:FL127,"&gt;0")</f>
        <v>66</v>
      </c>
      <c r="FM129" s="12" t="n">
        <f aca="false">COUNTIF(FM2:FM127,"&gt;0")</f>
        <v>60</v>
      </c>
      <c r="FN129" s="12" t="n">
        <f aca="false">COUNTIF(FN2:FN127,"&gt;0")</f>
        <v>90</v>
      </c>
      <c r="FO129" s="12" t="n">
        <f aca="false">COUNTIF(FO2:FO127,"&gt;0")</f>
        <v>68</v>
      </c>
      <c r="FP129" s="12" t="n">
        <f aca="false">COUNTIF(FP2:FP127,"&gt;0")</f>
        <v>76</v>
      </c>
      <c r="FQ129" s="12" t="n">
        <f aca="false">COUNTIF(FQ2:FQ127,"&gt;0")</f>
        <v>65</v>
      </c>
      <c r="FR129" s="12" t="n">
        <f aca="false">COUNTIF(FR2:FR127,"&gt;0")</f>
        <v>73</v>
      </c>
      <c r="FS129" s="12" t="n">
        <f aca="false">COUNTIF(FS2:FS127,"&gt;0")</f>
        <v>68</v>
      </c>
      <c r="FT129" s="12" t="n">
        <f aca="false">COUNTIF(FT2:FT127,"&gt;0")</f>
        <v>64</v>
      </c>
      <c r="FU129" s="12" t="n">
        <f aca="false">COUNTIF(FU2:FU127,"&gt;0")</f>
        <v>63</v>
      </c>
      <c r="FV129" s="12" t="n">
        <f aca="false">COUNTIF(FV2:FV127,"&gt;0")</f>
        <v>64</v>
      </c>
      <c r="FW129" s="12" t="n">
        <f aca="false">COUNTIF(FW2:FW127,"&gt;0")</f>
        <v>67</v>
      </c>
      <c r="FX129" s="12" t="n">
        <f aca="false">COUNTIF(FX2:FX127,"&gt;0")</f>
        <v>62</v>
      </c>
      <c r="FY129" s="12" t="n">
        <f aca="false">COUNTIF(FY2:FY127,"&gt;0")</f>
        <v>75</v>
      </c>
      <c r="FZ129" s="12" t="n">
        <f aca="false">COUNTIF(FZ2:FZ127,"&gt;0")</f>
        <v>79</v>
      </c>
      <c r="GA129" s="12" t="n">
        <f aca="false">COUNTIF(GA2:GA127,"&gt;0")</f>
        <v>67</v>
      </c>
      <c r="GB129" s="12" t="n">
        <f aca="false">COUNTIF(GB2:GB127,"&gt;0")</f>
        <v>60</v>
      </c>
      <c r="GC129" s="12" t="n">
        <f aca="false">COUNTIF(GC2:GC127,"&gt;0")</f>
        <v>60</v>
      </c>
      <c r="GD129" s="12" t="n">
        <f aca="false">COUNTIF(GD2:GD127,"&gt;0")</f>
        <v>60</v>
      </c>
      <c r="GE129" s="12" t="n">
        <f aca="false">COUNTIF(GE2:GE127,"&gt;0")</f>
        <v>55</v>
      </c>
      <c r="GF129" s="12" t="n">
        <f aca="false">COUNTIF(GF2:GF127,"&gt;0")</f>
        <v>81</v>
      </c>
      <c r="GG129" s="12" t="n">
        <f aca="false">COUNTIF(GG2:GG127,"&gt;0")</f>
        <v>54</v>
      </c>
      <c r="GH129" s="12" t="n">
        <f aca="false">COUNTIF(GH2:GH127,"&gt;0")</f>
        <v>57</v>
      </c>
      <c r="GI129" s="12" t="n">
        <f aca="false">COUNTIF(GI2:GI127,"&gt;0")</f>
        <v>88</v>
      </c>
      <c r="GJ129" s="12" t="n">
        <f aca="false">COUNTIF(GJ2:GJ127,"&gt;0")</f>
        <v>55</v>
      </c>
      <c r="GK129" s="12" t="n">
        <f aca="false">COUNTIF(GK2:GK127,"&gt;0")</f>
        <v>64</v>
      </c>
      <c r="GL129" s="12" t="n">
        <f aca="false">COUNTIF(GL2:GL127,"&gt;0")</f>
        <v>60</v>
      </c>
      <c r="GM129" s="12" t="n">
        <f aca="false">COUNTIF(GM2:GM127,"&gt;0")</f>
        <v>56</v>
      </c>
      <c r="GN129" s="12" t="n">
        <f aca="false">COUNTIF(GN2:GN127,"&gt;0")</f>
        <v>62</v>
      </c>
      <c r="GO129" s="12" t="n">
        <f aca="false">COUNTIF(GO2:GO127,"&gt;0")</f>
        <v>66</v>
      </c>
      <c r="GP129" s="12" t="n">
        <f aca="false">COUNTIF(GP2:GP127,"&gt;0")</f>
        <v>60</v>
      </c>
      <c r="GQ129" s="12" t="n">
        <f aca="false">COUNTIF(GQ2:GQ127,"&gt;0")</f>
        <v>67</v>
      </c>
      <c r="GR129" s="12" t="n">
        <f aca="false">COUNTIF(GR2:GR127,"&gt;0")</f>
        <v>74</v>
      </c>
      <c r="GS129" s="12" t="n">
        <f aca="false">COUNTIF(GS2:GS127,"&gt;0")</f>
        <v>51</v>
      </c>
      <c r="GT129" s="12" t="n">
        <f aca="false">COUNTIF(GT2:GT127,"&gt;0")</f>
        <v>67</v>
      </c>
      <c r="GU129" s="12" t="n">
        <f aca="false">COUNTIF(GU2:GU127,"&gt;0")</f>
        <v>74</v>
      </c>
      <c r="GV129" s="12" t="n">
        <f aca="false">COUNTIF(GV2:GV127,"&gt;0")</f>
        <v>39</v>
      </c>
      <c r="GW129" s="12" t="n">
        <f aca="false">COUNTIF(GW2:GW127,"&gt;0")</f>
        <v>60</v>
      </c>
      <c r="GX129" s="12" t="n">
        <f aca="false">COUNTIF(GX2:GX127,"&gt;0")</f>
        <v>66</v>
      </c>
      <c r="GY129" s="12" t="n">
        <f aca="false">COUNTIF(GY2:GY127,"&gt;0")</f>
        <v>60</v>
      </c>
      <c r="GZ129" s="12" t="n">
        <f aca="false">COUNTIF(GZ2:GZ127,"&gt;0")</f>
        <v>70</v>
      </c>
      <c r="HA129" s="12" t="n">
        <f aca="false">COUNTIF(HA2:HA127,"&gt;0")</f>
        <v>67</v>
      </c>
      <c r="HB129" s="12" t="n">
        <f aca="false">COUNTIF(HB2:HB127,"&gt;0")</f>
        <v>75</v>
      </c>
      <c r="HC129" s="12" t="n">
        <f aca="false">COUNTIF(HC2:HC127,"&gt;0")</f>
        <v>77</v>
      </c>
      <c r="HD129" s="12" t="n">
        <f aca="false">COUNTIF(HD2:HD127,"&gt;0")</f>
        <v>54</v>
      </c>
      <c r="HE129" s="12" t="n">
        <f aca="false">COUNTIF(HE2:HE127,"&gt;0")</f>
        <v>71</v>
      </c>
      <c r="HF129" s="12" t="n">
        <f aca="false">COUNTIF(HF2:HF127,"&gt;0")</f>
        <v>64</v>
      </c>
      <c r="HG129" s="12" t="n">
        <f aca="false">COUNTIF(HG2:HG127,"&gt;0")</f>
        <v>73</v>
      </c>
      <c r="HH129" s="12" t="n">
        <f aca="false">COUNTIF(HH2:HH127,"&gt;0")</f>
        <v>85</v>
      </c>
      <c r="HI129" s="12" t="n">
        <f aca="false">COUNTIF(HI2:HI127,"&gt;0")</f>
        <v>71</v>
      </c>
      <c r="HJ129" s="12" t="n">
        <f aca="false">COUNTIF(HJ2:HJ127,"&gt;0")</f>
        <v>60</v>
      </c>
      <c r="HK129" s="12" t="n">
        <f aca="false">COUNTIF(HK2:HK127,"&gt;0")</f>
        <v>75</v>
      </c>
      <c r="HL129" s="12" t="n">
        <f aca="false">COUNTIF(HL2:HL127,"&gt;0")</f>
        <v>59</v>
      </c>
      <c r="HM129" s="12" t="n">
        <f aca="false">COUNTIF(HM2:HM127,"&gt;0")</f>
        <v>60</v>
      </c>
      <c r="HN129" s="12" t="n">
        <f aca="false">COUNTIF(HN2:HN127,"&gt;0")</f>
        <v>77</v>
      </c>
      <c r="HO129" s="12" t="n">
        <f aca="false">COUNTIF(HO2:HO127,"&gt;0")</f>
        <v>73</v>
      </c>
      <c r="HP129" s="12" t="n">
        <f aca="false">COUNTIF(HP2:HP127,"&gt;0")</f>
        <v>67</v>
      </c>
      <c r="HQ129" s="12" t="n">
        <f aca="false">COUNTIF(HQ2:HQ127,"&gt;0")</f>
        <v>52</v>
      </c>
      <c r="HR129" s="12" t="n">
        <f aca="false">COUNTIF(HR2:HR127,"&gt;0")</f>
        <v>84</v>
      </c>
      <c r="HS129" s="12" t="n">
        <f aca="false">COUNTIF(HS2:HS127,"&gt;0")</f>
        <v>67</v>
      </c>
      <c r="HT129" s="12" t="n">
        <f aca="false">COUNTIF(HT2:HT127,"&gt;0")</f>
        <v>54</v>
      </c>
      <c r="HU129" s="12" t="n">
        <f aca="false">COUNTIF(HU2:HU127,"&gt;0")</f>
        <v>60</v>
      </c>
      <c r="HV129" s="12" t="n">
        <f aca="false">COUNTIF(HV2:HV127,"&gt;0")</f>
        <v>51</v>
      </c>
      <c r="HW129" s="12" t="n">
        <f aca="false">COUNTIF(HW2:HW127,"&gt;0")</f>
        <v>49</v>
      </c>
      <c r="HX129" s="12" t="n">
        <f aca="false">COUNTIF(HX2:HX127,"&gt;0")</f>
        <v>59</v>
      </c>
      <c r="HY129" s="12" t="n">
        <f aca="false">COUNTIF(HY2:HY127,"&gt;0")</f>
        <v>61</v>
      </c>
      <c r="HZ129" s="12" t="n">
        <f aca="false">COUNTIF(HZ2:HZ127,"&gt;0")</f>
        <v>57</v>
      </c>
      <c r="IA129" s="12" t="n">
        <f aca="false">COUNTIF(IA2:IA127,"&gt;0")</f>
        <v>57</v>
      </c>
      <c r="IB129" s="12" t="n">
        <f aca="false">COUNTIF(IB2:IB127,"&gt;0")</f>
        <v>60</v>
      </c>
      <c r="IC129" s="12" t="n">
        <f aca="false">COUNTIF(IC2:IC127,"&gt;0")</f>
        <v>51</v>
      </c>
      <c r="ID129" s="12" t="n">
        <f aca="false">COUNTIF(ID2:ID127,"&gt;0")</f>
        <v>48</v>
      </c>
      <c r="IE129" s="12" t="n">
        <f aca="false">COUNTIF(IE2:IE127,"&gt;0")</f>
        <v>51</v>
      </c>
      <c r="IF129" s="12" t="n">
        <f aca="false">COUNTIF(IF2:IF127,"&gt;0")</f>
        <v>49</v>
      </c>
      <c r="IG129" s="12" t="n">
        <f aca="false">COUNTIF(IG2:IG127,"&gt;0")</f>
        <v>62</v>
      </c>
      <c r="IH129" s="12" t="n">
        <f aca="false">COUNTIF(IH2:IH127,"&gt;0")</f>
        <v>65</v>
      </c>
      <c r="II129" s="12" t="n">
        <f aca="false">COUNTIF(II2:II127,"&gt;0")</f>
        <v>58</v>
      </c>
      <c r="IJ129" s="12" t="n">
        <f aca="false">COUNTIF(IJ2:IJ127,"&gt;0")</f>
        <v>75</v>
      </c>
      <c r="IK129" s="12" t="n">
        <f aca="false">COUNTIF(IK2:IK127,"&gt;0")</f>
        <v>58</v>
      </c>
      <c r="IL129" s="12" t="n">
        <f aca="false">COUNTIF(IL2:IL127,"&gt;0")</f>
        <v>57</v>
      </c>
      <c r="IM129" s="12" t="n">
        <f aca="false">COUNTIF(IM2:IM127,"&gt;0")</f>
        <v>63</v>
      </c>
      <c r="IN129" s="12" t="n">
        <f aca="false">COUNTIF(IN2:IN127,"&gt;0")</f>
        <v>67</v>
      </c>
      <c r="IO129" s="12" t="n">
        <f aca="false">COUNTIF(IO2:IO127,"&gt;0")</f>
        <v>68</v>
      </c>
      <c r="IP129" s="12" t="n">
        <f aca="false">COUNTIF(IP2:IP127,"&gt;0")</f>
        <v>53</v>
      </c>
      <c r="IQ129" s="12" t="n">
        <f aca="false">COUNTIF(IQ2:IQ127,"&gt;0")</f>
        <v>82</v>
      </c>
      <c r="IR129" s="12" t="n">
        <f aca="false">COUNTIF(IR2:IR127,"&gt;0")</f>
        <v>68</v>
      </c>
      <c r="IS129" s="12" t="n">
        <f aca="false">COUNTIF(IS2:IS127,"&gt;0")</f>
        <v>50</v>
      </c>
      <c r="IT129" s="12" t="n">
        <f aca="false">COUNTIF(IT2:IT127,"&gt;0")</f>
        <v>67</v>
      </c>
      <c r="IU129" s="12" t="n">
        <f aca="false">COUNTIF(IU2:IU127,"&gt;0")</f>
        <v>63</v>
      </c>
      <c r="IV129" s="12" t="n">
        <f aca="false">COUNTIF(IV2:IV127,"&gt;0")</f>
        <v>68</v>
      </c>
      <c r="IW129" s="12" t="n">
        <f aca="false">COUNTIF(IW2:IW127,"&gt;0")</f>
        <v>69</v>
      </c>
      <c r="IX129" s="12" t="n">
        <f aca="false">COUNTIF(IX2:IX127,"&gt;0")</f>
        <v>68</v>
      </c>
      <c r="IY129" s="12" t="n">
        <f aca="false">COUNTIF(IY2:IY127,"&gt;0")</f>
        <v>54</v>
      </c>
      <c r="IZ129" s="12" t="n">
        <f aca="false">COUNTIF(IZ2:IZ127,"&gt;0")</f>
        <v>80</v>
      </c>
      <c r="JA129" s="12" t="n">
        <f aca="false">COUNTIF(JA2:JA127,"&gt;0")</f>
        <v>67</v>
      </c>
      <c r="JB129" s="12" t="n">
        <f aca="false">COUNTIF(JB2:JB127,"&gt;0")</f>
        <v>62</v>
      </c>
      <c r="JC129" s="12" t="n">
        <f aca="false">COUNTIF(JC2:JC127,"&gt;0")</f>
        <v>70</v>
      </c>
      <c r="JD129" s="12" t="n">
        <f aca="false">COUNTIF(JD2:JD127,"&gt;0")</f>
        <v>63</v>
      </c>
      <c r="JE129" s="12" t="n">
        <f aca="false">COUNTIF(JE2:JE127,"&gt;0")</f>
        <v>70</v>
      </c>
      <c r="JF129" s="12" t="n">
        <f aca="false">COUNTIF(JF2:JF127,"&gt;0")</f>
        <v>69</v>
      </c>
      <c r="JG129" s="12" t="n">
        <f aca="false">COUNTIF(JG2:JG127,"&gt;0")</f>
        <v>64</v>
      </c>
      <c r="JH129" s="12" t="n">
        <f aca="false">COUNTIF(JH2:JH127,"&gt;0")</f>
        <v>65</v>
      </c>
      <c r="JI129" s="12" t="n">
        <f aca="false">COUNTIF(JI2:JI127,"&gt;0")</f>
        <v>63</v>
      </c>
      <c r="JJ129" s="12" t="n">
        <f aca="false">COUNTIF(JJ2:JJ127,"&gt;0")</f>
        <v>68</v>
      </c>
      <c r="JK129" s="12" t="n">
        <f aca="false">COUNTIF(JK2:JK127,"&gt;0")</f>
        <v>67</v>
      </c>
      <c r="JL129" s="12" t="n">
        <f aca="false">COUNTIF(JL2:JL127,"&gt;0")</f>
        <v>77</v>
      </c>
      <c r="JM129" s="12" t="n">
        <f aca="false">COUNTIF(JM2:JM127,"&gt;0")</f>
        <v>74</v>
      </c>
      <c r="JN129" s="12" t="n">
        <f aca="false">COUNTIF(JN2:JN127,"&gt;0")</f>
        <v>67</v>
      </c>
      <c r="JO129" s="12" t="n">
        <f aca="false">COUNTIF(JO2:JO127,"&gt;0")</f>
        <v>60</v>
      </c>
      <c r="JP129" s="12" t="n">
        <f aca="false">COUNTIF(JP2:JP127,"&gt;0")</f>
        <v>60</v>
      </c>
      <c r="JQ129" s="12" t="n">
        <f aca="false">COUNTIF(JQ2:JQ127,"&gt;0")</f>
        <v>72</v>
      </c>
      <c r="JR129" s="12" t="n">
        <f aca="false">COUNTIF(JR2:JR127,"&gt;0")</f>
        <v>62</v>
      </c>
      <c r="JS129" s="12" t="n">
        <f aca="false">COUNTIF(JS2:JS127,"&gt;0")</f>
        <v>69</v>
      </c>
      <c r="JT129" s="12" t="n">
        <f aca="false">COUNTIF(JT2:JT127,"&gt;0")</f>
        <v>76</v>
      </c>
      <c r="JU129" s="12" t="n">
        <f aca="false">COUNTIF(JU2:JU127,"&gt;0")</f>
        <v>61</v>
      </c>
      <c r="JV129" s="12" t="n">
        <f aca="false">COUNTIF(JV2:JV127,"&gt;0")</f>
        <v>78</v>
      </c>
      <c r="JW129" s="12" t="n">
        <f aca="false">COUNTIF(JW2:JW127,"&gt;0")</f>
        <v>67</v>
      </c>
      <c r="JX129" s="12" t="n">
        <f aca="false">COUNTIF(JX2:JX127,"&gt;0")</f>
        <v>63</v>
      </c>
      <c r="JY129" s="12" t="n">
        <f aca="false">COUNTIF(JY2:JY127,"&gt;0")</f>
        <v>58</v>
      </c>
      <c r="JZ129" s="12" t="n">
        <f aca="false">COUNTIF(JZ2:JZ127,"&gt;0")</f>
        <v>48</v>
      </c>
      <c r="KA129" s="12" t="n">
        <f aca="false">COUNTIF(KA2:KA127,"&gt;0")</f>
        <v>53</v>
      </c>
      <c r="KB129" s="12" t="n">
        <f aca="false">COUNTIF(KB2:KB127,"&gt;0")</f>
        <v>74</v>
      </c>
      <c r="KC129" s="12" t="n">
        <f aca="false">COUNTIF(KC2:KC127,"&gt;0")</f>
        <v>48</v>
      </c>
      <c r="KD129" s="12" t="n">
        <f aca="false">COUNTIF(KD2:KD127,"&gt;0")</f>
        <v>68</v>
      </c>
      <c r="KE129" s="12" t="n">
        <f aca="false">COUNTIF(KE2:KE127,"&gt;0")</f>
        <v>72</v>
      </c>
      <c r="KF129" s="12" t="n">
        <f aca="false">COUNTIF(KF2:KF127,"&gt;0")</f>
        <v>50</v>
      </c>
      <c r="KG129" s="12" t="n">
        <f aca="false">COUNTIF(KG2:KG127,"&gt;0")</f>
        <v>66</v>
      </c>
      <c r="KH129" s="12" t="n">
        <f aca="false">COUNTIF(KH2:KH127,"&gt;0")</f>
        <v>71</v>
      </c>
      <c r="KI129" s="12" t="n">
        <f aca="false">COUNTIF(KI2:KI127,"&gt;0")</f>
        <v>38</v>
      </c>
      <c r="KJ129" s="12" t="n">
        <f aca="false">COUNTIF(KJ2:KJ127,"&gt;0")</f>
        <v>60</v>
      </c>
      <c r="KK129" s="12" t="n">
        <f aca="false">COUNTIF(KK2:KK127,"&gt;0")</f>
        <v>58</v>
      </c>
      <c r="KL129" s="12" t="n">
        <f aca="false">COUNTIF(KL2:KL127,"&gt;0")</f>
        <v>61</v>
      </c>
      <c r="KM129" s="12" t="n">
        <f aca="false">COUNTIF(KM2:KM127,"&gt;0")</f>
        <v>62</v>
      </c>
      <c r="KN129" s="12" t="n">
        <f aca="false">COUNTIF(KN2:KN127,"&gt;0")</f>
        <v>58</v>
      </c>
      <c r="KO129" s="12" t="n">
        <f aca="false">COUNTIF(KO2:KO127,"&gt;0")</f>
        <v>62</v>
      </c>
      <c r="KP129" s="12" t="n">
        <f aca="false">COUNTIF(KP2:KP127,"&gt;0")</f>
        <v>46</v>
      </c>
      <c r="KQ129" s="12" t="n">
        <f aca="false">COUNTIF(KQ2:KQ127,"&gt;0")</f>
        <v>52</v>
      </c>
      <c r="KR129" s="12" t="n">
        <f aca="false">COUNTIF(KR2:KR127,"&gt;0")</f>
        <v>59</v>
      </c>
      <c r="KS129" s="12" t="n">
        <f aca="false">COUNTIF(KS2:KS127,"&gt;0")</f>
        <v>66</v>
      </c>
      <c r="KT129" s="12" t="n">
        <f aca="false">COUNTIF(KT2:KT127,"&gt;0")</f>
        <v>67</v>
      </c>
      <c r="KU129" s="12" t="n">
        <f aca="false">COUNTIF(KU2:KU127,"&gt;0")</f>
        <v>63</v>
      </c>
      <c r="KV129" s="12" t="n">
        <f aca="false">COUNTIF(KV2:KV127,"&gt;0")</f>
        <v>65</v>
      </c>
      <c r="KW129" s="12" t="n">
        <f aca="false">COUNTIF(KW2:KW127,"&gt;0")</f>
        <v>68</v>
      </c>
      <c r="KX129" s="12" t="n">
        <f aca="false">COUNTIF(KX2:KX127,"&gt;0")</f>
        <v>72</v>
      </c>
      <c r="KY129" s="12" t="n">
        <f aca="false">COUNTIF(KY2:KY127,"&gt;0")</f>
        <v>70</v>
      </c>
      <c r="KZ129" s="12" t="n">
        <f aca="false">COUNTIF(KZ2:KZ127,"&gt;0")</f>
        <v>64</v>
      </c>
      <c r="LA129" s="12" t="n">
        <f aca="false">COUNTIF(LA2:LA127,"&gt;0")</f>
        <v>59</v>
      </c>
      <c r="LB129" s="12" t="n">
        <f aca="false">COUNTIF(LB2:LB127,"&gt;0")</f>
        <v>67</v>
      </c>
      <c r="LC129" s="12" t="n">
        <f aca="false">COUNTIF(LC2:LC127,"&gt;0")</f>
        <v>67</v>
      </c>
      <c r="LD129" s="12" t="n">
        <f aca="false">COUNTIF(LD2:LD127,"&gt;0")</f>
        <v>67</v>
      </c>
      <c r="LE129" s="12" t="n">
        <f aca="false">COUNTIF(LE2:LE127,"&gt;0")</f>
        <v>57</v>
      </c>
      <c r="LF129" s="12" t="n">
        <f aca="false">COUNTIF(LF2:LF127,"&gt;0")</f>
        <v>82</v>
      </c>
      <c r="LG129" s="12" t="n">
        <f aca="false">COUNTIF(LG2:LG127,"&gt;0")</f>
        <v>56</v>
      </c>
      <c r="LH129" s="12" t="n">
        <f aca="false">COUNTIF(LH2:LH127,"&gt;0")</f>
        <v>68</v>
      </c>
      <c r="LI129" s="12" t="n">
        <f aca="false">COUNTIF(LI2:LI127,"&gt;0")</f>
        <v>74</v>
      </c>
      <c r="LJ129" s="12" t="n">
        <f aca="false">COUNTIF(LJ2:LJ127,"&gt;0")</f>
        <v>51</v>
      </c>
      <c r="LK129" s="12" t="n">
        <f aca="false">COUNTIF(LK2:LK127,"&gt;0")</f>
        <v>61</v>
      </c>
      <c r="LL129" s="12" t="n">
        <f aca="false">COUNTIF(LL2:LL127,"&gt;0")</f>
        <v>71</v>
      </c>
      <c r="LM129" s="12" t="n">
        <f aca="false">COUNTIF(LM2:LM127,"&gt;0")</f>
        <v>46</v>
      </c>
      <c r="LN129" s="12" t="n">
        <f aca="false">COUNTIF(LN2:LN127,"&gt;0")</f>
        <v>60</v>
      </c>
      <c r="LO129" s="12" t="n">
        <f aca="false">COUNTIF(LO2:LO127,"&gt;0")</f>
        <v>58</v>
      </c>
      <c r="LP129" s="12" t="n">
        <f aca="false">COUNTIF(LP2:LP127,"&gt;0")</f>
        <v>52</v>
      </c>
      <c r="LQ129" s="12" t="n">
        <f aca="false">COUNTIF(LQ2:LQ127,"&gt;0")</f>
        <v>75</v>
      </c>
      <c r="LR129" s="12" t="n">
        <f aca="false">COUNTIF(LR2:LR127,"&gt;0")</f>
        <v>70</v>
      </c>
      <c r="LS129" s="12" t="n">
        <f aca="false">COUNTIF(LS2:LS127,"&gt;0")</f>
        <v>61</v>
      </c>
    </row>
    <row r="130" customFormat="false" ht="15" hidden="false" customHeight="true" outlineLevel="0" collapsed="false">
      <c r="A130" s="7" t="s">
        <v>556</v>
      </c>
      <c r="B130" s="12" t="n">
        <f aca="false">COUNTIF(B2:B127,"&lt;0")</f>
        <v>73</v>
      </c>
      <c r="C130" s="12" t="n">
        <f aca="false">COUNTIF(C2:C127,"&lt;0")</f>
        <v>55</v>
      </c>
      <c r="D130" s="12" t="n">
        <f aca="false">COUNTIF(D2:D127,"&lt;0")</f>
        <v>75</v>
      </c>
      <c r="E130" s="12" t="n">
        <f aca="false">COUNTIF(E2:E127,"&lt;0")</f>
        <v>71</v>
      </c>
      <c r="F130" s="12" t="n">
        <f aca="false">COUNTIF(F2:F127,"&lt;0")</f>
        <v>73</v>
      </c>
      <c r="G130" s="12" t="n">
        <f aca="false">COUNTIF(G2:G127,"&lt;0")</f>
        <v>68</v>
      </c>
      <c r="H130" s="12" t="n">
        <f aca="false">COUNTIF(H2:H127,"&lt;0")</f>
        <v>49</v>
      </c>
      <c r="I130" s="12" t="n">
        <f aca="false">COUNTIF(I2:I127,"&lt;0")</f>
        <v>59</v>
      </c>
      <c r="J130" s="12" t="n">
        <f aca="false">COUNTIF(J2:J127,"&lt;0")</f>
        <v>80</v>
      </c>
      <c r="K130" s="12" t="n">
        <f aca="false">COUNTIF(K2:K127,"&lt;0")</f>
        <v>72</v>
      </c>
      <c r="L130" s="12" t="n">
        <f aca="false">COUNTIF(L2:L127,"&lt;0")</f>
        <v>69</v>
      </c>
      <c r="M130" s="12" t="n">
        <f aca="false">COUNTIF(M2:M127,"&lt;0")</f>
        <v>66</v>
      </c>
      <c r="N130" s="12" t="n">
        <f aca="false">COUNTIF(N2:N127,"&lt;0")</f>
        <v>60</v>
      </c>
      <c r="O130" s="12" t="n">
        <f aca="false">COUNTIF(O2:O127,"&lt;0")</f>
        <v>87</v>
      </c>
      <c r="P130" s="12" t="n">
        <f aca="false">COUNTIF(P2:P127,"&lt;0")</f>
        <v>37</v>
      </c>
      <c r="Q130" s="12" t="n">
        <f aca="false">COUNTIF(Q2:Q127,"&lt;0")</f>
        <v>52</v>
      </c>
      <c r="R130" s="12" t="n">
        <f aca="false">COUNTIF(R2:R127,"&lt;0")</f>
        <v>58</v>
      </c>
      <c r="S130" s="12" t="n">
        <f aca="false">COUNTIF(S2:S127,"&lt;0")</f>
        <v>55</v>
      </c>
      <c r="T130" s="12" t="n">
        <f aca="false">COUNTIF(T2:T127,"&lt;0")</f>
        <v>65</v>
      </c>
      <c r="U130" s="12" t="n">
        <f aca="false">COUNTIF(U2:U127,"&lt;0")</f>
        <v>79</v>
      </c>
      <c r="V130" s="12" t="n">
        <f aca="false">COUNTIF(V2:V127,"&lt;0")</f>
        <v>76</v>
      </c>
      <c r="W130" s="12" t="n">
        <f aca="false">COUNTIF(W2:W127,"&lt;0")</f>
        <v>58</v>
      </c>
      <c r="X130" s="12" t="n">
        <f aca="false">COUNTIF(X2:X127,"&lt;0")</f>
        <v>55</v>
      </c>
      <c r="Y130" s="12" t="n">
        <f aca="false">COUNTIF(Y2:Y127,"&lt;0")</f>
        <v>61</v>
      </c>
      <c r="Z130" s="12" t="n">
        <f aca="false">COUNTIF(Z2:Z127,"&lt;0")</f>
        <v>88</v>
      </c>
      <c r="AA130" s="12" t="n">
        <f aca="false">COUNTIF(AA2:AA127,"&lt;0")</f>
        <v>53</v>
      </c>
      <c r="AB130" s="12" t="n">
        <f aca="false">COUNTIF(AB2:AB127,"&lt;0")</f>
        <v>63</v>
      </c>
      <c r="AC130" s="12" t="n">
        <f aca="false">COUNTIF(AC2:AC127,"&lt;0")</f>
        <v>58</v>
      </c>
      <c r="AD130" s="12" t="n">
        <f aca="false">COUNTIF(AD2:AD127,"&lt;0")</f>
        <v>71</v>
      </c>
      <c r="AE130" s="12" t="n">
        <f aca="false">COUNTIF(AE2:AE127,"&lt;0")</f>
        <v>47</v>
      </c>
      <c r="AF130" s="12" t="n">
        <f aca="false">COUNTIF(AF2:AF127,"&lt;0")</f>
        <v>60</v>
      </c>
      <c r="AG130" s="12" t="n">
        <f aca="false">COUNTIF(AG2:AG127,"&lt;0")</f>
        <v>72</v>
      </c>
      <c r="AH130" s="12" t="n">
        <f aca="false">COUNTIF(AH2:AH127,"&lt;0")</f>
        <v>51</v>
      </c>
      <c r="AI130" s="12" t="n">
        <f aca="false">COUNTIF(AI2:AI127,"&lt;0")</f>
        <v>60</v>
      </c>
      <c r="AJ130" s="12" t="n">
        <f aca="false">COUNTIF(AJ2:AJ127,"&lt;0")</f>
        <v>55</v>
      </c>
      <c r="AK130" s="12" t="n">
        <f aca="false">COUNTIF(AK2:AK127,"&lt;0")</f>
        <v>87</v>
      </c>
      <c r="AL130" s="12" t="n">
        <f aca="false">COUNTIF(AL2:AL127,"&lt;0")</f>
        <v>68</v>
      </c>
      <c r="AM130" s="12" t="n">
        <f aca="false">COUNTIF(AM2:AM127,"&lt;0")</f>
        <v>72</v>
      </c>
      <c r="AN130" s="12" t="n">
        <f aca="false">COUNTIF(AN2:AN127,"&lt;0")</f>
        <v>57</v>
      </c>
      <c r="AO130" s="12" t="n">
        <f aca="false">COUNTIF(AO2:AO127,"&lt;0")</f>
        <v>69</v>
      </c>
      <c r="AP130" s="12" t="n">
        <f aca="false">COUNTIF(AP2:AP127,"&lt;0")</f>
        <v>60</v>
      </c>
      <c r="AQ130" s="12" t="n">
        <f aca="false">COUNTIF(AQ2:AQ127,"&lt;0")</f>
        <v>78</v>
      </c>
      <c r="AR130" s="12" t="n">
        <f aca="false">COUNTIF(AR2:AR127,"&lt;0")</f>
        <v>67</v>
      </c>
      <c r="AS130" s="12" t="n">
        <f aca="false">COUNTIF(AS2:AS127,"&lt;0")</f>
        <v>56</v>
      </c>
      <c r="AT130" s="12" t="n">
        <f aca="false">COUNTIF(AT2:AT127,"&lt;0")</f>
        <v>59</v>
      </c>
      <c r="AU130" s="12" t="n">
        <f aca="false">COUNTIF(AU2:AU127,"&lt;0")</f>
        <v>53</v>
      </c>
      <c r="AV130" s="12" t="n">
        <f aca="false">COUNTIF(AV2:AV127,"&lt;0")</f>
        <v>65</v>
      </c>
      <c r="AW130" s="12" t="n">
        <f aca="false">COUNTIF(AW2:AW127,"&lt;0")</f>
        <v>74</v>
      </c>
      <c r="AX130" s="12" t="n">
        <f aca="false">COUNTIF(AX2:AX127,"&lt;0")</f>
        <v>73</v>
      </c>
      <c r="AY130" s="12" t="n">
        <f aca="false">COUNTIF(AY2:AY127,"&lt;0")</f>
        <v>58</v>
      </c>
      <c r="AZ130" s="12" t="n">
        <f aca="false">COUNTIF(AZ2:AZ127,"&lt;0")</f>
        <v>64</v>
      </c>
      <c r="BA130" s="12" t="n">
        <f aca="false">COUNTIF(BA2:BA127,"&lt;0")</f>
        <v>59</v>
      </c>
      <c r="BB130" s="12" t="n">
        <f aca="false">COUNTIF(BB2:BB127,"&lt;0")</f>
        <v>79</v>
      </c>
      <c r="BC130" s="12" t="n">
        <f aca="false">COUNTIF(BC2:BC127,"&lt;0")</f>
        <v>67</v>
      </c>
      <c r="BD130" s="12" t="n">
        <f aca="false">COUNTIF(BD2:BD127,"&lt;0")</f>
        <v>69</v>
      </c>
      <c r="BE130" s="12" t="n">
        <f aca="false">COUNTIF(BE2:BE127,"&lt;0")</f>
        <v>59</v>
      </c>
      <c r="BF130" s="12" t="n">
        <f aca="false">COUNTIF(BF2:BF127,"&lt;0")</f>
        <v>79</v>
      </c>
      <c r="BG130" s="12" t="n">
        <f aca="false">COUNTIF(BG2:BG127,"&lt;0")</f>
        <v>61</v>
      </c>
      <c r="BH130" s="12" t="n">
        <f aca="false">COUNTIF(BH2:BH127,"&lt;0")</f>
        <v>59</v>
      </c>
      <c r="BI130" s="12" t="n">
        <f aca="false">COUNTIF(BI2:BI127,"&lt;0")</f>
        <v>79</v>
      </c>
      <c r="BJ130" s="12" t="n">
        <f aca="false">COUNTIF(BJ2:BJ127,"&lt;0")</f>
        <v>67</v>
      </c>
      <c r="BK130" s="12" t="n">
        <f aca="false">COUNTIF(BK2:BK127,"&lt;0")</f>
        <v>68</v>
      </c>
      <c r="BL130" s="12" t="n">
        <f aca="false">COUNTIF(BL2:BL127,"&lt;0")</f>
        <v>56</v>
      </c>
      <c r="BM130" s="12" t="n">
        <f aca="false">COUNTIF(BM2:BM127,"&lt;0")</f>
        <v>76</v>
      </c>
      <c r="BN130" s="12" t="n">
        <f aca="false">COUNTIF(BN2:BN127,"&lt;0")</f>
        <v>67</v>
      </c>
      <c r="BO130" s="12" t="n">
        <f aca="false">COUNTIF(BO2:BO127,"&lt;0")</f>
        <v>58</v>
      </c>
      <c r="BP130" s="12" t="n">
        <f aca="false">COUNTIF(BP2:BP127,"&lt;0")</f>
        <v>72</v>
      </c>
      <c r="BQ130" s="12" t="n">
        <f aca="false">COUNTIF(BQ2:BQ127,"&lt;0")</f>
        <v>65</v>
      </c>
      <c r="BR130" s="12" t="n">
        <f aca="false">COUNTIF(BR2:BR127,"&lt;0")</f>
        <v>77</v>
      </c>
      <c r="BS130" s="12" t="n">
        <f aca="false">COUNTIF(BS2:BS127,"&lt;0")</f>
        <v>77</v>
      </c>
      <c r="BT130" s="12" t="n">
        <f aca="false">COUNTIF(BT2:BT127,"&lt;0")</f>
        <v>45</v>
      </c>
      <c r="BU130" s="12" t="n">
        <f aca="false">COUNTIF(BU2:BU127,"&lt;0")</f>
        <v>75</v>
      </c>
      <c r="BV130" s="12" t="n">
        <f aca="false">COUNTIF(BV2:BV127,"&lt;0")</f>
        <v>62</v>
      </c>
      <c r="BW130" s="12" t="n">
        <f aca="false">COUNTIF(BW2:BW127,"&lt;0")</f>
        <v>65</v>
      </c>
      <c r="BX130" s="12" t="n">
        <f aca="false">COUNTIF(BX2:BX127,"&lt;0")</f>
        <v>76</v>
      </c>
      <c r="BY130" s="12" t="n">
        <f aca="false">COUNTIF(BY2:BY127,"&lt;0")</f>
        <v>60</v>
      </c>
      <c r="BZ130" s="12" t="n">
        <f aca="false">COUNTIF(BZ2:BZ127,"&lt;0")</f>
        <v>58</v>
      </c>
      <c r="CA130" s="12" t="n">
        <f aca="false">COUNTIF(CA2:CA127,"&lt;0")</f>
        <v>70</v>
      </c>
      <c r="CB130" s="12" t="n">
        <f aca="false">COUNTIF(CB2:CB127,"&lt;0")</f>
        <v>48</v>
      </c>
      <c r="CC130" s="12" t="n">
        <f aca="false">COUNTIF(CC2:CC127,"&lt;0")</f>
        <v>74</v>
      </c>
      <c r="CD130" s="12" t="n">
        <f aca="false">COUNTIF(CD2:CD127,"&lt;0")</f>
        <v>56</v>
      </c>
      <c r="CE130" s="12" t="n">
        <f aca="false">COUNTIF(CE2:CE127,"&lt;0")</f>
        <v>83</v>
      </c>
      <c r="CF130" s="12" t="n">
        <f aca="false">COUNTIF(CF2:CF127,"&lt;0")</f>
        <v>60</v>
      </c>
      <c r="CG130" s="12" t="n">
        <f aca="false">COUNTIF(CG2:CG127,"&lt;0")</f>
        <v>54</v>
      </c>
      <c r="CH130" s="12" t="n">
        <f aca="false">COUNTIF(CH2:CH127,"&lt;0")</f>
        <v>86</v>
      </c>
      <c r="CI130" s="12" t="n">
        <f aca="false">COUNTIF(CI2:CI127,"&lt;0")</f>
        <v>67</v>
      </c>
      <c r="CJ130" s="12" t="n">
        <f aca="false">COUNTIF(CJ2:CJ127,"&lt;0")</f>
        <v>59</v>
      </c>
      <c r="CK130" s="12" t="n">
        <f aca="false">COUNTIF(CK2:CK127,"&lt;0")</f>
        <v>59</v>
      </c>
      <c r="CL130" s="12" t="n">
        <f aca="false">COUNTIF(CL2:CL127,"&lt;0")</f>
        <v>47</v>
      </c>
      <c r="CM130" s="12" t="n">
        <f aca="false">COUNTIF(CM2:CM127,"&lt;0")</f>
        <v>51</v>
      </c>
      <c r="CN130" s="12" t="n">
        <f aca="false">COUNTIF(CN2:CN127,"&lt;0")</f>
        <v>59</v>
      </c>
      <c r="CO130" s="12" t="n">
        <f aca="false">COUNTIF(CO2:CO127,"&lt;0")</f>
        <v>58</v>
      </c>
      <c r="CP130" s="12" t="n">
        <f aca="false">COUNTIF(CP2:CP127,"&lt;0")</f>
        <v>53</v>
      </c>
      <c r="CQ130" s="12" t="n">
        <f aca="false">COUNTIF(CQ2:CQ127,"&lt;0")</f>
        <v>50</v>
      </c>
      <c r="CR130" s="12" t="n">
        <f aca="false">COUNTIF(CR2:CR127,"&lt;0")</f>
        <v>61</v>
      </c>
      <c r="CS130" s="12" t="n">
        <f aca="false">COUNTIF(CS2:CS127,"&lt;0")</f>
        <v>46</v>
      </c>
      <c r="CT130" s="12" t="n">
        <f aca="false">COUNTIF(CT2:CT127,"&lt;0")</f>
        <v>49</v>
      </c>
      <c r="CU130" s="12" t="n">
        <f aca="false">COUNTIF(CU2:CU127,"&lt;0")</f>
        <v>57</v>
      </c>
      <c r="CV130" s="12" t="n">
        <f aca="false">COUNTIF(CV2:CV127,"&lt;0")</f>
        <v>62</v>
      </c>
      <c r="CW130" s="12" t="n">
        <f aca="false">COUNTIF(CW2:CW127,"&lt;0")</f>
        <v>67</v>
      </c>
      <c r="CX130" s="12" t="n">
        <f aca="false">COUNTIF(CX2:CX127,"&lt;0")</f>
        <v>59</v>
      </c>
      <c r="CY130" s="12" t="n">
        <f aca="false">COUNTIF(CY2:CY127,"&lt;0")</f>
        <v>60</v>
      </c>
      <c r="CZ130" s="12" t="n">
        <f aca="false">COUNTIF(CZ2:CZ127,"&lt;0")</f>
        <v>71</v>
      </c>
      <c r="DA130" s="12" t="n">
        <f aca="false">COUNTIF(DA2:DA127,"&lt;0")</f>
        <v>48</v>
      </c>
      <c r="DB130" s="12" t="n">
        <f aca="false">COUNTIF(DB2:DB127,"&lt;0")</f>
        <v>69</v>
      </c>
      <c r="DC130" s="12" t="n">
        <f aca="false">COUNTIF(DC2:DC127,"&lt;0")</f>
        <v>37</v>
      </c>
      <c r="DD130" s="12" t="n">
        <f aca="false">COUNTIF(DD2:DD127,"&lt;0")</f>
        <v>67</v>
      </c>
      <c r="DE130" s="12" t="n">
        <f aca="false">COUNTIF(DE2:DE127,"&lt;0")</f>
        <v>60</v>
      </c>
      <c r="DF130" s="12" t="n">
        <f aca="false">COUNTIF(DF2:DF127,"&lt;0")</f>
        <v>56</v>
      </c>
      <c r="DG130" s="12" t="n">
        <f aca="false">COUNTIF(DG2:DG127,"&lt;0")</f>
        <v>88</v>
      </c>
      <c r="DH130" s="12" t="n">
        <f aca="false">COUNTIF(DH2:DH127,"&lt;0")</f>
        <v>69</v>
      </c>
      <c r="DI130" s="12" t="n">
        <f aca="false">COUNTIF(DI2:DI127,"&lt;0")</f>
        <v>55</v>
      </c>
      <c r="DJ130" s="12" t="n">
        <f aca="false">COUNTIF(DJ2:DJ127,"&lt;0")</f>
        <v>76</v>
      </c>
      <c r="DK130" s="12" t="n">
        <f aca="false">COUNTIF(DK2:DK127,"&lt;0")</f>
        <v>57</v>
      </c>
      <c r="DL130" s="12" t="n">
        <f aca="false">COUNTIF(DL2:DL127,"&lt;0")</f>
        <v>52</v>
      </c>
      <c r="DM130" s="12" t="n">
        <f aca="false">COUNTIF(DM2:DM127,"&lt;0")</f>
        <v>84</v>
      </c>
      <c r="DN130" s="12" t="n">
        <f aca="false">COUNTIF(DN2:DN127,"&lt;0")</f>
        <v>61</v>
      </c>
      <c r="DO130" s="12" t="n">
        <f aca="false">COUNTIF(DO2:DO127,"&lt;0")</f>
        <v>54</v>
      </c>
      <c r="DP130" s="12" t="n">
        <f aca="false">COUNTIF(DP2:DP127,"&lt;0")</f>
        <v>88</v>
      </c>
      <c r="DQ130" s="12" t="n">
        <f aca="false">COUNTIF(DQ2:DQ127,"&lt;0")</f>
        <v>75</v>
      </c>
      <c r="DR130" s="12" t="n">
        <f aca="false">COUNTIF(DR2:DR127,"&lt;0")</f>
        <v>74</v>
      </c>
      <c r="DS130" s="12" t="n">
        <f aca="false">COUNTIF(DS2:DS127,"&lt;0")</f>
        <v>73</v>
      </c>
      <c r="DT130" s="12" t="n">
        <f aca="false">COUNTIF(DT2:DT127,"&lt;0")</f>
        <v>75</v>
      </c>
      <c r="DU130" s="12" t="n">
        <f aca="false">COUNTIF(DU2:DU127,"&lt;0")</f>
        <v>77</v>
      </c>
      <c r="DV130" s="12" t="n">
        <f aca="false">COUNTIF(DV2:DV127,"&lt;0")</f>
        <v>66</v>
      </c>
      <c r="DW130" s="12" t="n">
        <f aca="false">COUNTIF(DW2:DW127,"&lt;0")</f>
        <v>68</v>
      </c>
      <c r="DX130" s="12" t="n">
        <f aca="false">COUNTIF(DX2:DX127,"&lt;0")</f>
        <v>47</v>
      </c>
      <c r="DY130" s="12" t="n">
        <f aca="false">COUNTIF(DY2:DY127,"&lt;0")</f>
        <v>53</v>
      </c>
      <c r="DZ130" s="12" t="n">
        <f aca="false">COUNTIF(DZ2:DZ127,"&lt;0")</f>
        <v>57</v>
      </c>
      <c r="EA130" s="12" t="n">
        <f aca="false">COUNTIF(EA2:EA127,"&lt;0")</f>
        <v>49</v>
      </c>
      <c r="EB130" s="12" t="n">
        <f aca="false">COUNTIF(EB2:EB127,"&lt;0")</f>
        <v>66</v>
      </c>
      <c r="EC130" s="12" t="n">
        <f aca="false">COUNTIF(EC2:EC127,"&lt;0")</f>
        <v>75</v>
      </c>
      <c r="ED130" s="12" t="n">
        <f aca="false">COUNTIF(ED2:ED127,"&lt;0")</f>
        <v>78</v>
      </c>
      <c r="EE130" s="12" t="n">
        <f aca="false">COUNTIF(EE2:EE127,"&lt;0")</f>
        <v>69</v>
      </c>
      <c r="EF130" s="12" t="n">
        <f aca="false">COUNTIF(EF2:EF127,"&lt;0")</f>
        <v>68</v>
      </c>
      <c r="EG130" s="12" t="n">
        <f aca="false">COUNTIF(EG2:EG127,"&lt;0")</f>
        <v>65</v>
      </c>
      <c r="EH130" s="12" t="n">
        <f aca="false">COUNTIF(EH2:EH127,"&lt;0")</f>
        <v>76</v>
      </c>
      <c r="EI130" s="12" t="n">
        <f aca="false">COUNTIF(EI2:EI127,"&lt;0")</f>
        <v>52</v>
      </c>
      <c r="EJ130" s="12" t="n">
        <f aca="false">COUNTIF(EJ2:EJ127,"&lt;0")</f>
        <v>64</v>
      </c>
      <c r="EK130" s="12" t="n">
        <f aca="false">COUNTIF(EK2:EK127,"&lt;0")</f>
        <v>58</v>
      </c>
      <c r="EL130" s="12" t="n">
        <f aca="false">COUNTIF(EL2:EL127,"&lt;0")</f>
        <v>75</v>
      </c>
      <c r="EM130" s="12" t="n">
        <f aca="false">COUNTIF(EM2:EM127,"&lt;0")</f>
        <v>59</v>
      </c>
      <c r="EN130" s="12" t="n">
        <f aca="false">COUNTIF(EN2:EN127,"&lt;0")</f>
        <v>58</v>
      </c>
      <c r="EO130" s="12" t="n">
        <f aca="false">COUNTIF(EO2:EO127,"&lt;0")</f>
        <v>77</v>
      </c>
      <c r="EP130" s="12" t="n">
        <f aca="false">COUNTIF(EP2:EP127,"&lt;0")</f>
        <v>59</v>
      </c>
      <c r="EQ130" s="12" t="n">
        <f aca="false">COUNTIF(EQ2:EQ127,"&lt;0")</f>
        <v>67</v>
      </c>
      <c r="ER130" s="12" t="n">
        <f aca="false">COUNTIF(ER2:ER127,"&lt;0")</f>
        <v>53</v>
      </c>
      <c r="ES130" s="12" t="n">
        <f aca="false">COUNTIF(ES2:ES127,"&lt;0")</f>
        <v>84</v>
      </c>
      <c r="ET130" s="12" t="n">
        <f aca="false">COUNTIF(ET2:ET127,"&lt;0")</f>
        <v>69</v>
      </c>
      <c r="EU130" s="12" t="n">
        <f aca="false">COUNTIF(EU2:EU127,"&lt;0")</f>
        <v>65</v>
      </c>
      <c r="EV130" s="12" t="n">
        <f aca="false">COUNTIF(EV2:EV127,"&lt;0")</f>
        <v>73</v>
      </c>
      <c r="EW130" s="12" t="n">
        <f aca="false">COUNTIF(EW2:EW127,"&lt;0")</f>
        <v>60</v>
      </c>
      <c r="EX130" s="12" t="n">
        <f aca="false">COUNTIF(EX2:EX127,"&lt;0")</f>
        <v>53</v>
      </c>
      <c r="EY130" s="12" t="n">
        <f aca="false">COUNTIF(EY2:EY127,"&lt;0")</f>
        <v>60</v>
      </c>
      <c r="EZ130" s="12" t="n">
        <f aca="false">COUNTIF(EZ2:EZ127,"&lt;0")</f>
        <v>71</v>
      </c>
      <c r="FA130" s="12" t="n">
        <f aca="false">COUNTIF(FA2:FA127,"&lt;0")</f>
        <v>79</v>
      </c>
      <c r="FB130" s="12" t="n">
        <f aca="false">COUNTIF(FB2:FB127,"&lt;0")</f>
        <v>57</v>
      </c>
      <c r="FC130" s="12" t="n">
        <f aca="false">COUNTIF(FC2:FC127,"&lt;0")</f>
        <v>48</v>
      </c>
      <c r="FD130" s="12" t="n">
        <f aca="false">COUNTIF(FD2:FD127,"&lt;0")</f>
        <v>75</v>
      </c>
      <c r="FE130" s="12" t="n">
        <f aca="false">COUNTIF(FE2:FE127,"&lt;0")</f>
        <v>64</v>
      </c>
      <c r="FF130" s="12" t="n">
        <f aca="false">COUNTIF(FF2:FF127,"&lt;0")</f>
        <v>70</v>
      </c>
      <c r="FG130" s="12" t="n">
        <f aca="false">COUNTIF(FG2:FG127,"&lt;0")</f>
        <v>42</v>
      </c>
      <c r="FH130" s="12" t="n">
        <f aca="false">COUNTIF(FH2:FH127,"&lt;0")</f>
        <v>80</v>
      </c>
      <c r="FI130" s="12" t="n">
        <f aca="false">COUNTIF(FI2:FI127,"&lt;0")</f>
        <v>69</v>
      </c>
      <c r="FJ130" s="12" t="n">
        <f aca="false">COUNTIF(FJ2:FJ127,"&lt;0")</f>
        <v>44</v>
      </c>
      <c r="FK130" s="12" t="n">
        <f aca="false">COUNTIF(FK2:FK127,"&lt;0")</f>
        <v>87</v>
      </c>
      <c r="FL130" s="12" t="n">
        <f aca="false">COUNTIF(FL2:FL127,"&lt;0")</f>
        <v>60</v>
      </c>
      <c r="FM130" s="12" t="n">
        <f aca="false">COUNTIF(FM2:FM127,"&lt;0")</f>
        <v>66</v>
      </c>
      <c r="FN130" s="12" t="n">
        <f aca="false">COUNTIF(FN2:FN127,"&lt;0")</f>
        <v>36</v>
      </c>
      <c r="FO130" s="12" t="n">
        <f aca="false">COUNTIF(FO2:FO127,"&lt;0")</f>
        <v>58</v>
      </c>
      <c r="FP130" s="12" t="n">
        <f aca="false">COUNTIF(FP2:FP127,"&lt;0")</f>
        <v>50</v>
      </c>
      <c r="FQ130" s="12" t="n">
        <f aca="false">COUNTIF(FQ2:FQ127,"&lt;0")</f>
        <v>61</v>
      </c>
      <c r="FR130" s="12" t="n">
        <f aca="false">COUNTIF(FR2:FR127,"&lt;0")</f>
        <v>53</v>
      </c>
      <c r="FS130" s="12" t="n">
        <f aca="false">COUNTIF(FS2:FS127,"&lt;0")</f>
        <v>58</v>
      </c>
      <c r="FT130" s="12" t="n">
        <f aca="false">COUNTIF(FT2:FT127,"&lt;0")</f>
        <v>62</v>
      </c>
      <c r="FU130" s="12" t="n">
        <f aca="false">COUNTIF(FU2:FU127,"&lt;0")</f>
        <v>63</v>
      </c>
      <c r="FV130" s="12" t="n">
        <f aca="false">COUNTIF(FV2:FV127,"&lt;0")</f>
        <v>62</v>
      </c>
      <c r="FW130" s="12" t="n">
        <f aca="false">COUNTIF(FW2:FW127,"&lt;0")</f>
        <v>59</v>
      </c>
      <c r="FX130" s="12" t="n">
        <f aca="false">COUNTIF(FX2:FX127,"&lt;0")</f>
        <v>64</v>
      </c>
      <c r="FY130" s="12" t="n">
        <f aca="false">COUNTIF(FY2:FY127,"&lt;0")</f>
        <v>51</v>
      </c>
      <c r="FZ130" s="12" t="n">
        <f aca="false">COUNTIF(FZ2:FZ127,"&lt;0")</f>
        <v>47</v>
      </c>
      <c r="GA130" s="12" t="n">
        <f aca="false">COUNTIF(GA2:GA127,"&lt;0")</f>
        <v>59</v>
      </c>
      <c r="GB130" s="12" t="n">
        <f aca="false">COUNTIF(GB2:GB127,"&lt;0")</f>
        <v>66</v>
      </c>
      <c r="GC130" s="12" t="n">
        <f aca="false">COUNTIF(GC2:GC127,"&lt;0")</f>
        <v>66</v>
      </c>
      <c r="GD130" s="12" t="n">
        <f aca="false">COUNTIF(GD2:GD127,"&lt;0")</f>
        <v>66</v>
      </c>
      <c r="GE130" s="12" t="n">
        <f aca="false">COUNTIF(GE2:GE127,"&lt;0")</f>
        <v>71</v>
      </c>
      <c r="GF130" s="12" t="n">
        <f aca="false">COUNTIF(GF2:GF127,"&lt;0")</f>
        <v>45</v>
      </c>
      <c r="GG130" s="12" t="n">
        <f aca="false">COUNTIF(GG2:GG127,"&lt;0")</f>
        <v>72</v>
      </c>
      <c r="GH130" s="12" t="n">
        <f aca="false">COUNTIF(GH2:GH127,"&lt;0")</f>
        <v>69</v>
      </c>
      <c r="GI130" s="12" t="n">
        <f aca="false">COUNTIF(GI2:GI127,"&lt;0")</f>
        <v>38</v>
      </c>
      <c r="GJ130" s="12" t="n">
        <f aca="false">COUNTIF(GJ2:GJ127,"&lt;0")</f>
        <v>71</v>
      </c>
      <c r="GK130" s="12" t="n">
        <f aca="false">COUNTIF(GK2:GK127,"&lt;0")</f>
        <v>62</v>
      </c>
      <c r="GL130" s="12" t="n">
        <f aca="false">COUNTIF(GL2:GL127,"&lt;0")</f>
        <v>66</v>
      </c>
      <c r="GM130" s="12" t="n">
        <f aca="false">COUNTIF(GM2:GM127,"&lt;0")</f>
        <v>70</v>
      </c>
      <c r="GN130" s="12" t="n">
        <f aca="false">COUNTIF(GN2:GN127,"&lt;0")</f>
        <v>64</v>
      </c>
      <c r="GO130" s="12" t="n">
        <f aca="false">COUNTIF(GO2:GO127,"&lt;0")</f>
        <v>60</v>
      </c>
      <c r="GP130" s="12" t="n">
        <f aca="false">COUNTIF(GP2:GP127,"&lt;0")</f>
        <v>66</v>
      </c>
      <c r="GQ130" s="12" t="n">
        <f aca="false">COUNTIF(GQ2:GQ127,"&lt;0")</f>
        <v>59</v>
      </c>
      <c r="GR130" s="12" t="n">
        <f aca="false">COUNTIF(GR2:GR127,"&lt;0")</f>
        <v>52</v>
      </c>
      <c r="GS130" s="12" t="n">
        <f aca="false">COUNTIF(GS2:GS127,"&lt;0")</f>
        <v>75</v>
      </c>
      <c r="GT130" s="12" t="n">
        <f aca="false">COUNTIF(GT2:GT127,"&lt;0")</f>
        <v>59</v>
      </c>
      <c r="GU130" s="12" t="n">
        <f aca="false">COUNTIF(GU2:GU127,"&lt;0")</f>
        <v>52</v>
      </c>
      <c r="GV130" s="12" t="n">
        <f aca="false">COUNTIF(GV2:GV127,"&lt;0")</f>
        <v>87</v>
      </c>
      <c r="GW130" s="12" t="n">
        <f aca="false">COUNTIF(GW2:GW127,"&lt;0")</f>
        <v>66</v>
      </c>
      <c r="GX130" s="12" t="n">
        <f aca="false">COUNTIF(GX2:GX127,"&lt;0")</f>
        <v>60</v>
      </c>
      <c r="GY130" s="12" t="n">
        <f aca="false">COUNTIF(GY2:GY127,"&lt;0")</f>
        <v>66</v>
      </c>
      <c r="GZ130" s="12" t="n">
        <f aca="false">COUNTIF(GZ2:GZ127,"&lt;0")</f>
        <v>56</v>
      </c>
      <c r="HA130" s="12" t="n">
        <f aca="false">COUNTIF(HA2:HA127,"&lt;0")</f>
        <v>59</v>
      </c>
      <c r="HB130" s="12" t="n">
        <f aca="false">COUNTIF(HB2:HB127,"&lt;0")</f>
        <v>51</v>
      </c>
      <c r="HC130" s="12" t="n">
        <f aca="false">COUNTIF(HC2:HC127,"&lt;0")</f>
        <v>49</v>
      </c>
      <c r="HD130" s="12" t="n">
        <f aca="false">COUNTIF(HD2:HD127,"&lt;0")</f>
        <v>72</v>
      </c>
      <c r="HE130" s="12" t="n">
        <f aca="false">COUNTIF(HE2:HE127,"&lt;0")</f>
        <v>55</v>
      </c>
      <c r="HF130" s="12" t="n">
        <f aca="false">COUNTIF(HF2:HF127,"&lt;0")</f>
        <v>62</v>
      </c>
      <c r="HG130" s="12" t="n">
        <f aca="false">COUNTIF(HG2:HG127,"&lt;0")</f>
        <v>53</v>
      </c>
      <c r="HH130" s="12" t="n">
        <f aca="false">COUNTIF(HH2:HH127,"&lt;0")</f>
        <v>41</v>
      </c>
      <c r="HI130" s="12" t="n">
        <f aca="false">COUNTIF(HI2:HI127,"&lt;0")</f>
        <v>55</v>
      </c>
      <c r="HJ130" s="12" t="n">
        <f aca="false">COUNTIF(HJ2:HJ127,"&lt;0")</f>
        <v>66</v>
      </c>
      <c r="HK130" s="12" t="n">
        <f aca="false">COUNTIF(HK2:HK127,"&lt;0")</f>
        <v>51</v>
      </c>
      <c r="HL130" s="12" t="n">
        <f aca="false">COUNTIF(HL2:HL127,"&lt;0")</f>
        <v>67</v>
      </c>
      <c r="HM130" s="12" t="n">
        <f aca="false">COUNTIF(HM2:HM127,"&lt;0")</f>
        <v>66</v>
      </c>
      <c r="HN130" s="12" t="n">
        <f aca="false">COUNTIF(HN2:HN127,"&lt;0")</f>
        <v>49</v>
      </c>
      <c r="HO130" s="12" t="n">
        <f aca="false">COUNTIF(HO2:HO127,"&lt;0")</f>
        <v>53</v>
      </c>
      <c r="HP130" s="12" t="n">
        <f aca="false">COUNTIF(HP2:HP127,"&lt;0")</f>
        <v>59</v>
      </c>
      <c r="HQ130" s="12" t="n">
        <f aca="false">COUNTIF(HQ2:HQ127,"&lt;0")</f>
        <v>74</v>
      </c>
      <c r="HR130" s="12" t="n">
        <f aca="false">COUNTIF(HR2:HR127,"&lt;0")</f>
        <v>42</v>
      </c>
      <c r="HS130" s="12" t="n">
        <f aca="false">COUNTIF(HS2:HS127,"&lt;0")</f>
        <v>59</v>
      </c>
      <c r="HT130" s="12" t="n">
        <f aca="false">COUNTIF(HT2:HT127,"&lt;0")</f>
        <v>72</v>
      </c>
      <c r="HU130" s="12" t="n">
        <f aca="false">COUNTIF(HU2:HU127,"&lt;0")</f>
        <v>66</v>
      </c>
      <c r="HV130" s="12" t="n">
        <f aca="false">COUNTIF(HV2:HV127,"&lt;0")</f>
        <v>75</v>
      </c>
      <c r="HW130" s="12" t="n">
        <f aca="false">COUNTIF(HW2:HW127,"&lt;0")</f>
        <v>77</v>
      </c>
      <c r="HX130" s="12" t="n">
        <f aca="false">COUNTIF(HX2:HX127,"&lt;0")</f>
        <v>67</v>
      </c>
      <c r="HY130" s="12" t="n">
        <f aca="false">COUNTIF(HY2:HY127,"&lt;0")</f>
        <v>65</v>
      </c>
      <c r="HZ130" s="12" t="n">
        <f aca="false">COUNTIF(HZ2:HZ127,"&lt;0")</f>
        <v>69</v>
      </c>
      <c r="IA130" s="12" t="n">
        <f aca="false">COUNTIF(IA2:IA127,"&lt;0")</f>
        <v>69</v>
      </c>
      <c r="IB130" s="12" t="n">
        <f aca="false">COUNTIF(IB2:IB127,"&lt;0")</f>
        <v>66</v>
      </c>
      <c r="IC130" s="12" t="n">
        <f aca="false">COUNTIF(IC2:IC127,"&lt;0")</f>
        <v>75</v>
      </c>
      <c r="ID130" s="12" t="n">
        <f aca="false">COUNTIF(ID2:ID127,"&lt;0")</f>
        <v>78</v>
      </c>
      <c r="IE130" s="12" t="n">
        <f aca="false">COUNTIF(IE2:IE127,"&lt;0")</f>
        <v>75</v>
      </c>
      <c r="IF130" s="12" t="n">
        <f aca="false">COUNTIF(IF2:IF127,"&lt;0")</f>
        <v>77</v>
      </c>
      <c r="IG130" s="12" t="n">
        <f aca="false">COUNTIF(IG2:IG127,"&lt;0")</f>
        <v>64</v>
      </c>
      <c r="IH130" s="12" t="n">
        <f aca="false">COUNTIF(IH2:IH127,"&lt;0")</f>
        <v>61</v>
      </c>
      <c r="II130" s="12" t="n">
        <f aca="false">COUNTIF(II2:II127,"&lt;0")</f>
        <v>68</v>
      </c>
      <c r="IJ130" s="12" t="n">
        <f aca="false">COUNTIF(IJ2:IJ127,"&lt;0")</f>
        <v>51</v>
      </c>
      <c r="IK130" s="12" t="n">
        <f aca="false">COUNTIF(IK2:IK127,"&lt;0")</f>
        <v>68</v>
      </c>
      <c r="IL130" s="12" t="n">
        <f aca="false">COUNTIF(IL2:IL127,"&lt;0")</f>
        <v>69</v>
      </c>
      <c r="IM130" s="12" t="n">
        <f aca="false">COUNTIF(IM2:IM127,"&lt;0")</f>
        <v>63</v>
      </c>
      <c r="IN130" s="12" t="n">
        <f aca="false">COUNTIF(IN2:IN127,"&lt;0")</f>
        <v>59</v>
      </c>
      <c r="IO130" s="12" t="n">
        <f aca="false">COUNTIF(IO2:IO127,"&lt;0")</f>
        <v>58</v>
      </c>
      <c r="IP130" s="12" t="n">
        <f aca="false">COUNTIF(IP2:IP127,"&lt;0")</f>
        <v>73</v>
      </c>
      <c r="IQ130" s="12" t="n">
        <f aca="false">COUNTIF(IQ2:IQ127,"&lt;0")</f>
        <v>44</v>
      </c>
      <c r="IR130" s="12" t="n">
        <f aca="false">COUNTIF(IR2:IR127,"&lt;0")</f>
        <v>58</v>
      </c>
      <c r="IS130" s="12" t="n">
        <f aca="false">COUNTIF(IS2:IS127,"&lt;0")</f>
        <v>76</v>
      </c>
      <c r="IT130" s="12" t="n">
        <f aca="false">COUNTIF(IT2:IT127,"&lt;0")</f>
        <v>59</v>
      </c>
      <c r="IU130" s="12" t="n">
        <f aca="false">COUNTIF(IU2:IU127,"&lt;0")</f>
        <v>63</v>
      </c>
      <c r="IV130" s="12" t="n">
        <f aca="false">COUNTIF(IV2:IV127,"&lt;0")</f>
        <v>58</v>
      </c>
      <c r="IW130" s="12" t="n">
        <f aca="false">COUNTIF(IW2:IW127,"&lt;0")</f>
        <v>57</v>
      </c>
      <c r="IX130" s="12" t="n">
        <f aca="false">COUNTIF(IX2:IX127,"&lt;0")</f>
        <v>58</v>
      </c>
      <c r="IY130" s="12" t="n">
        <f aca="false">COUNTIF(IY2:IY127,"&lt;0")</f>
        <v>72</v>
      </c>
      <c r="IZ130" s="12" t="n">
        <f aca="false">COUNTIF(IZ2:IZ127,"&lt;0")</f>
        <v>46</v>
      </c>
      <c r="JA130" s="12" t="n">
        <f aca="false">COUNTIF(JA2:JA127,"&lt;0")</f>
        <v>59</v>
      </c>
      <c r="JB130" s="12" t="n">
        <f aca="false">COUNTIF(JB2:JB127,"&lt;0")</f>
        <v>64</v>
      </c>
      <c r="JC130" s="12" t="n">
        <f aca="false">COUNTIF(JC2:JC127,"&lt;0")</f>
        <v>56</v>
      </c>
      <c r="JD130" s="12" t="n">
        <f aca="false">COUNTIF(JD2:JD127,"&lt;0")</f>
        <v>63</v>
      </c>
      <c r="JE130" s="12" t="n">
        <f aca="false">COUNTIF(JE2:JE127,"&lt;0")</f>
        <v>56</v>
      </c>
      <c r="JF130" s="12" t="n">
        <f aca="false">COUNTIF(JF2:JF127,"&lt;0")</f>
        <v>57</v>
      </c>
      <c r="JG130" s="12" t="n">
        <f aca="false">COUNTIF(JG2:JG127,"&lt;0")</f>
        <v>62</v>
      </c>
      <c r="JH130" s="12" t="n">
        <f aca="false">COUNTIF(JH2:JH127,"&lt;0")</f>
        <v>61</v>
      </c>
      <c r="JI130" s="12" t="n">
        <f aca="false">COUNTIF(JI2:JI127,"&lt;0")</f>
        <v>63</v>
      </c>
      <c r="JJ130" s="12" t="n">
        <f aca="false">COUNTIF(JJ2:JJ127,"&lt;0")</f>
        <v>58</v>
      </c>
      <c r="JK130" s="12" t="n">
        <f aca="false">COUNTIF(JK2:JK127,"&lt;0")</f>
        <v>59</v>
      </c>
      <c r="JL130" s="12" t="n">
        <f aca="false">COUNTIF(JL2:JL127,"&lt;0")</f>
        <v>49</v>
      </c>
      <c r="JM130" s="12" t="n">
        <f aca="false">COUNTIF(JM2:JM127,"&lt;0")</f>
        <v>52</v>
      </c>
      <c r="JN130" s="12" t="n">
        <f aca="false">COUNTIF(JN2:JN127,"&lt;0")</f>
        <v>59</v>
      </c>
      <c r="JO130" s="12" t="n">
        <f aca="false">COUNTIF(JO2:JO127,"&lt;0")</f>
        <v>66</v>
      </c>
      <c r="JP130" s="12" t="n">
        <f aca="false">COUNTIF(JP2:JP127,"&lt;0")</f>
        <v>66</v>
      </c>
      <c r="JQ130" s="12" t="n">
        <f aca="false">COUNTIF(JQ2:JQ127,"&lt;0")</f>
        <v>54</v>
      </c>
      <c r="JR130" s="12" t="n">
        <f aca="false">COUNTIF(JR2:JR127,"&lt;0")</f>
        <v>64</v>
      </c>
      <c r="JS130" s="12" t="n">
        <f aca="false">COUNTIF(JS2:JS127,"&lt;0")</f>
        <v>57</v>
      </c>
      <c r="JT130" s="12" t="n">
        <f aca="false">COUNTIF(JT2:JT127,"&lt;0")</f>
        <v>50</v>
      </c>
      <c r="JU130" s="12" t="n">
        <f aca="false">COUNTIF(JU2:JU127,"&lt;0")</f>
        <v>65</v>
      </c>
      <c r="JV130" s="12" t="n">
        <f aca="false">COUNTIF(JV2:JV127,"&lt;0")</f>
        <v>48</v>
      </c>
      <c r="JW130" s="12" t="n">
        <f aca="false">COUNTIF(JW2:JW127,"&lt;0")</f>
        <v>59</v>
      </c>
      <c r="JX130" s="12" t="n">
        <f aca="false">COUNTIF(JX2:JX127,"&lt;0")</f>
        <v>63</v>
      </c>
      <c r="JY130" s="12" t="n">
        <f aca="false">COUNTIF(JY2:JY127,"&lt;0")</f>
        <v>68</v>
      </c>
      <c r="JZ130" s="12" t="n">
        <f aca="false">COUNTIF(JZ2:JZ127,"&lt;0")</f>
        <v>78</v>
      </c>
      <c r="KA130" s="12" t="n">
        <f aca="false">COUNTIF(KA2:KA127,"&lt;0")</f>
        <v>73</v>
      </c>
      <c r="KB130" s="12" t="n">
        <f aca="false">COUNTIF(KB2:KB127,"&lt;0")</f>
        <v>52</v>
      </c>
      <c r="KC130" s="12" t="n">
        <f aca="false">COUNTIF(KC2:KC127,"&lt;0")</f>
        <v>78</v>
      </c>
      <c r="KD130" s="12" t="n">
        <f aca="false">COUNTIF(KD2:KD127,"&lt;0")</f>
        <v>58</v>
      </c>
      <c r="KE130" s="12" t="n">
        <f aca="false">COUNTIF(KE2:KE127,"&lt;0")</f>
        <v>54</v>
      </c>
      <c r="KF130" s="12" t="n">
        <f aca="false">COUNTIF(KF2:KF127,"&lt;0")</f>
        <v>76</v>
      </c>
      <c r="KG130" s="12" t="n">
        <f aca="false">COUNTIF(KG2:KG127,"&lt;0")</f>
        <v>60</v>
      </c>
      <c r="KH130" s="12" t="n">
        <f aca="false">COUNTIF(KH2:KH127,"&lt;0")</f>
        <v>55</v>
      </c>
      <c r="KI130" s="12" t="n">
        <f aca="false">COUNTIF(KI2:KI127,"&lt;0")</f>
        <v>88</v>
      </c>
      <c r="KJ130" s="12" t="n">
        <f aca="false">COUNTIF(KJ2:KJ127,"&lt;0")</f>
        <v>66</v>
      </c>
      <c r="KK130" s="12" t="n">
        <f aca="false">COUNTIF(KK2:KK127,"&lt;0")</f>
        <v>68</v>
      </c>
      <c r="KL130" s="12" t="n">
        <f aca="false">COUNTIF(KL2:KL127,"&lt;0")</f>
        <v>65</v>
      </c>
      <c r="KM130" s="12" t="n">
        <f aca="false">COUNTIF(KM2:KM127,"&lt;0")</f>
        <v>64</v>
      </c>
      <c r="KN130" s="12" t="n">
        <f aca="false">COUNTIF(KN2:KN127,"&lt;0")</f>
        <v>68</v>
      </c>
      <c r="KO130" s="12" t="n">
        <f aca="false">COUNTIF(KO2:KO127,"&lt;0")</f>
        <v>64</v>
      </c>
      <c r="KP130" s="12" t="n">
        <f aca="false">COUNTIF(KP2:KP127,"&lt;0")</f>
        <v>80</v>
      </c>
      <c r="KQ130" s="12" t="n">
        <f aca="false">COUNTIF(KQ2:KQ127,"&lt;0")</f>
        <v>74</v>
      </c>
      <c r="KR130" s="12" t="n">
        <f aca="false">COUNTIF(KR2:KR127,"&lt;0")</f>
        <v>67</v>
      </c>
      <c r="KS130" s="12" t="n">
        <f aca="false">COUNTIF(KS2:KS127,"&lt;0")</f>
        <v>60</v>
      </c>
      <c r="KT130" s="12" t="n">
        <f aca="false">COUNTIF(KT2:KT127,"&lt;0")</f>
        <v>59</v>
      </c>
      <c r="KU130" s="12" t="n">
        <f aca="false">COUNTIF(KU2:KU127,"&lt;0")</f>
        <v>63</v>
      </c>
      <c r="KV130" s="12" t="n">
        <f aca="false">COUNTIF(KV2:KV127,"&lt;0")</f>
        <v>61</v>
      </c>
      <c r="KW130" s="12" t="n">
        <f aca="false">COUNTIF(KW2:KW127,"&lt;0")</f>
        <v>58</v>
      </c>
      <c r="KX130" s="12" t="n">
        <f aca="false">COUNTIF(KX2:KX127,"&lt;0")</f>
        <v>54</v>
      </c>
      <c r="KY130" s="12" t="n">
        <f aca="false">COUNTIF(KY2:KY127,"&lt;0")</f>
        <v>56</v>
      </c>
      <c r="KZ130" s="12" t="n">
        <f aca="false">COUNTIF(KZ2:KZ127,"&lt;0")</f>
        <v>62</v>
      </c>
      <c r="LA130" s="12" t="n">
        <f aca="false">COUNTIF(LA2:LA127,"&lt;0")</f>
        <v>67</v>
      </c>
      <c r="LB130" s="12" t="n">
        <f aca="false">COUNTIF(LB2:LB127,"&lt;0")</f>
        <v>59</v>
      </c>
      <c r="LC130" s="12" t="n">
        <f aca="false">COUNTIF(LC2:LC127,"&lt;0")</f>
        <v>59</v>
      </c>
      <c r="LD130" s="12" t="n">
        <f aca="false">COUNTIF(LD2:LD127,"&lt;0")</f>
        <v>59</v>
      </c>
      <c r="LE130" s="12" t="n">
        <f aca="false">COUNTIF(LE2:LE127,"&lt;0")</f>
        <v>69</v>
      </c>
      <c r="LF130" s="12" t="n">
        <f aca="false">COUNTIF(LF2:LF127,"&lt;0")</f>
        <v>44</v>
      </c>
      <c r="LG130" s="12" t="n">
        <f aca="false">COUNTIF(LG2:LG127,"&lt;0")</f>
        <v>70</v>
      </c>
      <c r="LH130" s="12" t="n">
        <f aca="false">COUNTIF(LH2:LH127,"&lt;0")</f>
        <v>58</v>
      </c>
      <c r="LI130" s="12" t="n">
        <f aca="false">COUNTIF(LI2:LI127,"&lt;0")</f>
        <v>52</v>
      </c>
      <c r="LJ130" s="12" t="n">
        <f aca="false">COUNTIF(LJ2:LJ127,"&lt;0")</f>
        <v>75</v>
      </c>
      <c r="LK130" s="12" t="n">
        <f aca="false">COUNTIF(LK2:LK127,"&lt;0")</f>
        <v>65</v>
      </c>
      <c r="LL130" s="12" t="n">
        <f aca="false">COUNTIF(LL2:LL127,"&lt;0")</f>
        <v>55</v>
      </c>
      <c r="LM130" s="12" t="n">
        <f aca="false">COUNTIF(LM2:LM127,"&lt;0")</f>
        <v>80</v>
      </c>
      <c r="LN130" s="12" t="n">
        <f aca="false">COUNTIF(LN2:LN127,"&lt;0")</f>
        <v>66</v>
      </c>
      <c r="LO130" s="12" t="n">
        <f aca="false">COUNTIF(LO2:LO127,"&lt;0")</f>
        <v>68</v>
      </c>
      <c r="LP130" s="12" t="n">
        <f aca="false">COUNTIF(LP2:LP127,"&lt;0")</f>
        <v>74</v>
      </c>
      <c r="LQ130" s="12" t="n">
        <f aca="false">COUNTIF(LQ2:LQ127,"&lt;0")</f>
        <v>51</v>
      </c>
      <c r="LR130" s="12" t="n">
        <f aca="false">COUNTIF(LR2:LR127,"&lt;0")</f>
        <v>56</v>
      </c>
      <c r="LS130" s="12" t="n">
        <f aca="false">COUNTIF(LS2:LS127,"&lt;0")</f>
        <v>65</v>
      </c>
    </row>
    <row r="131" customFormat="false" ht="15" hidden="false" customHeight="true" outlineLevel="0" collapsed="false">
      <c r="A131" s="7" t="s">
        <v>557</v>
      </c>
      <c r="B131" s="12" t="n">
        <f aca="false">COUNTIF(B2:B127,0)</f>
        <v>0</v>
      </c>
      <c r="C131" s="12" t="n">
        <f aca="false">COUNTIF(C2:C127,0)</f>
        <v>0</v>
      </c>
      <c r="D131" s="12" t="n">
        <f aca="false">COUNTIF(D2:D127,0)</f>
        <v>0</v>
      </c>
      <c r="E131" s="12" t="n">
        <f aca="false">COUNTIF(E2:E127,0)</f>
        <v>0</v>
      </c>
      <c r="F131" s="12" t="n">
        <f aca="false">COUNTIF(F2:F127,0)</f>
        <v>0</v>
      </c>
      <c r="G131" s="12" t="n">
        <f aca="false">COUNTIF(G2:G127,0)</f>
        <v>0</v>
      </c>
      <c r="H131" s="12" t="n">
        <f aca="false">COUNTIF(H2:H127,0)</f>
        <v>0</v>
      </c>
      <c r="I131" s="12" t="n">
        <f aca="false">COUNTIF(I2:I127,0)</f>
        <v>0</v>
      </c>
      <c r="J131" s="12" t="n">
        <f aca="false">COUNTIF(J2:J127,0)</f>
        <v>0</v>
      </c>
      <c r="K131" s="12" t="n">
        <f aca="false">COUNTIF(K2:K127,0)</f>
        <v>0</v>
      </c>
      <c r="L131" s="12" t="n">
        <f aca="false">COUNTIF(L2:L127,0)</f>
        <v>0</v>
      </c>
      <c r="M131" s="12" t="n">
        <f aca="false">COUNTIF(M2:M127,0)</f>
        <v>0</v>
      </c>
      <c r="N131" s="12" t="n">
        <f aca="false">COUNTIF(N2:N127,0)</f>
        <v>0</v>
      </c>
      <c r="O131" s="12" t="n">
        <f aca="false">COUNTIF(O2:O127,0)</f>
        <v>0</v>
      </c>
      <c r="P131" s="12" t="n">
        <f aca="false">COUNTIF(P2:P127,0)</f>
        <v>0</v>
      </c>
      <c r="Q131" s="12" t="n">
        <f aca="false">COUNTIF(Q2:Q127,0)</f>
        <v>0</v>
      </c>
      <c r="R131" s="12" t="n">
        <f aca="false">COUNTIF(R2:R127,0)</f>
        <v>0</v>
      </c>
      <c r="S131" s="12" t="n">
        <f aca="false">COUNTIF(S2:S127,0)</f>
        <v>0</v>
      </c>
      <c r="T131" s="12" t="n">
        <f aca="false">COUNTIF(T2:T127,0)</f>
        <v>0</v>
      </c>
      <c r="U131" s="12" t="n">
        <f aca="false">COUNTIF(U2:U127,0)</f>
        <v>0</v>
      </c>
      <c r="V131" s="12" t="n">
        <f aca="false">COUNTIF(V2:V127,0)</f>
        <v>0</v>
      </c>
      <c r="W131" s="12" t="n">
        <f aca="false">COUNTIF(W2:W127,0)</f>
        <v>0</v>
      </c>
      <c r="X131" s="12" t="n">
        <f aca="false">COUNTIF(X2:X127,0)</f>
        <v>0</v>
      </c>
      <c r="Y131" s="12" t="n">
        <f aca="false">COUNTIF(Y2:Y127,0)</f>
        <v>0</v>
      </c>
      <c r="Z131" s="12" t="n">
        <f aca="false">COUNTIF(Z2:Z127,0)</f>
        <v>0</v>
      </c>
      <c r="AA131" s="12" t="n">
        <f aca="false">COUNTIF(AA2:AA127,0)</f>
        <v>0</v>
      </c>
      <c r="AB131" s="12" t="n">
        <f aca="false">COUNTIF(AB2:AB127,0)</f>
        <v>0</v>
      </c>
      <c r="AC131" s="12" t="n">
        <f aca="false">COUNTIF(AC2:AC127,0)</f>
        <v>0</v>
      </c>
      <c r="AD131" s="12" t="n">
        <f aca="false">COUNTIF(AD2:AD127,0)</f>
        <v>0</v>
      </c>
      <c r="AE131" s="12" t="n">
        <f aca="false">COUNTIF(AE2:AE127,0)</f>
        <v>0</v>
      </c>
      <c r="AF131" s="12" t="n">
        <f aca="false">COUNTIF(AF2:AF127,0)</f>
        <v>0</v>
      </c>
      <c r="AG131" s="12" t="n">
        <f aca="false">COUNTIF(AG2:AG127,0)</f>
        <v>0</v>
      </c>
      <c r="AH131" s="12" t="n">
        <f aca="false">COUNTIF(AH2:AH127,0)</f>
        <v>0</v>
      </c>
      <c r="AI131" s="12" t="n">
        <f aca="false">COUNTIF(AI2:AI127,0)</f>
        <v>0</v>
      </c>
      <c r="AJ131" s="12" t="n">
        <f aca="false">COUNTIF(AJ2:AJ127,0)</f>
        <v>0</v>
      </c>
      <c r="AK131" s="12" t="n">
        <f aca="false">COUNTIF(AK2:AK127,0)</f>
        <v>0</v>
      </c>
      <c r="AL131" s="12" t="n">
        <f aca="false">COUNTIF(AL2:AL127,0)</f>
        <v>0</v>
      </c>
      <c r="AM131" s="12" t="n">
        <f aca="false">COUNTIF(AM2:AM127,0)</f>
        <v>0</v>
      </c>
      <c r="AN131" s="12" t="n">
        <f aca="false">COUNTIF(AN2:AN127,0)</f>
        <v>0</v>
      </c>
      <c r="AO131" s="12" t="n">
        <f aca="false">COUNTIF(AO2:AO127,0)</f>
        <v>0</v>
      </c>
      <c r="AP131" s="12" t="n">
        <f aca="false">COUNTIF(AP2:AP127,0)</f>
        <v>0</v>
      </c>
      <c r="AQ131" s="12" t="n">
        <f aca="false">COUNTIF(AQ2:AQ127,0)</f>
        <v>0</v>
      </c>
      <c r="AR131" s="12" t="n">
        <f aca="false">COUNTIF(AR2:AR127,0)</f>
        <v>0</v>
      </c>
      <c r="AS131" s="12" t="n">
        <f aca="false">COUNTIF(AS2:AS127,0)</f>
        <v>0</v>
      </c>
      <c r="AT131" s="12" t="n">
        <f aca="false">COUNTIF(AT2:AT127,0)</f>
        <v>0</v>
      </c>
      <c r="AU131" s="12" t="n">
        <f aca="false">COUNTIF(AU2:AU127,0)</f>
        <v>0</v>
      </c>
      <c r="AV131" s="12" t="n">
        <f aca="false">COUNTIF(AV2:AV127,0)</f>
        <v>0</v>
      </c>
      <c r="AW131" s="12" t="n">
        <f aca="false">COUNTIF(AW2:AW127,0)</f>
        <v>0</v>
      </c>
      <c r="AX131" s="12" t="n">
        <f aca="false">COUNTIF(AX2:AX127,0)</f>
        <v>0</v>
      </c>
      <c r="AY131" s="12" t="n">
        <f aca="false">COUNTIF(AY2:AY127,0)</f>
        <v>0</v>
      </c>
      <c r="AZ131" s="12" t="n">
        <f aca="false">COUNTIF(AZ2:AZ127,0)</f>
        <v>0</v>
      </c>
      <c r="BA131" s="12" t="n">
        <f aca="false">COUNTIF(BA2:BA127,0)</f>
        <v>0</v>
      </c>
      <c r="BB131" s="12" t="n">
        <f aca="false">COUNTIF(BB2:BB127,0)</f>
        <v>0</v>
      </c>
      <c r="BC131" s="12" t="n">
        <f aca="false">COUNTIF(BC2:BC127,0)</f>
        <v>0</v>
      </c>
      <c r="BD131" s="12" t="n">
        <f aca="false">COUNTIF(BD2:BD127,0)</f>
        <v>0</v>
      </c>
      <c r="BE131" s="12" t="n">
        <f aca="false">COUNTIF(BE2:BE127,0)</f>
        <v>0</v>
      </c>
      <c r="BF131" s="12" t="n">
        <f aca="false">COUNTIF(BF2:BF127,0)</f>
        <v>0</v>
      </c>
      <c r="BG131" s="12" t="n">
        <f aca="false">COUNTIF(BG2:BG127,0)</f>
        <v>0</v>
      </c>
      <c r="BH131" s="12" t="n">
        <f aca="false">COUNTIF(BH2:BH127,0)</f>
        <v>0</v>
      </c>
      <c r="BI131" s="12" t="n">
        <f aca="false">COUNTIF(BI2:BI127,0)</f>
        <v>0</v>
      </c>
      <c r="BJ131" s="12" t="n">
        <f aca="false">COUNTIF(BJ2:BJ127,0)</f>
        <v>0</v>
      </c>
      <c r="BK131" s="12" t="n">
        <f aca="false">COUNTIF(BK2:BK127,0)</f>
        <v>0</v>
      </c>
      <c r="BL131" s="12" t="n">
        <f aca="false">COUNTIF(BL2:BL127,0)</f>
        <v>0</v>
      </c>
      <c r="BM131" s="12" t="n">
        <f aca="false">COUNTIF(BM2:BM127,0)</f>
        <v>0</v>
      </c>
      <c r="BN131" s="12" t="n">
        <f aca="false">COUNTIF(BN2:BN127,0)</f>
        <v>0</v>
      </c>
      <c r="BO131" s="12" t="n">
        <f aca="false">COUNTIF(BO2:BO127,0)</f>
        <v>0</v>
      </c>
      <c r="BP131" s="12" t="n">
        <f aca="false">COUNTIF(BP2:BP127,0)</f>
        <v>0</v>
      </c>
      <c r="BQ131" s="12" t="n">
        <f aca="false">COUNTIF(BQ2:BQ127,0)</f>
        <v>0</v>
      </c>
      <c r="BR131" s="12" t="n">
        <f aca="false">COUNTIF(BR2:BR127,0)</f>
        <v>0</v>
      </c>
      <c r="BS131" s="12" t="n">
        <f aca="false">COUNTIF(BS2:BS127,0)</f>
        <v>0</v>
      </c>
      <c r="BT131" s="12" t="n">
        <f aca="false">COUNTIF(BT2:BT127,0)</f>
        <v>0</v>
      </c>
      <c r="BU131" s="12" t="n">
        <f aca="false">COUNTIF(BU2:BU127,0)</f>
        <v>0</v>
      </c>
      <c r="BV131" s="12" t="n">
        <f aca="false">COUNTIF(BV2:BV127,0)</f>
        <v>0</v>
      </c>
      <c r="BW131" s="12" t="n">
        <f aca="false">COUNTIF(BW2:BW127,0)</f>
        <v>0</v>
      </c>
      <c r="BX131" s="12" t="n">
        <f aca="false">COUNTIF(BX2:BX127,0)</f>
        <v>0</v>
      </c>
      <c r="BY131" s="12" t="n">
        <f aca="false">COUNTIF(BY2:BY127,0)</f>
        <v>0</v>
      </c>
      <c r="BZ131" s="12" t="n">
        <f aca="false">COUNTIF(BZ2:BZ127,0)</f>
        <v>0</v>
      </c>
      <c r="CA131" s="12" t="n">
        <f aca="false">COUNTIF(CA2:CA127,0)</f>
        <v>0</v>
      </c>
      <c r="CB131" s="12" t="n">
        <f aca="false">COUNTIF(CB2:CB127,0)</f>
        <v>0</v>
      </c>
      <c r="CC131" s="12" t="n">
        <f aca="false">COUNTIF(CC2:CC127,0)</f>
        <v>0</v>
      </c>
      <c r="CD131" s="12" t="n">
        <f aca="false">COUNTIF(CD2:CD127,0)</f>
        <v>0</v>
      </c>
      <c r="CE131" s="12" t="n">
        <f aca="false">COUNTIF(CE2:CE127,0)</f>
        <v>0</v>
      </c>
      <c r="CF131" s="12" t="n">
        <f aca="false">COUNTIF(CF2:CF127,0)</f>
        <v>0</v>
      </c>
      <c r="CG131" s="12" t="n">
        <f aca="false">COUNTIF(CG2:CG127,0)</f>
        <v>0</v>
      </c>
      <c r="CH131" s="12" t="n">
        <f aca="false">COUNTIF(CH2:CH127,0)</f>
        <v>0</v>
      </c>
      <c r="CI131" s="12" t="n">
        <f aca="false">COUNTIF(CI2:CI127,0)</f>
        <v>0</v>
      </c>
      <c r="CJ131" s="12" t="n">
        <f aca="false">COUNTIF(CJ2:CJ127,0)</f>
        <v>0</v>
      </c>
      <c r="CK131" s="12" t="n">
        <f aca="false">COUNTIF(CK2:CK127,0)</f>
        <v>0</v>
      </c>
      <c r="CL131" s="12" t="n">
        <f aca="false">COUNTIF(CL2:CL127,0)</f>
        <v>0</v>
      </c>
      <c r="CM131" s="12" t="n">
        <f aca="false">COUNTIF(CM2:CM127,0)</f>
        <v>0</v>
      </c>
      <c r="CN131" s="12" t="n">
        <f aca="false">COUNTIF(CN2:CN127,0)</f>
        <v>0</v>
      </c>
      <c r="CO131" s="12" t="n">
        <f aca="false">COUNTIF(CO2:CO127,0)</f>
        <v>0</v>
      </c>
      <c r="CP131" s="12" t="n">
        <f aca="false">COUNTIF(CP2:CP127,0)</f>
        <v>0</v>
      </c>
      <c r="CQ131" s="12" t="n">
        <f aca="false">COUNTIF(CQ2:CQ127,0)</f>
        <v>0</v>
      </c>
      <c r="CR131" s="12" t="n">
        <f aca="false">COUNTIF(CR2:CR127,0)</f>
        <v>0</v>
      </c>
      <c r="CS131" s="12" t="n">
        <f aca="false">COUNTIF(CS2:CS127,0)</f>
        <v>0</v>
      </c>
      <c r="CT131" s="12" t="n">
        <f aca="false">COUNTIF(CT2:CT127,0)</f>
        <v>0</v>
      </c>
      <c r="CU131" s="12" t="n">
        <f aca="false">COUNTIF(CU2:CU127,0)</f>
        <v>0</v>
      </c>
      <c r="CV131" s="12" t="n">
        <f aca="false">COUNTIF(CV2:CV127,0)</f>
        <v>0</v>
      </c>
      <c r="CW131" s="12" t="n">
        <f aca="false">COUNTIF(CW2:CW127,0)</f>
        <v>0</v>
      </c>
      <c r="CX131" s="12" t="n">
        <f aca="false">COUNTIF(CX2:CX127,0)</f>
        <v>0</v>
      </c>
      <c r="CY131" s="12" t="n">
        <f aca="false">COUNTIF(CY2:CY127,0)</f>
        <v>0</v>
      </c>
      <c r="CZ131" s="12" t="n">
        <f aca="false">COUNTIF(CZ2:CZ127,0)</f>
        <v>0</v>
      </c>
      <c r="DA131" s="12" t="n">
        <f aca="false">COUNTIF(DA2:DA127,0)</f>
        <v>0</v>
      </c>
      <c r="DB131" s="12" t="n">
        <f aca="false">COUNTIF(DB2:DB127,0)</f>
        <v>0</v>
      </c>
      <c r="DC131" s="12" t="n">
        <f aca="false">COUNTIF(DC2:DC127,0)</f>
        <v>0</v>
      </c>
      <c r="DD131" s="12" t="n">
        <f aca="false">COUNTIF(DD2:DD127,0)</f>
        <v>0</v>
      </c>
      <c r="DE131" s="12" t="n">
        <f aca="false">COUNTIF(DE2:DE127,0)</f>
        <v>0</v>
      </c>
      <c r="DF131" s="12" t="n">
        <f aca="false">COUNTIF(DF2:DF127,0)</f>
        <v>0</v>
      </c>
      <c r="DG131" s="12" t="n">
        <f aca="false">COUNTIF(DG2:DG127,0)</f>
        <v>0</v>
      </c>
      <c r="DH131" s="12" t="n">
        <f aca="false">COUNTIF(DH2:DH127,0)</f>
        <v>0</v>
      </c>
      <c r="DI131" s="12" t="n">
        <f aca="false">COUNTIF(DI2:DI127,0)</f>
        <v>0</v>
      </c>
      <c r="DJ131" s="12" t="n">
        <f aca="false">COUNTIF(DJ2:DJ127,0)</f>
        <v>0</v>
      </c>
      <c r="DK131" s="12" t="n">
        <f aca="false">COUNTIF(DK2:DK127,0)</f>
        <v>0</v>
      </c>
      <c r="DL131" s="12" t="n">
        <f aca="false">COUNTIF(DL2:DL127,0)</f>
        <v>0</v>
      </c>
      <c r="DM131" s="12" t="n">
        <f aca="false">COUNTIF(DM2:DM127,0)</f>
        <v>0</v>
      </c>
      <c r="DN131" s="12" t="n">
        <f aca="false">COUNTIF(DN2:DN127,0)</f>
        <v>0</v>
      </c>
      <c r="DO131" s="12" t="n">
        <f aca="false">COUNTIF(DO2:DO127,0)</f>
        <v>0</v>
      </c>
      <c r="DP131" s="12" t="n">
        <f aca="false">COUNTIF(DP2:DP127,0)</f>
        <v>0</v>
      </c>
      <c r="DQ131" s="12" t="n">
        <f aca="false">COUNTIF(DQ2:DQ127,0)</f>
        <v>0</v>
      </c>
      <c r="DR131" s="12" t="n">
        <f aca="false">COUNTIF(DR2:DR127,0)</f>
        <v>0</v>
      </c>
      <c r="DS131" s="12" t="n">
        <f aca="false">COUNTIF(DS2:DS127,0)</f>
        <v>0</v>
      </c>
      <c r="DT131" s="12" t="n">
        <f aca="false">COUNTIF(DT2:DT127,0)</f>
        <v>0</v>
      </c>
      <c r="DU131" s="12" t="n">
        <f aca="false">COUNTIF(DU2:DU127,0)</f>
        <v>0</v>
      </c>
      <c r="DV131" s="12" t="n">
        <f aca="false">COUNTIF(DV2:DV127,0)</f>
        <v>0</v>
      </c>
      <c r="DW131" s="12" t="n">
        <f aca="false">COUNTIF(DW2:DW127,0)</f>
        <v>0</v>
      </c>
      <c r="DX131" s="12" t="n">
        <f aca="false">COUNTIF(DX2:DX127,0)</f>
        <v>0</v>
      </c>
      <c r="DY131" s="12" t="n">
        <f aca="false">COUNTIF(DY2:DY127,0)</f>
        <v>0</v>
      </c>
      <c r="DZ131" s="12" t="n">
        <f aca="false">COUNTIF(DZ2:DZ127,0)</f>
        <v>0</v>
      </c>
      <c r="EA131" s="12" t="n">
        <f aca="false">COUNTIF(EA2:EA127,0)</f>
        <v>0</v>
      </c>
      <c r="EB131" s="12" t="n">
        <f aca="false">COUNTIF(EB2:EB127,0)</f>
        <v>0</v>
      </c>
      <c r="EC131" s="12" t="n">
        <f aca="false">COUNTIF(EC2:EC127,0)</f>
        <v>0</v>
      </c>
      <c r="ED131" s="12" t="n">
        <f aca="false">COUNTIF(ED2:ED127,0)</f>
        <v>0</v>
      </c>
      <c r="EE131" s="12" t="n">
        <f aca="false">COUNTIF(EE2:EE127,0)</f>
        <v>0</v>
      </c>
      <c r="EF131" s="12" t="n">
        <f aca="false">COUNTIF(EF2:EF127,0)</f>
        <v>0</v>
      </c>
      <c r="EG131" s="12" t="n">
        <f aca="false">COUNTIF(EG2:EG127,0)</f>
        <v>0</v>
      </c>
      <c r="EH131" s="12" t="n">
        <f aca="false">COUNTIF(EH2:EH127,0)</f>
        <v>0</v>
      </c>
      <c r="EI131" s="12" t="n">
        <f aca="false">COUNTIF(EI2:EI127,0)</f>
        <v>0</v>
      </c>
      <c r="EJ131" s="12" t="n">
        <f aca="false">COUNTIF(EJ2:EJ127,0)</f>
        <v>0</v>
      </c>
      <c r="EK131" s="12" t="n">
        <f aca="false">COUNTIF(EK2:EK127,0)</f>
        <v>0</v>
      </c>
      <c r="EL131" s="12" t="n">
        <f aca="false">COUNTIF(EL2:EL127,0)</f>
        <v>0</v>
      </c>
      <c r="EM131" s="12" t="n">
        <f aca="false">COUNTIF(EM2:EM127,0)</f>
        <v>0</v>
      </c>
      <c r="EN131" s="12" t="n">
        <f aca="false">COUNTIF(EN2:EN127,0)</f>
        <v>0</v>
      </c>
      <c r="EO131" s="12" t="n">
        <f aca="false">COUNTIF(EO2:EO127,0)</f>
        <v>0</v>
      </c>
      <c r="EP131" s="12" t="n">
        <f aca="false">COUNTIF(EP2:EP127,0)</f>
        <v>0</v>
      </c>
      <c r="EQ131" s="12" t="n">
        <f aca="false">COUNTIF(EQ2:EQ127,0)</f>
        <v>0</v>
      </c>
      <c r="ER131" s="12" t="n">
        <f aca="false">COUNTIF(ER2:ER127,0)</f>
        <v>0</v>
      </c>
      <c r="ES131" s="12" t="n">
        <f aca="false">COUNTIF(ES2:ES127,0)</f>
        <v>0</v>
      </c>
      <c r="ET131" s="12" t="n">
        <f aca="false">COUNTIF(ET2:ET127,0)</f>
        <v>0</v>
      </c>
      <c r="EU131" s="12" t="n">
        <f aca="false">COUNTIF(EU2:EU127,0)</f>
        <v>0</v>
      </c>
      <c r="EV131" s="12" t="n">
        <f aca="false">COUNTIF(EV2:EV127,0)</f>
        <v>0</v>
      </c>
      <c r="EW131" s="12" t="n">
        <f aca="false">COUNTIF(EW2:EW127,0)</f>
        <v>0</v>
      </c>
      <c r="EX131" s="12" t="n">
        <f aca="false">COUNTIF(EX2:EX127,0)</f>
        <v>0</v>
      </c>
      <c r="EY131" s="12" t="n">
        <f aca="false">COUNTIF(EY2:EY127,0)</f>
        <v>0</v>
      </c>
      <c r="EZ131" s="12" t="n">
        <f aca="false">COUNTIF(EZ2:EZ127,0)</f>
        <v>0</v>
      </c>
      <c r="FA131" s="12" t="n">
        <f aca="false">COUNTIF(FA2:FA127,0)</f>
        <v>1</v>
      </c>
      <c r="FB131" s="12" t="n">
        <f aca="false">COUNTIF(FB2:FB127,0)</f>
        <v>0</v>
      </c>
      <c r="FC131" s="12" t="n">
        <f aca="false">COUNTIF(FC2:FC127,0)</f>
        <v>0</v>
      </c>
      <c r="FD131" s="12" t="n">
        <f aca="false">COUNTIF(FD2:FD127,0)</f>
        <v>0</v>
      </c>
      <c r="FE131" s="12" t="n">
        <f aca="false">COUNTIF(FE2:FE127,0)</f>
        <v>0</v>
      </c>
      <c r="FF131" s="12" t="n">
        <f aca="false">COUNTIF(FF2:FF127,0)</f>
        <v>0</v>
      </c>
      <c r="FG131" s="12" t="n">
        <f aca="false">COUNTIF(FG2:FG127,0)</f>
        <v>0</v>
      </c>
      <c r="FH131" s="12" t="n">
        <f aca="false">COUNTIF(FH2:FH127,0)</f>
        <v>0</v>
      </c>
      <c r="FI131" s="12" t="n">
        <f aca="false">COUNTIF(FI2:FI127,0)</f>
        <v>0</v>
      </c>
      <c r="FJ131" s="12" t="n">
        <f aca="false">COUNTIF(FJ2:FJ127,0)</f>
        <v>0</v>
      </c>
      <c r="FK131" s="12" t="n">
        <f aca="false">COUNTIF(FK2:FK127,0)</f>
        <v>0</v>
      </c>
      <c r="FL131" s="12" t="n">
        <f aca="false">COUNTIF(FL2:FL127,0)</f>
        <v>0</v>
      </c>
      <c r="FM131" s="12" t="n">
        <f aca="false">COUNTIF(FM2:FM127,0)</f>
        <v>0</v>
      </c>
      <c r="FN131" s="12" t="n">
        <f aca="false">COUNTIF(FN2:FN127,0)</f>
        <v>0</v>
      </c>
      <c r="FO131" s="12" t="n">
        <f aca="false">COUNTIF(FO2:FO127,0)</f>
        <v>0</v>
      </c>
      <c r="FP131" s="12" t="n">
        <f aca="false">COUNTIF(FP2:FP127,0)</f>
        <v>0</v>
      </c>
      <c r="FQ131" s="12" t="n">
        <f aca="false">COUNTIF(FQ2:FQ127,0)</f>
        <v>0</v>
      </c>
      <c r="FR131" s="12" t="n">
        <f aca="false">COUNTIF(FR2:FR127,0)</f>
        <v>0</v>
      </c>
      <c r="FS131" s="12" t="n">
        <f aca="false">COUNTIF(FS2:FS127,0)</f>
        <v>0</v>
      </c>
      <c r="FT131" s="12" t="n">
        <f aca="false">COUNTIF(FT2:FT127,0)</f>
        <v>0</v>
      </c>
      <c r="FU131" s="12" t="n">
        <f aca="false">COUNTIF(FU2:FU127,0)</f>
        <v>0</v>
      </c>
      <c r="FV131" s="12" t="n">
        <f aca="false">COUNTIF(FV2:FV127,0)</f>
        <v>0</v>
      </c>
      <c r="FW131" s="12" t="n">
        <f aca="false">COUNTIF(FW2:FW127,0)</f>
        <v>0</v>
      </c>
      <c r="FX131" s="12" t="n">
        <f aca="false">COUNTIF(FX2:FX127,0)</f>
        <v>0</v>
      </c>
      <c r="FY131" s="12" t="n">
        <f aca="false">COUNTIF(FY2:FY127,0)</f>
        <v>0</v>
      </c>
      <c r="FZ131" s="12" t="n">
        <f aca="false">COUNTIF(FZ2:FZ127,0)</f>
        <v>0</v>
      </c>
      <c r="GA131" s="12" t="n">
        <f aca="false">COUNTIF(GA2:GA127,0)</f>
        <v>0</v>
      </c>
      <c r="GB131" s="12" t="n">
        <f aca="false">COUNTIF(GB2:GB127,0)</f>
        <v>0</v>
      </c>
      <c r="GC131" s="12" t="n">
        <f aca="false">COUNTIF(GC2:GC127,0)</f>
        <v>0</v>
      </c>
      <c r="GD131" s="12" t="n">
        <f aca="false">COUNTIF(GD2:GD127,0)</f>
        <v>0</v>
      </c>
      <c r="GE131" s="12" t="n">
        <f aca="false">COUNTIF(GE2:GE127,0)</f>
        <v>0</v>
      </c>
      <c r="GF131" s="12" t="n">
        <f aca="false">COUNTIF(GF2:GF127,0)</f>
        <v>0</v>
      </c>
      <c r="GG131" s="12" t="n">
        <f aca="false">COUNTIF(GG2:GG127,0)</f>
        <v>0</v>
      </c>
      <c r="GH131" s="12" t="n">
        <f aca="false">COUNTIF(GH2:GH127,0)</f>
        <v>0</v>
      </c>
      <c r="GI131" s="12" t="n">
        <f aca="false">COUNTIF(GI2:GI127,0)</f>
        <v>0</v>
      </c>
      <c r="GJ131" s="12" t="n">
        <f aca="false">COUNTIF(GJ2:GJ127,0)</f>
        <v>0</v>
      </c>
      <c r="GK131" s="12" t="n">
        <f aca="false">COUNTIF(GK2:GK127,0)</f>
        <v>0</v>
      </c>
      <c r="GL131" s="12" t="n">
        <f aca="false">COUNTIF(GL2:GL127,0)</f>
        <v>0</v>
      </c>
      <c r="GM131" s="12" t="n">
        <f aca="false">COUNTIF(GM2:GM127,0)</f>
        <v>0</v>
      </c>
      <c r="GN131" s="12" t="n">
        <f aca="false">COUNTIF(GN2:GN127,0)</f>
        <v>0</v>
      </c>
      <c r="GO131" s="12" t="n">
        <f aca="false">COUNTIF(GO2:GO127,0)</f>
        <v>0</v>
      </c>
      <c r="GP131" s="12" t="n">
        <f aca="false">COUNTIF(GP2:GP127,0)</f>
        <v>0</v>
      </c>
      <c r="GQ131" s="12" t="n">
        <f aca="false">COUNTIF(GQ2:GQ127,0)</f>
        <v>0</v>
      </c>
      <c r="GR131" s="12" t="n">
        <f aca="false">COUNTIF(GR2:GR127,0)</f>
        <v>0</v>
      </c>
      <c r="GS131" s="12" t="n">
        <f aca="false">COUNTIF(GS2:GS127,0)</f>
        <v>0</v>
      </c>
      <c r="GT131" s="12" t="n">
        <f aca="false">COUNTIF(GT2:GT127,0)</f>
        <v>0</v>
      </c>
      <c r="GU131" s="12" t="n">
        <f aca="false">COUNTIF(GU2:GU127,0)</f>
        <v>0</v>
      </c>
      <c r="GV131" s="12" t="n">
        <f aca="false">COUNTIF(GV2:GV127,0)</f>
        <v>0</v>
      </c>
      <c r="GW131" s="12" t="n">
        <f aca="false">COUNTIF(GW2:GW127,0)</f>
        <v>0</v>
      </c>
      <c r="GX131" s="12" t="n">
        <f aca="false">COUNTIF(GX2:GX127,0)</f>
        <v>0</v>
      </c>
      <c r="GY131" s="12" t="n">
        <f aca="false">COUNTIF(GY2:GY127,0)</f>
        <v>0</v>
      </c>
      <c r="GZ131" s="12" t="n">
        <f aca="false">COUNTIF(GZ2:GZ127,0)</f>
        <v>0</v>
      </c>
      <c r="HA131" s="12" t="n">
        <f aca="false">COUNTIF(HA2:HA127,0)</f>
        <v>0</v>
      </c>
      <c r="HB131" s="12" t="n">
        <f aca="false">COUNTIF(HB2:HB127,0)</f>
        <v>0</v>
      </c>
      <c r="HC131" s="12" t="n">
        <f aca="false">COUNTIF(HC2:HC127,0)</f>
        <v>0</v>
      </c>
      <c r="HD131" s="12" t="n">
        <f aca="false">COUNTIF(HD2:HD127,0)</f>
        <v>0</v>
      </c>
      <c r="HE131" s="12" t="n">
        <f aca="false">COUNTIF(HE2:HE127,0)</f>
        <v>0</v>
      </c>
      <c r="HF131" s="12" t="n">
        <f aca="false">COUNTIF(HF2:HF127,0)</f>
        <v>0</v>
      </c>
      <c r="HG131" s="12" t="n">
        <f aca="false">COUNTIF(HG2:HG127,0)</f>
        <v>0</v>
      </c>
      <c r="HH131" s="12" t="n">
        <f aca="false">COUNTIF(HH2:HH127,0)</f>
        <v>0</v>
      </c>
      <c r="HI131" s="12" t="n">
        <f aca="false">COUNTIF(HI2:HI127,0)</f>
        <v>0</v>
      </c>
      <c r="HJ131" s="12" t="n">
        <f aca="false">COUNTIF(HJ2:HJ127,0)</f>
        <v>0</v>
      </c>
      <c r="HK131" s="12" t="n">
        <f aca="false">COUNTIF(HK2:HK127,0)</f>
        <v>0</v>
      </c>
      <c r="HL131" s="12" t="n">
        <f aca="false">COUNTIF(HL2:HL127,0)</f>
        <v>0</v>
      </c>
      <c r="HM131" s="12" t="n">
        <f aca="false">COUNTIF(HM2:HM127,0)</f>
        <v>0</v>
      </c>
      <c r="HN131" s="12" t="n">
        <f aca="false">COUNTIF(HN2:HN127,0)</f>
        <v>0</v>
      </c>
      <c r="HO131" s="12" t="n">
        <f aca="false">COUNTIF(HO2:HO127,0)</f>
        <v>0</v>
      </c>
      <c r="HP131" s="12" t="n">
        <f aca="false">COUNTIF(HP2:HP127,0)</f>
        <v>0</v>
      </c>
      <c r="HQ131" s="12" t="n">
        <f aca="false">COUNTIF(HQ2:HQ127,0)</f>
        <v>0</v>
      </c>
      <c r="HR131" s="12" t="n">
        <f aca="false">COUNTIF(HR2:HR127,0)</f>
        <v>0</v>
      </c>
      <c r="HS131" s="12" t="n">
        <f aca="false">COUNTIF(HS2:HS127,0)</f>
        <v>0</v>
      </c>
      <c r="HT131" s="12" t="n">
        <f aca="false">COUNTIF(HT2:HT127,0)</f>
        <v>0</v>
      </c>
      <c r="HU131" s="12" t="n">
        <f aca="false">COUNTIF(HU2:HU127,0)</f>
        <v>0</v>
      </c>
      <c r="HV131" s="12" t="n">
        <f aca="false">COUNTIF(HV2:HV127,0)</f>
        <v>0</v>
      </c>
      <c r="HW131" s="12" t="n">
        <f aca="false">COUNTIF(HW2:HW127,0)</f>
        <v>0</v>
      </c>
      <c r="HX131" s="12" t="n">
        <f aca="false">COUNTIF(HX2:HX127,0)</f>
        <v>0</v>
      </c>
      <c r="HY131" s="12" t="n">
        <f aca="false">COUNTIF(HY2:HY127,0)</f>
        <v>0</v>
      </c>
      <c r="HZ131" s="12" t="n">
        <f aca="false">COUNTIF(HZ2:HZ127,0)</f>
        <v>0</v>
      </c>
      <c r="IA131" s="12" t="n">
        <f aca="false">COUNTIF(IA2:IA127,0)</f>
        <v>0</v>
      </c>
      <c r="IB131" s="12" t="n">
        <f aca="false">COUNTIF(IB2:IB127,0)</f>
        <v>0</v>
      </c>
      <c r="IC131" s="12" t="n">
        <f aca="false">COUNTIF(IC2:IC127,0)</f>
        <v>0</v>
      </c>
      <c r="ID131" s="12" t="n">
        <f aca="false">COUNTIF(ID2:ID127,0)</f>
        <v>0</v>
      </c>
      <c r="IE131" s="12" t="n">
        <f aca="false">COUNTIF(IE2:IE127,0)</f>
        <v>0</v>
      </c>
      <c r="IF131" s="12" t="n">
        <f aca="false">COUNTIF(IF2:IF127,0)</f>
        <v>0</v>
      </c>
      <c r="IG131" s="12" t="n">
        <f aca="false">COUNTIF(IG2:IG127,0)</f>
        <v>0</v>
      </c>
      <c r="IH131" s="12" t="n">
        <f aca="false">COUNTIF(IH2:IH127,0)</f>
        <v>0</v>
      </c>
      <c r="II131" s="12" t="n">
        <f aca="false">COUNTIF(II2:II127,0)</f>
        <v>0</v>
      </c>
      <c r="IJ131" s="12" t="n">
        <f aca="false">COUNTIF(IJ2:IJ127,0)</f>
        <v>0</v>
      </c>
      <c r="IK131" s="12" t="n">
        <f aca="false">COUNTIF(IK2:IK127,0)</f>
        <v>0</v>
      </c>
      <c r="IL131" s="12" t="n">
        <f aca="false">COUNTIF(IL2:IL127,0)</f>
        <v>0</v>
      </c>
      <c r="IM131" s="12" t="n">
        <f aca="false">COUNTIF(IM2:IM127,0)</f>
        <v>0</v>
      </c>
      <c r="IN131" s="12" t="n">
        <f aca="false">COUNTIF(IN2:IN127,0)</f>
        <v>0</v>
      </c>
      <c r="IO131" s="12" t="n">
        <f aca="false">COUNTIF(IO2:IO127,0)</f>
        <v>0</v>
      </c>
      <c r="IP131" s="12" t="n">
        <f aca="false">COUNTIF(IP2:IP127,0)</f>
        <v>0</v>
      </c>
      <c r="IQ131" s="12" t="n">
        <f aca="false">COUNTIF(IQ2:IQ127,0)</f>
        <v>0</v>
      </c>
      <c r="IR131" s="12" t="n">
        <f aca="false">COUNTIF(IR2:IR127,0)</f>
        <v>0</v>
      </c>
      <c r="IS131" s="12" t="n">
        <f aca="false">COUNTIF(IS2:IS127,0)</f>
        <v>0</v>
      </c>
      <c r="IT131" s="12" t="n">
        <f aca="false">COUNTIF(IT2:IT127,0)</f>
        <v>0</v>
      </c>
      <c r="IU131" s="12" t="n">
        <f aca="false">COUNTIF(IU2:IU127,0)</f>
        <v>0</v>
      </c>
      <c r="IV131" s="12" t="n">
        <f aca="false">COUNTIF(IV2:IV127,0)</f>
        <v>0</v>
      </c>
      <c r="IW131" s="12" t="n">
        <f aca="false">COUNTIF(IW2:IW127,0)</f>
        <v>0</v>
      </c>
      <c r="IX131" s="12" t="n">
        <f aca="false">COUNTIF(IX2:IX127,0)</f>
        <v>0</v>
      </c>
      <c r="IY131" s="12" t="n">
        <f aca="false">COUNTIF(IY2:IY127,0)</f>
        <v>0</v>
      </c>
      <c r="IZ131" s="12" t="n">
        <f aca="false">COUNTIF(IZ2:IZ127,0)</f>
        <v>0</v>
      </c>
      <c r="JA131" s="12" t="n">
        <f aca="false">COUNTIF(JA2:JA127,0)</f>
        <v>0</v>
      </c>
      <c r="JB131" s="12" t="n">
        <f aca="false">COUNTIF(JB2:JB127,0)</f>
        <v>0</v>
      </c>
      <c r="JC131" s="12" t="n">
        <f aca="false">COUNTIF(JC2:JC127,0)</f>
        <v>0</v>
      </c>
      <c r="JD131" s="12" t="n">
        <f aca="false">COUNTIF(JD2:JD127,0)</f>
        <v>0</v>
      </c>
      <c r="JE131" s="12" t="n">
        <f aca="false">COUNTIF(JE2:JE127,0)</f>
        <v>0</v>
      </c>
      <c r="JF131" s="12" t="n">
        <f aca="false">COUNTIF(JF2:JF127,0)</f>
        <v>0</v>
      </c>
      <c r="JG131" s="12" t="n">
        <f aca="false">COUNTIF(JG2:JG127,0)</f>
        <v>0</v>
      </c>
      <c r="JH131" s="12" t="n">
        <f aca="false">COUNTIF(JH2:JH127,0)</f>
        <v>0</v>
      </c>
      <c r="JI131" s="12" t="n">
        <f aca="false">COUNTIF(JI2:JI127,0)</f>
        <v>0</v>
      </c>
      <c r="JJ131" s="12" t="n">
        <f aca="false">COUNTIF(JJ2:JJ127,0)</f>
        <v>0</v>
      </c>
      <c r="JK131" s="12" t="n">
        <f aca="false">COUNTIF(JK2:JK127,0)</f>
        <v>0</v>
      </c>
      <c r="JL131" s="12" t="n">
        <f aca="false">COUNTIF(JL2:JL127,0)</f>
        <v>0</v>
      </c>
      <c r="JM131" s="12" t="n">
        <f aca="false">COUNTIF(JM2:JM127,0)</f>
        <v>0</v>
      </c>
      <c r="JN131" s="12" t="n">
        <f aca="false">COUNTIF(JN2:JN127,0)</f>
        <v>0</v>
      </c>
      <c r="JO131" s="12" t="n">
        <f aca="false">COUNTIF(JO2:JO127,0)</f>
        <v>0</v>
      </c>
      <c r="JP131" s="12" t="n">
        <f aca="false">COUNTIF(JP2:JP127,0)</f>
        <v>0</v>
      </c>
      <c r="JQ131" s="12" t="n">
        <f aca="false">COUNTIF(JQ2:JQ127,0)</f>
        <v>0</v>
      </c>
      <c r="JR131" s="12" t="n">
        <f aca="false">COUNTIF(JR2:JR127,0)</f>
        <v>0</v>
      </c>
      <c r="JS131" s="12" t="n">
        <f aca="false">COUNTIF(JS2:JS127,0)</f>
        <v>0</v>
      </c>
      <c r="JT131" s="12" t="n">
        <f aca="false">COUNTIF(JT2:JT127,0)</f>
        <v>0</v>
      </c>
      <c r="JU131" s="12" t="n">
        <f aca="false">COUNTIF(JU2:JU127,0)</f>
        <v>0</v>
      </c>
      <c r="JV131" s="12" t="n">
        <f aca="false">COUNTIF(JV2:JV127,0)</f>
        <v>0</v>
      </c>
      <c r="JW131" s="12" t="n">
        <f aca="false">COUNTIF(JW2:JW127,0)</f>
        <v>0</v>
      </c>
      <c r="JX131" s="12" t="n">
        <f aca="false">COUNTIF(JX2:JX127,0)</f>
        <v>0</v>
      </c>
      <c r="JY131" s="12" t="n">
        <f aca="false">COUNTIF(JY2:JY127,0)</f>
        <v>0</v>
      </c>
      <c r="JZ131" s="12" t="n">
        <f aca="false">COUNTIF(JZ2:JZ127,0)</f>
        <v>0</v>
      </c>
      <c r="KA131" s="12" t="n">
        <f aca="false">COUNTIF(KA2:KA127,0)</f>
        <v>0</v>
      </c>
      <c r="KB131" s="12" t="n">
        <f aca="false">COUNTIF(KB2:KB127,0)</f>
        <v>0</v>
      </c>
      <c r="KC131" s="12" t="n">
        <f aca="false">COUNTIF(KC2:KC127,0)</f>
        <v>0</v>
      </c>
      <c r="KD131" s="12" t="n">
        <f aca="false">COUNTIF(KD2:KD127,0)</f>
        <v>0</v>
      </c>
      <c r="KE131" s="12" t="n">
        <f aca="false">COUNTIF(KE2:KE127,0)</f>
        <v>0</v>
      </c>
      <c r="KF131" s="12" t="n">
        <f aca="false">COUNTIF(KF2:KF127,0)</f>
        <v>0</v>
      </c>
      <c r="KG131" s="12" t="n">
        <f aca="false">COUNTIF(KG2:KG127,0)</f>
        <v>0</v>
      </c>
      <c r="KH131" s="12" t="n">
        <f aca="false">COUNTIF(KH2:KH127,0)</f>
        <v>0</v>
      </c>
      <c r="KI131" s="12" t="n">
        <f aca="false">COUNTIF(KI2:KI127,0)</f>
        <v>0</v>
      </c>
      <c r="KJ131" s="12" t="n">
        <f aca="false">COUNTIF(KJ2:KJ127,0)</f>
        <v>0</v>
      </c>
      <c r="KK131" s="12" t="n">
        <f aca="false">COUNTIF(KK2:KK127,0)</f>
        <v>0</v>
      </c>
      <c r="KL131" s="12" t="n">
        <f aca="false">COUNTIF(KL2:KL127,0)</f>
        <v>0</v>
      </c>
      <c r="KM131" s="12" t="n">
        <f aca="false">COUNTIF(KM2:KM127,0)</f>
        <v>0</v>
      </c>
      <c r="KN131" s="12" t="n">
        <f aca="false">COUNTIF(KN2:KN127,0)</f>
        <v>0</v>
      </c>
      <c r="KO131" s="12" t="n">
        <f aca="false">COUNTIF(KO2:KO127,0)</f>
        <v>0</v>
      </c>
      <c r="KP131" s="12" t="n">
        <f aca="false">COUNTIF(KP2:KP127,0)</f>
        <v>0</v>
      </c>
      <c r="KQ131" s="12" t="n">
        <f aca="false">COUNTIF(KQ2:KQ127,0)</f>
        <v>0</v>
      </c>
      <c r="KR131" s="12" t="n">
        <f aca="false">COUNTIF(KR2:KR127,0)</f>
        <v>0</v>
      </c>
      <c r="KS131" s="12" t="n">
        <f aca="false">COUNTIF(KS2:KS127,0)</f>
        <v>0</v>
      </c>
      <c r="KT131" s="12" t="n">
        <f aca="false">COUNTIF(KT2:KT127,0)</f>
        <v>0</v>
      </c>
      <c r="KU131" s="12" t="n">
        <f aca="false">COUNTIF(KU2:KU127,0)</f>
        <v>0</v>
      </c>
      <c r="KV131" s="12" t="n">
        <f aca="false">COUNTIF(KV2:KV127,0)</f>
        <v>0</v>
      </c>
      <c r="KW131" s="12" t="n">
        <f aca="false">COUNTIF(KW2:KW127,0)</f>
        <v>0</v>
      </c>
      <c r="KX131" s="12" t="n">
        <f aca="false">COUNTIF(KX2:KX127,0)</f>
        <v>0</v>
      </c>
      <c r="KY131" s="12" t="n">
        <f aca="false">COUNTIF(KY2:KY127,0)</f>
        <v>0</v>
      </c>
      <c r="KZ131" s="12" t="n">
        <f aca="false">COUNTIF(KZ2:KZ127,0)</f>
        <v>0</v>
      </c>
      <c r="LA131" s="12" t="n">
        <f aca="false">COUNTIF(LA2:LA127,0)</f>
        <v>0</v>
      </c>
      <c r="LB131" s="12" t="n">
        <f aca="false">COUNTIF(LB2:LB127,0)</f>
        <v>0</v>
      </c>
      <c r="LC131" s="12" t="n">
        <f aca="false">COUNTIF(LC2:LC127,0)</f>
        <v>0</v>
      </c>
      <c r="LD131" s="12" t="n">
        <f aca="false">COUNTIF(LD2:LD127,0)</f>
        <v>0</v>
      </c>
      <c r="LE131" s="12" t="n">
        <f aca="false">COUNTIF(LE2:LE127,0)</f>
        <v>0</v>
      </c>
      <c r="LF131" s="12" t="n">
        <f aca="false">COUNTIF(LF2:LF127,0)</f>
        <v>0</v>
      </c>
      <c r="LG131" s="12" t="n">
        <f aca="false">COUNTIF(LG2:LG127,0)</f>
        <v>0</v>
      </c>
      <c r="LH131" s="12" t="n">
        <f aca="false">COUNTIF(LH2:LH127,0)</f>
        <v>0</v>
      </c>
      <c r="LI131" s="12" t="n">
        <f aca="false">COUNTIF(LI2:LI127,0)</f>
        <v>0</v>
      </c>
      <c r="LJ131" s="12" t="n">
        <f aca="false">COUNTIF(LJ2:LJ127,0)</f>
        <v>0</v>
      </c>
      <c r="LK131" s="12" t="n">
        <f aca="false">COUNTIF(LK2:LK127,0)</f>
        <v>0</v>
      </c>
      <c r="LL131" s="12" t="n">
        <f aca="false">COUNTIF(LL2:LL127,0)</f>
        <v>0</v>
      </c>
      <c r="LM131" s="12" t="n">
        <f aca="false">COUNTIF(LM2:LM127,0)</f>
        <v>0</v>
      </c>
      <c r="LN131" s="12" t="n">
        <f aca="false">COUNTIF(LN2:LN127,0)</f>
        <v>0</v>
      </c>
      <c r="LO131" s="12" t="n">
        <f aca="false">COUNTIF(LO2:LO127,0)</f>
        <v>0</v>
      </c>
      <c r="LP131" s="12" t="n">
        <f aca="false">COUNTIF(LP2:LP127,0)</f>
        <v>0</v>
      </c>
      <c r="LQ131" s="12" t="n">
        <f aca="false">COUNTIF(LQ2:LQ127,0)</f>
        <v>0</v>
      </c>
      <c r="LR131" s="12" t="n">
        <f aca="false">COUNTIF(LR2:LR127,0)</f>
        <v>0</v>
      </c>
      <c r="LS131" s="12" t="n">
        <f aca="false">COUNTIF(LS2:LS127,0)</f>
        <v>0</v>
      </c>
    </row>
  </sheetData>
  <conditionalFormatting sqref="B2:LS12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0"/>
  </cols>
  <sheetData>
    <row r="1" customFormat="false" ht="23.25" hidden="false" customHeight="true" outlineLevel="0" collapsed="false">
      <c r="A1" s="5" t="s">
        <v>58</v>
      </c>
      <c r="B1" s="5" t="s">
        <v>558</v>
      </c>
      <c r="C1" s="5" t="s">
        <v>559</v>
      </c>
      <c r="D1" s="5" t="s">
        <v>560</v>
      </c>
      <c r="E1" s="5" t="s">
        <v>561</v>
      </c>
    </row>
    <row r="2" customFormat="false" ht="15" hidden="false" customHeight="true" outlineLevel="0" collapsed="false">
      <c r="A2" s="6" t="n">
        <v>1</v>
      </c>
      <c r="B2" s="6" t="s">
        <v>225</v>
      </c>
      <c r="C2" s="6" t="n">
        <f aca="false">Minors!B129</f>
        <v>53</v>
      </c>
      <c r="D2" s="6" t="n">
        <f aca="false">Minors!B130</f>
        <v>73</v>
      </c>
      <c r="E2" s="6" t="n">
        <f aca="false">Minors!B131</f>
        <v>0</v>
      </c>
    </row>
    <row r="3" customFormat="false" ht="15" hidden="false" customHeight="true" outlineLevel="0" collapsed="false">
      <c r="A3" s="6" t="n">
        <v>2</v>
      </c>
      <c r="B3" s="6" t="s">
        <v>226</v>
      </c>
      <c r="C3" s="6" t="n">
        <f aca="false">Minors!C129</f>
        <v>71</v>
      </c>
      <c r="D3" s="6" t="n">
        <f aca="false">Minors!C130</f>
        <v>55</v>
      </c>
      <c r="E3" s="6" t="n">
        <f aca="false">Minors!C131</f>
        <v>0</v>
      </c>
    </row>
    <row r="4" customFormat="false" ht="15" hidden="false" customHeight="true" outlineLevel="0" collapsed="false">
      <c r="A4" s="6" t="n">
        <v>3</v>
      </c>
      <c r="B4" s="6" t="s">
        <v>227</v>
      </c>
      <c r="C4" s="6" t="n">
        <f aca="false">Minors!D129</f>
        <v>51</v>
      </c>
      <c r="D4" s="6" t="n">
        <f aca="false">Minors!D130</f>
        <v>75</v>
      </c>
      <c r="E4" s="6" t="n">
        <f aca="false">Minors!D131</f>
        <v>0</v>
      </c>
    </row>
    <row r="5" customFormat="false" ht="15" hidden="false" customHeight="true" outlineLevel="0" collapsed="false">
      <c r="A5" s="6" t="n">
        <v>4</v>
      </c>
      <c r="B5" s="6" t="s">
        <v>228</v>
      </c>
      <c r="C5" s="6" t="n">
        <f aca="false">Minors!E129</f>
        <v>55</v>
      </c>
      <c r="D5" s="6" t="n">
        <f aca="false">Minors!E130</f>
        <v>71</v>
      </c>
      <c r="E5" s="6" t="n">
        <f aca="false">Minors!E131</f>
        <v>0</v>
      </c>
    </row>
    <row r="6" customFormat="false" ht="15" hidden="false" customHeight="true" outlineLevel="0" collapsed="false">
      <c r="A6" s="6" t="n">
        <v>5</v>
      </c>
      <c r="B6" s="6" t="s">
        <v>229</v>
      </c>
      <c r="C6" s="6" t="n">
        <f aca="false">Minors!F129</f>
        <v>53</v>
      </c>
      <c r="D6" s="6" t="n">
        <f aca="false">Minors!F130</f>
        <v>73</v>
      </c>
      <c r="E6" s="6" t="n">
        <f aca="false">Minors!F131</f>
        <v>0</v>
      </c>
    </row>
    <row r="7" customFormat="false" ht="15" hidden="false" customHeight="true" outlineLevel="0" collapsed="false">
      <c r="A7" s="6" t="n">
        <v>6</v>
      </c>
      <c r="B7" s="6" t="s">
        <v>230</v>
      </c>
      <c r="C7" s="6" t="n">
        <f aca="false">Minors!G129</f>
        <v>58</v>
      </c>
      <c r="D7" s="6" t="n">
        <f aca="false">Minors!G130</f>
        <v>68</v>
      </c>
      <c r="E7" s="6" t="n">
        <f aca="false">Minors!G131</f>
        <v>0</v>
      </c>
    </row>
    <row r="8" customFormat="false" ht="15" hidden="false" customHeight="true" outlineLevel="0" collapsed="false">
      <c r="A8" s="6" t="n">
        <v>7</v>
      </c>
      <c r="B8" s="6" t="s">
        <v>231</v>
      </c>
      <c r="C8" s="6" t="n">
        <f aca="false">Minors!H129</f>
        <v>77</v>
      </c>
      <c r="D8" s="6" t="n">
        <f aca="false">Minors!H130</f>
        <v>49</v>
      </c>
      <c r="E8" s="6" t="n">
        <f aca="false">Minors!H131</f>
        <v>0</v>
      </c>
    </row>
    <row r="9" customFormat="false" ht="15" hidden="false" customHeight="true" outlineLevel="0" collapsed="false">
      <c r="A9" s="6" t="n">
        <v>8</v>
      </c>
      <c r="B9" s="6" t="s">
        <v>232</v>
      </c>
      <c r="C9" s="6" t="n">
        <f aca="false">Minors!I129</f>
        <v>67</v>
      </c>
      <c r="D9" s="6" t="n">
        <f aca="false">Minors!I130</f>
        <v>59</v>
      </c>
      <c r="E9" s="6" t="n">
        <f aca="false">Minors!I131</f>
        <v>0</v>
      </c>
    </row>
    <row r="10" customFormat="false" ht="15" hidden="false" customHeight="true" outlineLevel="0" collapsed="false">
      <c r="A10" s="6" t="n">
        <v>9</v>
      </c>
      <c r="B10" s="6" t="s">
        <v>233</v>
      </c>
      <c r="C10" s="6" t="n">
        <f aca="false">Minors!J129</f>
        <v>46</v>
      </c>
      <c r="D10" s="6" t="n">
        <f aca="false">Minors!J130</f>
        <v>80</v>
      </c>
      <c r="E10" s="6" t="n">
        <f aca="false">Minors!J131</f>
        <v>0</v>
      </c>
    </row>
    <row r="11" customFormat="false" ht="15" hidden="false" customHeight="true" outlineLevel="0" collapsed="false">
      <c r="A11" s="6" t="n">
        <v>10</v>
      </c>
      <c r="B11" s="6" t="s">
        <v>234</v>
      </c>
      <c r="C11" s="6" t="n">
        <f aca="false">Minors!K129</f>
        <v>54</v>
      </c>
      <c r="D11" s="6" t="n">
        <f aca="false">Minors!K130</f>
        <v>72</v>
      </c>
      <c r="E11" s="6" t="n">
        <f aca="false">Minors!K131</f>
        <v>0</v>
      </c>
    </row>
    <row r="12" customFormat="false" ht="15" hidden="false" customHeight="true" outlineLevel="0" collapsed="false">
      <c r="A12" s="6" t="n">
        <v>11</v>
      </c>
      <c r="B12" s="6" t="s">
        <v>235</v>
      </c>
      <c r="C12" s="6" t="n">
        <f aca="false">Minors!L129</f>
        <v>57</v>
      </c>
      <c r="D12" s="6" t="n">
        <f aca="false">Minors!L130</f>
        <v>69</v>
      </c>
      <c r="E12" s="6" t="n">
        <f aca="false">Minors!L131</f>
        <v>0</v>
      </c>
    </row>
    <row r="13" customFormat="false" ht="15" hidden="false" customHeight="true" outlineLevel="0" collapsed="false">
      <c r="A13" s="6" t="n">
        <v>12</v>
      </c>
      <c r="B13" s="6" t="s">
        <v>236</v>
      </c>
      <c r="C13" s="6" t="n">
        <f aca="false">Minors!M129</f>
        <v>60</v>
      </c>
      <c r="D13" s="6" t="n">
        <f aca="false">Minors!M130</f>
        <v>66</v>
      </c>
      <c r="E13" s="6" t="n">
        <f aca="false">Minors!M131</f>
        <v>0</v>
      </c>
    </row>
    <row r="14" customFormat="false" ht="15" hidden="false" customHeight="true" outlineLevel="0" collapsed="false">
      <c r="A14" s="6" t="n">
        <v>13</v>
      </c>
      <c r="B14" s="6" t="s">
        <v>237</v>
      </c>
      <c r="C14" s="6" t="n">
        <f aca="false">Minors!N129</f>
        <v>66</v>
      </c>
      <c r="D14" s="6" t="n">
        <f aca="false">Minors!N130</f>
        <v>60</v>
      </c>
      <c r="E14" s="6" t="n">
        <f aca="false">Minors!N131</f>
        <v>0</v>
      </c>
    </row>
    <row r="15" customFormat="false" ht="15" hidden="false" customHeight="true" outlineLevel="0" collapsed="false">
      <c r="A15" s="6" t="n">
        <v>14</v>
      </c>
      <c r="B15" s="6" t="s">
        <v>238</v>
      </c>
      <c r="C15" s="6" t="n">
        <f aca="false">Minors!O129</f>
        <v>39</v>
      </c>
      <c r="D15" s="6" t="n">
        <f aca="false">Minors!O130</f>
        <v>87</v>
      </c>
      <c r="E15" s="6" t="n">
        <f aca="false">Minors!O131</f>
        <v>0</v>
      </c>
    </row>
    <row r="16" customFormat="false" ht="15" hidden="false" customHeight="true" outlineLevel="0" collapsed="false">
      <c r="A16" s="6" t="n">
        <v>15</v>
      </c>
      <c r="B16" s="6" t="s">
        <v>239</v>
      </c>
      <c r="C16" s="6" t="n">
        <f aca="false">Minors!P129</f>
        <v>89</v>
      </c>
      <c r="D16" s="6" t="n">
        <f aca="false">Minors!P130</f>
        <v>37</v>
      </c>
      <c r="E16" s="6" t="n">
        <f aca="false">Minors!P131</f>
        <v>0</v>
      </c>
    </row>
    <row r="17" customFormat="false" ht="15" hidden="false" customHeight="true" outlineLevel="0" collapsed="false">
      <c r="A17" s="6" t="n">
        <v>16</v>
      </c>
      <c r="B17" s="6" t="s">
        <v>240</v>
      </c>
      <c r="C17" s="6" t="n">
        <f aca="false">Minors!Q129</f>
        <v>74</v>
      </c>
      <c r="D17" s="6" t="n">
        <f aca="false">Minors!Q130</f>
        <v>52</v>
      </c>
      <c r="E17" s="6" t="n">
        <f aca="false">Minors!Q131</f>
        <v>0</v>
      </c>
    </row>
    <row r="18" customFormat="false" ht="15" hidden="false" customHeight="true" outlineLevel="0" collapsed="false">
      <c r="A18" s="6" t="n">
        <v>17</v>
      </c>
      <c r="B18" s="6" t="s">
        <v>241</v>
      </c>
      <c r="C18" s="6" t="n">
        <f aca="false">Minors!R129</f>
        <v>68</v>
      </c>
      <c r="D18" s="6" t="n">
        <f aca="false">Minors!R130</f>
        <v>58</v>
      </c>
      <c r="E18" s="6" t="n">
        <f aca="false">Minors!R131</f>
        <v>0</v>
      </c>
    </row>
    <row r="19" customFormat="false" ht="15" hidden="false" customHeight="true" outlineLevel="0" collapsed="false">
      <c r="A19" s="6" t="n">
        <v>18</v>
      </c>
      <c r="B19" s="6" t="s">
        <v>242</v>
      </c>
      <c r="C19" s="6" t="n">
        <f aca="false">Minors!S129</f>
        <v>71</v>
      </c>
      <c r="D19" s="6" t="n">
        <f aca="false">Minors!S130</f>
        <v>55</v>
      </c>
      <c r="E19" s="6" t="n">
        <f aca="false">Minors!S131</f>
        <v>0</v>
      </c>
    </row>
    <row r="20" customFormat="false" ht="15" hidden="false" customHeight="true" outlineLevel="0" collapsed="false">
      <c r="A20" s="6" t="n">
        <v>19</v>
      </c>
      <c r="B20" s="6" t="s">
        <v>243</v>
      </c>
      <c r="C20" s="6" t="n">
        <f aca="false">Minors!T129</f>
        <v>61</v>
      </c>
      <c r="D20" s="6" t="n">
        <f aca="false">Minors!T130</f>
        <v>65</v>
      </c>
      <c r="E20" s="6" t="n">
        <f aca="false">Minors!T131</f>
        <v>0</v>
      </c>
    </row>
    <row r="21" customFormat="false" ht="15" hidden="false" customHeight="true" outlineLevel="0" collapsed="false">
      <c r="A21" s="6" t="n">
        <v>20</v>
      </c>
      <c r="B21" s="6" t="s">
        <v>244</v>
      </c>
      <c r="C21" s="6" t="n">
        <f aca="false">Minors!U129</f>
        <v>47</v>
      </c>
      <c r="D21" s="6" t="n">
        <f aca="false">Minors!U130</f>
        <v>79</v>
      </c>
      <c r="E21" s="6" t="n">
        <f aca="false">Minors!U131</f>
        <v>0</v>
      </c>
    </row>
    <row r="22" customFormat="false" ht="15" hidden="false" customHeight="true" outlineLevel="0" collapsed="false">
      <c r="A22" s="6" t="n">
        <v>21</v>
      </c>
      <c r="B22" s="6" t="s">
        <v>245</v>
      </c>
      <c r="C22" s="6" t="n">
        <f aca="false">Minors!V129</f>
        <v>50</v>
      </c>
      <c r="D22" s="6" t="n">
        <f aca="false">Minors!V130</f>
        <v>76</v>
      </c>
      <c r="E22" s="6" t="n">
        <f aca="false">Minors!V131</f>
        <v>0</v>
      </c>
    </row>
    <row r="23" customFormat="false" ht="15" hidden="false" customHeight="true" outlineLevel="0" collapsed="false">
      <c r="A23" s="6" t="n">
        <v>22</v>
      </c>
      <c r="B23" s="6" t="s">
        <v>246</v>
      </c>
      <c r="C23" s="6" t="n">
        <f aca="false">Minors!W129</f>
        <v>68</v>
      </c>
      <c r="D23" s="6" t="n">
        <f aca="false">Minors!W130</f>
        <v>58</v>
      </c>
      <c r="E23" s="6" t="n">
        <f aca="false">Minors!W131</f>
        <v>0</v>
      </c>
    </row>
    <row r="24" customFormat="false" ht="15" hidden="false" customHeight="true" outlineLevel="0" collapsed="false">
      <c r="A24" s="6" t="n">
        <v>23</v>
      </c>
      <c r="B24" s="6" t="s">
        <v>247</v>
      </c>
      <c r="C24" s="6" t="n">
        <f aca="false">Minors!X129</f>
        <v>71</v>
      </c>
      <c r="D24" s="6" t="n">
        <f aca="false">Minors!X130</f>
        <v>55</v>
      </c>
      <c r="E24" s="6" t="n">
        <f aca="false">Minors!X131</f>
        <v>0</v>
      </c>
    </row>
    <row r="25" customFormat="false" ht="15" hidden="false" customHeight="true" outlineLevel="0" collapsed="false">
      <c r="A25" s="6" t="n">
        <v>24</v>
      </c>
      <c r="B25" s="6" t="s">
        <v>248</v>
      </c>
      <c r="C25" s="6" t="n">
        <f aca="false">Minors!Y129</f>
        <v>65</v>
      </c>
      <c r="D25" s="6" t="n">
        <f aca="false">Minors!Y130</f>
        <v>61</v>
      </c>
      <c r="E25" s="6" t="n">
        <f aca="false">Minors!Y131</f>
        <v>0</v>
      </c>
    </row>
    <row r="26" customFormat="false" ht="15" hidden="false" customHeight="true" outlineLevel="0" collapsed="false">
      <c r="A26" s="6" t="n">
        <v>25</v>
      </c>
      <c r="B26" s="6" t="s">
        <v>249</v>
      </c>
      <c r="C26" s="6" t="n">
        <f aca="false">Minors!Z129</f>
        <v>38</v>
      </c>
      <c r="D26" s="6" t="n">
        <f aca="false">Minors!Z130</f>
        <v>88</v>
      </c>
      <c r="E26" s="6" t="n">
        <f aca="false">Minors!Z131</f>
        <v>0</v>
      </c>
    </row>
    <row r="27" customFormat="false" ht="15" hidden="false" customHeight="true" outlineLevel="0" collapsed="false">
      <c r="A27" s="6" t="n">
        <v>26</v>
      </c>
      <c r="B27" s="6" t="s">
        <v>250</v>
      </c>
      <c r="C27" s="6" t="n">
        <f aca="false">Minors!AA129</f>
        <v>73</v>
      </c>
      <c r="D27" s="6" t="n">
        <f aca="false">Minors!AA130</f>
        <v>53</v>
      </c>
      <c r="E27" s="6" t="n">
        <f aca="false">Minors!AA131</f>
        <v>0</v>
      </c>
    </row>
    <row r="28" customFormat="false" ht="15" hidden="false" customHeight="true" outlineLevel="0" collapsed="false">
      <c r="A28" s="6" t="n">
        <v>27</v>
      </c>
      <c r="B28" s="6" t="s">
        <v>251</v>
      </c>
      <c r="C28" s="6" t="n">
        <f aca="false">Minors!AB129</f>
        <v>63</v>
      </c>
      <c r="D28" s="6" t="n">
        <f aca="false">Minors!AB130</f>
        <v>63</v>
      </c>
      <c r="E28" s="6" t="n">
        <f aca="false">Minors!AB131</f>
        <v>0</v>
      </c>
    </row>
    <row r="29" customFormat="false" ht="15" hidden="false" customHeight="true" outlineLevel="0" collapsed="false">
      <c r="A29" s="6" t="n">
        <v>28</v>
      </c>
      <c r="B29" s="6" t="s">
        <v>252</v>
      </c>
      <c r="C29" s="6" t="n">
        <f aca="false">Minors!AC129</f>
        <v>68</v>
      </c>
      <c r="D29" s="6" t="n">
        <f aca="false">Minors!AC130</f>
        <v>58</v>
      </c>
      <c r="E29" s="6" t="n">
        <f aca="false">Minors!AC131</f>
        <v>0</v>
      </c>
    </row>
    <row r="30" customFormat="false" ht="15" hidden="false" customHeight="true" outlineLevel="0" collapsed="false">
      <c r="A30" s="6" t="n">
        <v>29</v>
      </c>
      <c r="B30" s="6" t="s">
        <v>253</v>
      </c>
      <c r="C30" s="6" t="n">
        <f aca="false">Minors!AD129</f>
        <v>55</v>
      </c>
      <c r="D30" s="6" t="n">
        <f aca="false">Minors!AD130</f>
        <v>71</v>
      </c>
      <c r="E30" s="6" t="n">
        <f aca="false">Minors!AD131</f>
        <v>0</v>
      </c>
    </row>
    <row r="31" customFormat="false" ht="15" hidden="false" customHeight="true" outlineLevel="0" collapsed="false">
      <c r="A31" s="6" t="n">
        <v>30</v>
      </c>
      <c r="B31" s="6" t="s">
        <v>254</v>
      </c>
      <c r="C31" s="6" t="n">
        <f aca="false">Minors!AE129</f>
        <v>79</v>
      </c>
      <c r="D31" s="6" t="n">
        <f aca="false">Minors!AE130</f>
        <v>47</v>
      </c>
      <c r="E31" s="6" t="n">
        <f aca="false">Minors!AE131</f>
        <v>0</v>
      </c>
    </row>
    <row r="32" customFormat="false" ht="15" hidden="false" customHeight="true" outlineLevel="0" collapsed="false">
      <c r="A32" s="6" t="n">
        <v>31</v>
      </c>
      <c r="B32" s="6" t="s">
        <v>255</v>
      </c>
      <c r="C32" s="6" t="n">
        <f aca="false">Minors!AF129</f>
        <v>66</v>
      </c>
      <c r="D32" s="6" t="n">
        <f aca="false">Minors!AF130</f>
        <v>60</v>
      </c>
      <c r="E32" s="6" t="n">
        <f aca="false">Minors!AF131</f>
        <v>0</v>
      </c>
    </row>
    <row r="33" customFormat="false" ht="15" hidden="false" customHeight="true" outlineLevel="0" collapsed="false">
      <c r="A33" s="6" t="n">
        <v>32</v>
      </c>
      <c r="B33" s="6" t="s">
        <v>256</v>
      </c>
      <c r="C33" s="6" t="n">
        <f aca="false">Minors!AG129</f>
        <v>54</v>
      </c>
      <c r="D33" s="6" t="n">
        <f aca="false">Minors!AG130</f>
        <v>72</v>
      </c>
      <c r="E33" s="6" t="n">
        <f aca="false">Minors!AG131</f>
        <v>0</v>
      </c>
    </row>
    <row r="34" customFormat="false" ht="15" hidden="false" customHeight="true" outlineLevel="0" collapsed="false">
      <c r="A34" s="6" t="n">
        <v>33</v>
      </c>
      <c r="B34" s="6" t="s">
        <v>257</v>
      </c>
      <c r="C34" s="6" t="n">
        <f aca="false">Minors!AH129</f>
        <v>75</v>
      </c>
      <c r="D34" s="6" t="n">
        <f aca="false">Minors!AH130</f>
        <v>51</v>
      </c>
      <c r="E34" s="6" t="n">
        <f aca="false">Minors!AH131</f>
        <v>0</v>
      </c>
    </row>
    <row r="35" customFormat="false" ht="15" hidden="false" customHeight="true" outlineLevel="0" collapsed="false">
      <c r="A35" s="6" t="n">
        <v>34</v>
      </c>
      <c r="B35" s="6" t="s">
        <v>258</v>
      </c>
      <c r="C35" s="6" t="n">
        <f aca="false">Minors!AI129</f>
        <v>66</v>
      </c>
      <c r="D35" s="6" t="n">
        <f aca="false">Minors!AI130</f>
        <v>60</v>
      </c>
      <c r="E35" s="6" t="n">
        <f aca="false">Minors!AI131</f>
        <v>0</v>
      </c>
    </row>
    <row r="36" customFormat="false" ht="15" hidden="false" customHeight="true" outlineLevel="0" collapsed="false">
      <c r="A36" s="6" t="n">
        <v>35</v>
      </c>
      <c r="B36" s="6" t="s">
        <v>259</v>
      </c>
      <c r="C36" s="6" t="n">
        <f aca="false">Minors!AJ129</f>
        <v>71</v>
      </c>
      <c r="D36" s="6" t="n">
        <f aca="false">Minors!AJ130</f>
        <v>55</v>
      </c>
      <c r="E36" s="6" t="n">
        <f aca="false">Minors!AJ131</f>
        <v>0</v>
      </c>
    </row>
    <row r="37" customFormat="false" ht="15" hidden="false" customHeight="true" outlineLevel="0" collapsed="false">
      <c r="A37" s="6" t="n">
        <v>36</v>
      </c>
      <c r="B37" s="6" t="s">
        <v>260</v>
      </c>
      <c r="C37" s="6" t="n">
        <f aca="false">Minors!AK129</f>
        <v>39</v>
      </c>
      <c r="D37" s="6" t="n">
        <f aca="false">Minors!AK130</f>
        <v>87</v>
      </c>
      <c r="E37" s="6" t="n">
        <f aca="false">Minors!AK131</f>
        <v>0</v>
      </c>
    </row>
    <row r="38" customFormat="false" ht="15" hidden="false" customHeight="true" outlineLevel="0" collapsed="false">
      <c r="A38" s="6" t="n">
        <v>37</v>
      </c>
      <c r="B38" s="6" t="s">
        <v>261</v>
      </c>
      <c r="C38" s="6" t="n">
        <f aca="false">Minors!AL129</f>
        <v>58</v>
      </c>
      <c r="D38" s="6" t="n">
        <f aca="false">Minors!AL130</f>
        <v>68</v>
      </c>
      <c r="E38" s="6" t="n">
        <f aca="false">Minors!AL131</f>
        <v>0</v>
      </c>
    </row>
    <row r="39" customFormat="false" ht="15" hidden="false" customHeight="true" outlineLevel="0" collapsed="false">
      <c r="A39" s="6" t="n">
        <v>38</v>
      </c>
      <c r="B39" s="6" t="s">
        <v>262</v>
      </c>
      <c r="C39" s="6" t="n">
        <f aca="false">Minors!AM129</f>
        <v>54</v>
      </c>
      <c r="D39" s="6" t="n">
        <f aca="false">Minors!AM130</f>
        <v>72</v>
      </c>
      <c r="E39" s="6" t="n">
        <f aca="false">Minors!AM131</f>
        <v>0</v>
      </c>
    </row>
    <row r="40" customFormat="false" ht="15" hidden="false" customHeight="true" outlineLevel="0" collapsed="false">
      <c r="A40" s="6" t="n">
        <v>39</v>
      </c>
      <c r="B40" s="6" t="s">
        <v>263</v>
      </c>
      <c r="C40" s="6" t="n">
        <f aca="false">Minors!AN129</f>
        <v>69</v>
      </c>
      <c r="D40" s="6" t="n">
        <f aca="false">Minors!AN130</f>
        <v>57</v>
      </c>
      <c r="E40" s="6" t="n">
        <f aca="false">Minors!AN131</f>
        <v>0</v>
      </c>
    </row>
    <row r="41" customFormat="false" ht="15" hidden="false" customHeight="true" outlineLevel="0" collapsed="false">
      <c r="A41" s="6" t="n">
        <v>40</v>
      </c>
      <c r="B41" s="6" t="s">
        <v>264</v>
      </c>
      <c r="C41" s="6" t="n">
        <f aca="false">Minors!AO129</f>
        <v>57</v>
      </c>
      <c r="D41" s="6" t="n">
        <f aca="false">Minors!AO130</f>
        <v>69</v>
      </c>
      <c r="E41" s="6" t="n">
        <f aca="false">Minors!AO131</f>
        <v>0</v>
      </c>
    </row>
    <row r="42" customFormat="false" ht="15" hidden="false" customHeight="true" outlineLevel="0" collapsed="false">
      <c r="A42" s="6" t="n">
        <v>41</v>
      </c>
      <c r="B42" s="6" t="s">
        <v>265</v>
      </c>
      <c r="C42" s="6" t="n">
        <f aca="false">Minors!AP129</f>
        <v>66</v>
      </c>
      <c r="D42" s="6" t="n">
        <f aca="false">Minors!AP130</f>
        <v>60</v>
      </c>
      <c r="E42" s="6" t="n">
        <f aca="false">Minors!AP131</f>
        <v>0</v>
      </c>
    </row>
    <row r="43" customFormat="false" ht="15" hidden="false" customHeight="true" outlineLevel="0" collapsed="false">
      <c r="A43" s="6" t="n">
        <v>42</v>
      </c>
      <c r="B43" s="6" t="s">
        <v>266</v>
      </c>
      <c r="C43" s="6" t="n">
        <f aca="false">Minors!AQ129</f>
        <v>48</v>
      </c>
      <c r="D43" s="6" t="n">
        <f aca="false">Minors!AQ130</f>
        <v>78</v>
      </c>
      <c r="E43" s="6" t="n">
        <f aca="false">Minors!AQ131</f>
        <v>0</v>
      </c>
    </row>
    <row r="44" customFormat="false" ht="15" hidden="false" customHeight="true" outlineLevel="0" collapsed="false">
      <c r="A44" s="6" t="n">
        <v>43</v>
      </c>
      <c r="B44" s="6" t="s">
        <v>267</v>
      </c>
      <c r="C44" s="6" t="n">
        <f aca="false">Minors!AR129</f>
        <v>59</v>
      </c>
      <c r="D44" s="6" t="n">
        <f aca="false">Minors!AR130</f>
        <v>67</v>
      </c>
      <c r="E44" s="6" t="n">
        <f aca="false">Minors!AR131</f>
        <v>0</v>
      </c>
    </row>
    <row r="45" customFormat="false" ht="15" hidden="false" customHeight="true" outlineLevel="0" collapsed="false">
      <c r="A45" s="6" t="n">
        <v>44</v>
      </c>
      <c r="B45" s="6" t="s">
        <v>268</v>
      </c>
      <c r="C45" s="6" t="n">
        <f aca="false">Minors!AS129</f>
        <v>70</v>
      </c>
      <c r="D45" s="6" t="n">
        <f aca="false">Minors!AS130</f>
        <v>56</v>
      </c>
      <c r="E45" s="6" t="n">
        <f aca="false">Minors!AS131</f>
        <v>0</v>
      </c>
    </row>
    <row r="46" customFormat="false" ht="15" hidden="false" customHeight="true" outlineLevel="0" collapsed="false">
      <c r="A46" s="6" t="n">
        <v>45</v>
      </c>
      <c r="B46" s="6" t="s">
        <v>269</v>
      </c>
      <c r="C46" s="6" t="n">
        <f aca="false">Minors!AT129</f>
        <v>67</v>
      </c>
      <c r="D46" s="6" t="n">
        <f aca="false">Minors!AT130</f>
        <v>59</v>
      </c>
      <c r="E46" s="6" t="n">
        <f aca="false">Minors!AT131</f>
        <v>0</v>
      </c>
    </row>
    <row r="47" customFormat="false" ht="15" hidden="false" customHeight="true" outlineLevel="0" collapsed="false">
      <c r="A47" s="6" t="n">
        <v>46</v>
      </c>
      <c r="B47" s="6" t="s">
        <v>270</v>
      </c>
      <c r="C47" s="6" t="n">
        <f aca="false">Minors!AU129</f>
        <v>73</v>
      </c>
      <c r="D47" s="6" t="n">
        <f aca="false">Minors!AU130</f>
        <v>53</v>
      </c>
      <c r="E47" s="6" t="n">
        <f aca="false">Minors!AU131</f>
        <v>0</v>
      </c>
    </row>
    <row r="48" customFormat="false" ht="15" hidden="false" customHeight="true" outlineLevel="0" collapsed="false">
      <c r="A48" s="6" t="n">
        <v>47</v>
      </c>
      <c r="B48" s="6" t="s">
        <v>271</v>
      </c>
      <c r="C48" s="6" t="n">
        <f aca="false">Minors!AV129</f>
        <v>61</v>
      </c>
      <c r="D48" s="6" t="n">
        <f aca="false">Minors!AV130</f>
        <v>65</v>
      </c>
      <c r="E48" s="6" t="n">
        <f aca="false">Minors!AV131</f>
        <v>0</v>
      </c>
    </row>
    <row r="49" customFormat="false" ht="15" hidden="false" customHeight="true" outlineLevel="0" collapsed="false">
      <c r="A49" s="6" t="n">
        <v>48</v>
      </c>
      <c r="B49" s="6" t="s">
        <v>272</v>
      </c>
      <c r="C49" s="6" t="n">
        <f aca="false">Minors!AW129</f>
        <v>52</v>
      </c>
      <c r="D49" s="6" t="n">
        <f aca="false">Minors!AW130</f>
        <v>74</v>
      </c>
      <c r="E49" s="6" t="n">
        <f aca="false">Minors!AW131</f>
        <v>0</v>
      </c>
    </row>
    <row r="50" customFormat="false" ht="15" hidden="false" customHeight="true" outlineLevel="0" collapsed="false">
      <c r="A50" s="6" t="n">
        <v>49</v>
      </c>
      <c r="B50" s="6" t="s">
        <v>273</v>
      </c>
      <c r="C50" s="6" t="n">
        <f aca="false">Minors!AX129</f>
        <v>53</v>
      </c>
      <c r="D50" s="6" t="n">
        <f aca="false">Minors!AX130</f>
        <v>73</v>
      </c>
      <c r="E50" s="6" t="n">
        <f aca="false">Minors!AX131</f>
        <v>0</v>
      </c>
    </row>
    <row r="51" customFormat="false" ht="15" hidden="false" customHeight="true" outlineLevel="0" collapsed="false">
      <c r="A51" s="6" t="n">
        <v>50</v>
      </c>
      <c r="B51" s="6" t="s">
        <v>274</v>
      </c>
      <c r="C51" s="6" t="n">
        <f aca="false">Minors!AY129</f>
        <v>68</v>
      </c>
      <c r="D51" s="6" t="n">
        <f aca="false">Minors!AY130</f>
        <v>58</v>
      </c>
      <c r="E51" s="6" t="n">
        <f aca="false">Minors!AY131</f>
        <v>0</v>
      </c>
    </row>
    <row r="52" customFormat="false" ht="15" hidden="false" customHeight="true" outlineLevel="0" collapsed="false">
      <c r="A52" s="6" t="n">
        <v>51</v>
      </c>
      <c r="B52" s="6" t="s">
        <v>275</v>
      </c>
      <c r="C52" s="6" t="n">
        <f aca="false">Minors!AZ129</f>
        <v>62</v>
      </c>
      <c r="D52" s="6" t="n">
        <f aca="false">Minors!AZ130</f>
        <v>64</v>
      </c>
      <c r="E52" s="6" t="n">
        <f aca="false">Minors!AZ131</f>
        <v>0</v>
      </c>
    </row>
    <row r="53" customFormat="false" ht="15" hidden="false" customHeight="true" outlineLevel="0" collapsed="false">
      <c r="A53" s="6" t="n">
        <v>52</v>
      </c>
      <c r="B53" s="6" t="s">
        <v>276</v>
      </c>
      <c r="C53" s="6" t="n">
        <f aca="false">Minors!BA129</f>
        <v>67</v>
      </c>
      <c r="D53" s="6" t="n">
        <f aca="false">Minors!BA130</f>
        <v>59</v>
      </c>
      <c r="E53" s="6" t="n">
        <f aca="false">Minors!BA131</f>
        <v>0</v>
      </c>
    </row>
    <row r="54" customFormat="false" ht="15" hidden="false" customHeight="true" outlineLevel="0" collapsed="false">
      <c r="A54" s="6" t="n">
        <v>53</v>
      </c>
      <c r="B54" s="6" t="s">
        <v>277</v>
      </c>
      <c r="C54" s="6" t="n">
        <f aca="false">Minors!BB129</f>
        <v>47</v>
      </c>
      <c r="D54" s="6" t="n">
        <f aca="false">Minors!BB130</f>
        <v>79</v>
      </c>
      <c r="E54" s="6" t="n">
        <f aca="false">Minors!BB131</f>
        <v>0</v>
      </c>
    </row>
    <row r="55" customFormat="false" ht="15" hidden="false" customHeight="true" outlineLevel="0" collapsed="false">
      <c r="A55" s="6" t="n">
        <v>54</v>
      </c>
      <c r="B55" s="6" t="s">
        <v>278</v>
      </c>
      <c r="C55" s="6" t="n">
        <f aca="false">Minors!BC129</f>
        <v>59</v>
      </c>
      <c r="D55" s="6" t="n">
        <f aca="false">Minors!BC130</f>
        <v>67</v>
      </c>
      <c r="E55" s="6" t="n">
        <f aca="false">Minors!BC131</f>
        <v>0</v>
      </c>
    </row>
    <row r="56" customFormat="false" ht="15" hidden="false" customHeight="true" outlineLevel="0" collapsed="false">
      <c r="A56" s="6" t="n">
        <v>55</v>
      </c>
      <c r="B56" s="6" t="s">
        <v>279</v>
      </c>
      <c r="C56" s="6" t="n">
        <f aca="false">Minors!BD129</f>
        <v>57</v>
      </c>
      <c r="D56" s="6" t="n">
        <f aca="false">Minors!BD130</f>
        <v>69</v>
      </c>
      <c r="E56" s="6" t="n">
        <f aca="false">Minors!BD131</f>
        <v>0</v>
      </c>
    </row>
    <row r="57" customFormat="false" ht="15" hidden="false" customHeight="true" outlineLevel="0" collapsed="false">
      <c r="A57" s="6" t="n">
        <v>56</v>
      </c>
      <c r="B57" s="6" t="s">
        <v>280</v>
      </c>
      <c r="C57" s="6" t="n">
        <f aca="false">Minors!BE129</f>
        <v>67</v>
      </c>
      <c r="D57" s="6" t="n">
        <f aca="false">Minors!BE130</f>
        <v>59</v>
      </c>
      <c r="E57" s="6" t="n">
        <f aca="false">Minors!BE131</f>
        <v>0</v>
      </c>
    </row>
    <row r="58" customFormat="false" ht="15" hidden="false" customHeight="true" outlineLevel="0" collapsed="false">
      <c r="A58" s="6" t="n">
        <v>57</v>
      </c>
      <c r="B58" s="6" t="s">
        <v>281</v>
      </c>
      <c r="C58" s="6" t="n">
        <f aca="false">Minors!BF129</f>
        <v>47</v>
      </c>
      <c r="D58" s="6" t="n">
        <f aca="false">Minors!BF130</f>
        <v>79</v>
      </c>
      <c r="E58" s="6" t="n">
        <f aca="false">Minors!BF131</f>
        <v>0</v>
      </c>
    </row>
    <row r="59" customFormat="false" ht="15" hidden="false" customHeight="true" outlineLevel="0" collapsed="false">
      <c r="A59" s="6" t="n">
        <v>58</v>
      </c>
      <c r="B59" s="6" t="s">
        <v>282</v>
      </c>
      <c r="C59" s="6" t="n">
        <f aca="false">Minors!BG129</f>
        <v>65</v>
      </c>
      <c r="D59" s="6" t="n">
        <f aca="false">Minors!BG130</f>
        <v>61</v>
      </c>
      <c r="E59" s="6" t="n">
        <f aca="false">Minors!BG131</f>
        <v>0</v>
      </c>
    </row>
    <row r="60" customFormat="false" ht="15" hidden="false" customHeight="true" outlineLevel="0" collapsed="false">
      <c r="A60" s="6" t="n">
        <v>59</v>
      </c>
      <c r="B60" s="6" t="s">
        <v>283</v>
      </c>
      <c r="C60" s="6" t="n">
        <f aca="false">Minors!BH129</f>
        <v>67</v>
      </c>
      <c r="D60" s="6" t="n">
        <f aca="false">Minors!BH130</f>
        <v>59</v>
      </c>
      <c r="E60" s="6" t="n">
        <f aca="false">Minors!BH131</f>
        <v>0</v>
      </c>
    </row>
    <row r="61" customFormat="false" ht="15" hidden="false" customHeight="true" outlineLevel="0" collapsed="false">
      <c r="A61" s="6" t="n">
        <v>60</v>
      </c>
      <c r="B61" s="6" t="s">
        <v>284</v>
      </c>
      <c r="C61" s="6" t="n">
        <f aca="false">Minors!BI129</f>
        <v>47</v>
      </c>
      <c r="D61" s="6" t="n">
        <f aca="false">Minors!BI130</f>
        <v>79</v>
      </c>
      <c r="E61" s="6" t="n">
        <f aca="false">Minors!BI131</f>
        <v>0</v>
      </c>
    </row>
    <row r="62" customFormat="false" ht="15" hidden="false" customHeight="true" outlineLevel="0" collapsed="false">
      <c r="A62" s="6" t="n">
        <v>61</v>
      </c>
      <c r="B62" s="6" t="s">
        <v>285</v>
      </c>
      <c r="C62" s="6" t="n">
        <f aca="false">Minors!BJ129</f>
        <v>59</v>
      </c>
      <c r="D62" s="6" t="n">
        <f aca="false">Minors!BJ130</f>
        <v>67</v>
      </c>
      <c r="E62" s="6" t="n">
        <f aca="false">Minors!BJ131</f>
        <v>0</v>
      </c>
    </row>
    <row r="63" customFormat="false" ht="15" hidden="false" customHeight="true" outlineLevel="0" collapsed="false">
      <c r="A63" s="6" t="n">
        <v>62</v>
      </c>
      <c r="B63" s="6" t="s">
        <v>286</v>
      </c>
      <c r="C63" s="6" t="n">
        <f aca="false">Minors!BK129</f>
        <v>58</v>
      </c>
      <c r="D63" s="6" t="n">
        <f aca="false">Minors!BK130</f>
        <v>68</v>
      </c>
      <c r="E63" s="6" t="n">
        <f aca="false">Minors!BK131</f>
        <v>0</v>
      </c>
    </row>
    <row r="64" customFormat="false" ht="15" hidden="false" customHeight="true" outlineLevel="0" collapsed="false">
      <c r="A64" s="6" t="n">
        <v>63</v>
      </c>
      <c r="B64" s="6" t="s">
        <v>287</v>
      </c>
      <c r="C64" s="6" t="n">
        <f aca="false">Minors!BL129</f>
        <v>70</v>
      </c>
      <c r="D64" s="6" t="n">
        <f aca="false">Minors!BL130</f>
        <v>56</v>
      </c>
      <c r="E64" s="6" t="n">
        <f aca="false">Minors!BL131</f>
        <v>0</v>
      </c>
    </row>
    <row r="65" customFormat="false" ht="15" hidden="false" customHeight="true" outlineLevel="0" collapsed="false">
      <c r="A65" s="6" t="n">
        <v>64</v>
      </c>
      <c r="B65" s="6" t="s">
        <v>288</v>
      </c>
      <c r="C65" s="6" t="n">
        <f aca="false">Minors!BM129</f>
        <v>50</v>
      </c>
      <c r="D65" s="6" t="n">
        <f aca="false">Minors!BM130</f>
        <v>76</v>
      </c>
      <c r="E65" s="6" t="n">
        <f aca="false">Minors!BM131</f>
        <v>0</v>
      </c>
    </row>
    <row r="66" customFormat="false" ht="15" hidden="false" customHeight="true" outlineLevel="0" collapsed="false">
      <c r="A66" s="6" t="n">
        <v>65</v>
      </c>
      <c r="B66" s="6" t="s">
        <v>289</v>
      </c>
      <c r="C66" s="6" t="n">
        <f aca="false">Minors!BN129</f>
        <v>59</v>
      </c>
      <c r="D66" s="6" t="n">
        <f aca="false">Minors!BN130</f>
        <v>67</v>
      </c>
      <c r="E66" s="6" t="n">
        <f aca="false">Minors!BN131</f>
        <v>0</v>
      </c>
    </row>
    <row r="67" customFormat="false" ht="15" hidden="false" customHeight="true" outlineLevel="0" collapsed="false">
      <c r="A67" s="6" t="n">
        <v>66</v>
      </c>
      <c r="B67" s="6" t="s">
        <v>290</v>
      </c>
      <c r="C67" s="6" t="n">
        <f aca="false">Minors!BO129</f>
        <v>68</v>
      </c>
      <c r="D67" s="6" t="n">
        <f aca="false">Minors!BO130</f>
        <v>58</v>
      </c>
      <c r="E67" s="6" t="n">
        <f aca="false">Minors!BO131</f>
        <v>0</v>
      </c>
    </row>
    <row r="68" customFormat="false" ht="15" hidden="false" customHeight="true" outlineLevel="0" collapsed="false">
      <c r="A68" s="6" t="n">
        <v>67</v>
      </c>
      <c r="B68" s="6" t="s">
        <v>291</v>
      </c>
      <c r="C68" s="6" t="n">
        <f aca="false">Minors!BP129</f>
        <v>54</v>
      </c>
      <c r="D68" s="6" t="n">
        <f aca="false">Minors!BP130</f>
        <v>72</v>
      </c>
      <c r="E68" s="6" t="n">
        <f aca="false">Minors!BP131</f>
        <v>0</v>
      </c>
    </row>
    <row r="69" customFormat="false" ht="15" hidden="false" customHeight="true" outlineLevel="0" collapsed="false">
      <c r="A69" s="6" t="n">
        <v>68</v>
      </c>
      <c r="B69" s="6" t="s">
        <v>292</v>
      </c>
      <c r="C69" s="6" t="n">
        <f aca="false">Minors!BQ129</f>
        <v>61</v>
      </c>
      <c r="D69" s="6" t="n">
        <f aca="false">Minors!BQ130</f>
        <v>65</v>
      </c>
      <c r="E69" s="6" t="n">
        <f aca="false">Minors!BQ131</f>
        <v>0</v>
      </c>
    </row>
    <row r="70" customFormat="false" ht="15" hidden="false" customHeight="true" outlineLevel="0" collapsed="false">
      <c r="A70" s="6" t="n">
        <v>69</v>
      </c>
      <c r="B70" s="6" t="s">
        <v>293</v>
      </c>
      <c r="C70" s="6" t="n">
        <f aca="false">Minors!BR129</f>
        <v>49</v>
      </c>
      <c r="D70" s="6" t="n">
        <f aca="false">Minors!BR130</f>
        <v>77</v>
      </c>
      <c r="E70" s="6" t="n">
        <f aca="false">Minors!BR131</f>
        <v>0</v>
      </c>
    </row>
    <row r="71" customFormat="false" ht="15" hidden="false" customHeight="true" outlineLevel="0" collapsed="false">
      <c r="A71" s="6" t="n">
        <v>70</v>
      </c>
      <c r="B71" s="6" t="s">
        <v>294</v>
      </c>
      <c r="C71" s="6" t="n">
        <f aca="false">Minors!BS129</f>
        <v>49</v>
      </c>
      <c r="D71" s="6" t="n">
        <f aca="false">Minors!BS130</f>
        <v>77</v>
      </c>
      <c r="E71" s="6" t="n">
        <f aca="false">Minors!BS131</f>
        <v>0</v>
      </c>
    </row>
    <row r="72" customFormat="false" ht="15" hidden="false" customHeight="true" outlineLevel="0" collapsed="false">
      <c r="A72" s="6" t="n">
        <v>71</v>
      </c>
      <c r="B72" s="6" t="s">
        <v>295</v>
      </c>
      <c r="C72" s="6" t="n">
        <f aca="false">Minors!BT129</f>
        <v>81</v>
      </c>
      <c r="D72" s="6" t="n">
        <f aca="false">Minors!BT130</f>
        <v>45</v>
      </c>
      <c r="E72" s="6" t="n">
        <f aca="false">Minors!BT131</f>
        <v>0</v>
      </c>
    </row>
    <row r="73" customFormat="false" ht="15" hidden="false" customHeight="true" outlineLevel="0" collapsed="false">
      <c r="A73" s="6" t="n">
        <v>72</v>
      </c>
      <c r="B73" s="6" t="s">
        <v>296</v>
      </c>
      <c r="C73" s="6" t="n">
        <f aca="false">Minors!BU129</f>
        <v>51</v>
      </c>
      <c r="D73" s="6" t="n">
        <f aca="false">Minors!BU130</f>
        <v>75</v>
      </c>
      <c r="E73" s="6" t="n">
        <f aca="false">Minors!BU131</f>
        <v>0</v>
      </c>
    </row>
    <row r="74" customFormat="false" ht="15" hidden="false" customHeight="true" outlineLevel="0" collapsed="false">
      <c r="A74" s="6" t="n">
        <v>73</v>
      </c>
      <c r="B74" s="6" t="s">
        <v>297</v>
      </c>
      <c r="C74" s="6" t="n">
        <f aca="false">Minors!BV129</f>
        <v>64</v>
      </c>
      <c r="D74" s="6" t="n">
        <f aca="false">Minors!BV130</f>
        <v>62</v>
      </c>
      <c r="E74" s="6" t="n">
        <f aca="false">Minors!BV131</f>
        <v>0</v>
      </c>
    </row>
    <row r="75" customFormat="false" ht="15" hidden="false" customHeight="true" outlineLevel="0" collapsed="false">
      <c r="A75" s="6" t="n">
        <v>74</v>
      </c>
      <c r="B75" s="6" t="s">
        <v>298</v>
      </c>
      <c r="C75" s="6" t="n">
        <f aca="false">Minors!BW129</f>
        <v>61</v>
      </c>
      <c r="D75" s="6" t="n">
        <f aca="false">Minors!BW130</f>
        <v>65</v>
      </c>
      <c r="E75" s="6" t="n">
        <f aca="false">Minors!BW131</f>
        <v>0</v>
      </c>
    </row>
    <row r="76" customFormat="false" ht="15" hidden="false" customHeight="true" outlineLevel="0" collapsed="false">
      <c r="A76" s="6" t="n">
        <v>75</v>
      </c>
      <c r="B76" s="6" t="s">
        <v>299</v>
      </c>
      <c r="C76" s="6" t="n">
        <f aca="false">Minors!BX129</f>
        <v>50</v>
      </c>
      <c r="D76" s="6" t="n">
        <f aca="false">Minors!BX130</f>
        <v>76</v>
      </c>
      <c r="E76" s="6" t="n">
        <f aca="false">Minors!BX131</f>
        <v>0</v>
      </c>
    </row>
    <row r="77" customFormat="false" ht="15" hidden="false" customHeight="true" outlineLevel="0" collapsed="false">
      <c r="A77" s="6" t="n">
        <v>76</v>
      </c>
      <c r="B77" s="6" t="s">
        <v>300</v>
      </c>
      <c r="C77" s="6" t="n">
        <f aca="false">Minors!BY129</f>
        <v>66</v>
      </c>
      <c r="D77" s="6" t="n">
        <f aca="false">Minors!BY130</f>
        <v>60</v>
      </c>
      <c r="E77" s="6" t="n">
        <f aca="false">Minors!BY131</f>
        <v>0</v>
      </c>
    </row>
    <row r="78" customFormat="false" ht="15" hidden="false" customHeight="true" outlineLevel="0" collapsed="false">
      <c r="A78" s="6" t="n">
        <v>77</v>
      </c>
      <c r="B78" s="6" t="s">
        <v>301</v>
      </c>
      <c r="C78" s="6" t="n">
        <f aca="false">Minors!BZ129</f>
        <v>68</v>
      </c>
      <c r="D78" s="6" t="n">
        <f aca="false">Minors!BZ130</f>
        <v>58</v>
      </c>
      <c r="E78" s="6" t="n">
        <f aca="false">Minors!BZ131</f>
        <v>0</v>
      </c>
    </row>
    <row r="79" customFormat="false" ht="15" hidden="false" customHeight="true" outlineLevel="0" collapsed="false">
      <c r="A79" s="6" t="n">
        <v>78</v>
      </c>
      <c r="B79" s="6" t="s">
        <v>302</v>
      </c>
      <c r="C79" s="6" t="n">
        <f aca="false">Minors!CA129</f>
        <v>56</v>
      </c>
      <c r="D79" s="6" t="n">
        <f aca="false">Minors!CA130</f>
        <v>70</v>
      </c>
      <c r="E79" s="6" t="n">
        <f aca="false">Minors!CA131</f>
        <v>0</v>
      </c>
    </row>
    <row r="80" customFormat="false" ht="15" hidden="false" customHeight="true" outlineLevel="0" collapsed="false">
      <c r="A80" s="6" t="n">
        <v>79</v>
      </c>
      <c r="B80" s="6" t="s">
        <v>303</v>
      </c>
      <c r="C80" s="6" t="n">
        <f aca="false">Minors!CB129</f>
        <v>78</v>
      </c>
      <c r="D80" s="6" t="n">
        <f aca="false">Minors!CB130</f>
        <v>48</v>
      </c>
      <c r="E80" s="6" t="n">
        <f aca="false">Minors!CB131</f>
        <v>0</v>
      </c>
    </row>
    <row r="81" customFormat="false" ht="15" hidden="false" customHeight="true" outlineLevel="0" collapsed="false">
      <c r="A81" s="6" t="n">
        <v>80</v>
      </c>
      <c r="B81" s="6" t="s">
        <v>304</v>
      </c>
      <c r="C81" s="6" t="n">
        <f aca="false">Minors!CC129</f>
        <v>52</v>
      </c>
      <c r="D81" s="6" t="n">
        <f aca="false">Minors!CC130</f>
        <v>74</v>
      </c>
      <c r="E81" s="6" t="n">
        <f aca="false">Minors!CC131</f>
        <v>0</v>
      </c>
    </row>
    <row r="82" customFormat="false" ht="15" hidden="false" customHeight="true" outlineLevel="0" collapsed="false">
      <c r="A82" s="6" t="n">
        <v>81</v>
      </c>
      <c r="B82" s="6" t="s">
        <v>305</v>
      </c>
      <c r="C82" s="6" t="n">
        <f aca="false">Minors!CD129</f>
        <v>70</v>
      </c>
      <c r="D82" s="6" t="n">
        <f aca="false">Minors!CD130</f>
        <v>56</v>
      </c>
      <c r="E82" s="6" t="n">
        <f aca="false">Minors!CD131</f>
        <v>0</v>
      </c>
    </row>
    <row r="83" customFormat="false" ht="15" hidden="false" customHeight="true" outlineLevel="0" collapsed="false">
      <c r="A83" s="6" t="n">
        <v>82</v>
      </c>
      <c r="B83" s="6" t="s">
        <v>306</v>
      </c>
      <c r="C83" s="6" t="n">
        <f aca="false">Minors!CE129</f>
        <v>43</v>
      </c>
      <c r="D83" s="6" t="n">
        <f aca="false">Minors!CE130</f>
        <v>83</v>
      </c>
      <c r="E83" s="6" t="n">
        <f aca="false">Minors!CE131</f>
        <v>0</v>
      </c>
    </row>
    <row r="84" customFormat="false" ht="15" hidden="false" customHeight="true" outlineLevel="0" collapsed="false">
      <c r="A84" s="6" t="n">
        <v>83</v>
      </c>
      <c r="B84" s="6" t="s">
        <v>307</v>
      </c>
      <c r="C84" s="6" t="n">
        <f aca="false">Minors!CF129</f>
        <v>66</v>
      </c>
      <c r="D84" s="6" t="n">
        <f aca="false">Minors!CF130</f>
        <v>60</v>
      </c>
      <c r="E84" s="6" t="n">
        <f aca="false">Minors!CF131</f>
        <v>0</v>
      </c>
    </row>
    <row r="85" customFormat="false" ht="15" hidden="false" customHeight="true" outlineLevel="0" collapsed="false">
      <c r="A85" s="6" t="n">
        <v>84</v>
      </c>
      <c r="B85" s="6" t="s">
        <v>308</v>
      </c>
      <c r="C85" s="6" t="n">
        <f aca="false">Minors!CG129</f>
        <v>72</v>
      </c>
      <c r="D85" s="6" t="n">
        <f aca="false">Minors!CG130</f>
        <v>54</v>
      </c>
      <c r="E85" s="6" t="n">
        <f aca="false">Minors!CG131</f>
        <v>0</v>
      </c>
    </row>
    <row r="86" customFormat="false" ht="15" hidden="false" customHeight="true" outlineLevel="0" collapsed="false">
      <c r="A86" s="6" t="n">
        <v>85</v>
      </c>
      <c r="B86" s="6" t="s">
        <v>309</v>
      </c>
      <c r="C86" s="6" t="n">
        <f aca="false">Minors!CH129</f>
        <v>40</v>
      </c>
      <c r="D86" s="6" t="n">
        <f aca="false">Minors!CH130</f>
        <v>86</v>
      </c>
      <c r="E86" s="6" t="n">
        <f aca="false">Minors!CH131</f>
        <v>0</v>
      </c>
    </row>
    <row r="87" customFormat="false" ht="15" hidden="false" customHeight="true" outlineLevel="0" collapsed="false">
      <c r="A87" s="6" t="n">
        <v>86</v>
      </c>
      <c r="B87" s="6" t="s">
        <v>310</v>
      </c>
      <c r="C87" s="6" t="n">
        <f aca="false">Minors!CI129</f>
        <v>59</v>
      </c>
      <c r="D87" s="6" t="n">
        <f aca="false">Minors!CI130</f>
        <v>67</v>
      </c>
      <c r="E87" s="6" t="n">
        <f aca="false">Minors!CI131</f>
        <v>0</v>
      </c>
    </row>
    <row r="88" customFormat="false" ht="15" hidden="false" customHeight="true" outlineLevel="0" collapsed="false">
      <c r="A88" s="6" t="n">
        <v>87</v>
      </c>
      <c r="B88" s="6" t="s">
        <v>311</v>
      </c>
      <c r="C88" s="6" t="n">
        <f aca="false">Minors!CJ129</f>
        <v>67</v>
      </c>
      <c r="D88" s="6" t="n">
        <f aca="false">Minors!CJ130</f>
        <v>59</v>
      </c>
      <c r="E88" s="6" t="n">
        <f aca="false">Minors!CJ131</f>
        <v>0</v>
      </c>
    </row>
    <row r="89" customFormat="false" ht="15" hidden="false" customHeight="true" outlineLevel="0" collapsed="false">
      <c r="A89" s="6" t="n">
        <v>88</v>
      </c>
      <c r="B89" s="6" t="s">
        <v>312</v>
      </c>
      <c r="C89" s="6" t="n">
        <f aca="false">Minors!CK129</f>
        <v>67</v>
      </c>
      <c r="D89" s="6" t="n">
        <f aca="false">Minors!CK130</f>
        <v>59</v>
      </c>
      <c r="E89" s="6" t="n">
        <f aca="false">Minors!CK131</f>
        <v>0</v>
      </c>
    </row>
    <row r="90" customFormat="false" ht="15" hidden="false" customHeight="true" outlineLevel="0" collapsed="false">
      <c r="A90" s="6" t="n">
        <v>89</v>
      </c>
      <c r="B90" s="6" t="s">
        <v>313</v>
      </c>
      <c r="C90" s="6" t="n">
        <f aca="false">Minors!CL129</f>
        <v>79</v>
      </c>
      <c r="D90" s="6" t="n">
        <f aca="false">Minors!CL130</f>
        <v>47</v>
      </c>
      <c r="E90" s="6" t="n">
        <f aca="false">Minors!CL131</f>
        <v>0</v>
      </c>
    </row>
    <row r="91" customFormat="false" ht="15" hidden="false" customHeight="true" outlineLevel="0" collapsed="false">
      <c r="A91" s="6" t="n">
        <v>90</v>
      </c>
      <c r="B91" s="6" t="s">
        <v>314</v>
      </c>
      <c r="C91" s="6" t="n">
        <f aca="false">Minors!CM129</f>
        <v>75</v>
      </c>
      <c r="D91" s="6" t="n">
        <f aca="false">Minors!CM130</f>
        <v>51</v>
      </c>
      <c r="E91" s="6" t="n">
        <f aca="false">Minors!CM131</f>
        <v>0</v>
      </c>
    </row>
    <row r="92" customFormat="false" ht="15" hidden="false" customHeight="true" outlineLevel="0" collapsed="false">
      <c r="A92" s="6" t="n">
        <v>91</v>
      </c>
      <c r="B92" s="6" t="s">
        <v>315</v>
      </c>
      <c r="C92" s="6" t="n">
        <f aca="false">Minors!CN129</f>
        <v>67</v>
      </c>
      <c r="D92" s="6" t="n">
        <f aca="false">Minors!CN130</f>
        <v>59</v>
      </c>
      <c r="E92" s="6" t="n">
        <f aca="false">Minors!CN131</f>
        <v>0</v>
      </c>
    </row>
    <row r="93" customFormat="false" ht="15" hidden="false" customHeight="true" outlineLevel="0" collapsed="false">
      <c r="A93" s="6" t="n">
        <v>92</v>
      </c>
      <c r="B93" s="6" t="s">
        <v>316</v>
      </c>
      <c r="C93" s="6" t="n">
        <f aca="false">Minors!CO129</f>
        <v>68</v>
      </c>
      <c r="D93" s="6" t="n">
        <f aca="false">Minors!CO130</f>
        <v>58</v>
      </c>
      <c r="E93" s="6" t="n">
        <f aca="false">Minors!CO131</f>
        <v>0</v>
      </c>
    </row>
    <row r="94" customFormat="false" ht="15" hidden="false" customHeight="true" outlineLevel="0" collapsed="false">
      <c r="A94" s="6" t="n">
        <v>93</v>
      </c>
      <c r="B94" s="6" t="s">
        <v>317</v>
      </c>
      <c r="C94" s="6" t="n">
        <f aca="false">Minors!CP129</f>
        <v>73</v>
      </c>
      <c r="D94" s="6" t="n">
        <f aca="false">Minors!CP130</f>
        <v>53</v>
      </c>
      <c r="E94" s="6" t="n">
        <f aca="false">Minors!CP131</f>
        <v>0</v>
      </c>
    </row>
    <row r="95" customFormat="false" ht="15" hidden="false" customHeight="true" outlineLevel="0" collapsed="false">
      <c r="A95" s="6" t="n">
        <v>94</v>
      </c>
      <c r="B95" s="6" t="s">
        <v>318</v>
      </c>
      <c r="C95" s="6" t="n">
        <f aca="false">Minors!CQ129</f>
        <v>76</v>
      </c>
      <c r="D95" s="6" t="n">
        <f aca="false">Minors!CQ130</f>
        <v>50</v>
      </c>
      <c r="E95" s="6" t="n">
        <f aca="false">Minors!CQ131</f>
        <v>0</v>
      </c>
    </row>
    <row r="96" customFormat="false" ht="15" hidden="false" customHeight="true" outlineLevel="0" collapsed="false">
      <c r="A96" s="6" t="n">
        <v>95</v>
      </c>
      <c r="B96" s="6" t="s">
        <v>319</v>
      </c>
      <c r="C96" s="6" t="n">
        <f aca="false">Minors!CR129</f>
        <v>65</v>
      </c>
      <c r="D96" s="6" t="n">
        <f aca="false">Minors!CR130</f>
        <v>61</v>
      </c>
      <c r="E96" s="6" t="n">
        <f aca="false">Minors!CR131</f>
        <v>0</v>
      </c>
    </row>
    <row r="97" customFormat="false" ht="15" hidden="false" customHeight="true" outlineLevel="0" collapsed="false">
      <c r="A97" s="6" t="n">
        <v>96</v>
      </c>
      <c r="B97" s="6" t="s">
        <v>320</v>
      </c>
      <c r="C97" s="6" t="n">
        <f aca="false">Minors!CS129</f>
        <v>80</v>
      </c>
      <c r="D97" s="6" t="n">
        <f aca="false">Minors!CS130</f>
        <v>46</v>
      </c>
      <c r="E97" s="6" t="n">
        <f aca="false">Minors!CS131</f>
        <v>0</v>
      </c>
    </row>
    <row r="98" customFormat="false" ht="15" hidden="false" customHeight="true" outlineLevel="0" collapsed="false">
      <c r="A98" s="6" t="n">
        <v>97</v>
      </c>
      <c r="B98" s="6" t="s">
        <v>321</v>
      </c>
      <c r="C98" s="6" t="n">
        <f aca="false">Minors!CT129</f>
        <v>77</v>
      </c>
      <c r="D98" s="6" t="n">
        <f aca="false">Minors!CT130</f>
        <v>49</v>
      </c>
      <c r="E98" s="6" t="n">
        <f aca="false">Minors!CT131</f>
        <v>0</v>
      </c>
    </row>
    <row r="99" customFormat="false" ht="15" hidden="false" customHeight="true" outlineLevel="0" collapsed="false">
      <c r="A99" s="6" t="n">
        <v>98</v>
      </c>
      <c r="B99" s="6" t="s">
        <v>322</v>
      </c>
      <c r="C99" s="6" t="n">
        <f aca="false">Minors!CU129</f>
        <v>69</v>
      </c>
      <c r="D99" s="6" t="n">
        <f aca="false">Minors!CU130</f>
        <v>57</v>
      </c>
      <c r="E99" s="6" t="n">
        <f aca="false">Minors!CU131</f>
        <v>0</v>
      </c>
    </row>
    <row r="100" customFormat="false" ht="15" hidden="false" customHeight="true" outlineLevel="0" collapsed="false">
      <c r="A100" s="6" t="n">
        <v>99</v>
      </c>
      <c r="B100" s="6" t="s">
        <v>323</v>
      </c>
      <c r="C100" s="6" t="n">
        <f aca="false">Minors!CV129</f>
        <v>64</v>
      </c>
      <c r="D100" s="6" t="n">
        <f aca="false">Minors!CV130</f>
        <v>62</v>
      </c>
      <c r="E100" s="6" t="n">
        <f aca="false">Minors!CV131</f>
        <v>0</v>
      </c>
    </row>
    <row r="101" customFormat="false" ht="15" hidden="false" customHeight="true" outlineLevel="0" collapsed="false">
      <c r="A101" s="6" t="n">
        <v>100</v>
      </c>
      <c r="B101" s="6" t="s">
        <v>324</v>
      </c>
      <c r="C101" s="6" t="n">
        <f aca="false">Minors!CW129</f>
        <v>59</v>
      </c>
      <c r="D101" s="6" t="n">
        <f aca="false">Minors!CW130</f>
        <v>67</v>
      </c>
      <c r="E101" s="6" t="n">
        <f aca="false">Minors!CW131</f>
        <v>0</v>
      </c>
    </row>
    <row r="102" customFormat="false" ht="15" hidden="false" customHeight="true" outlineLevel="0" collapsed="false">
      <c r="A102" s="6" t="n">
        <v>101</v>
      </c>
      <c r="B102" s="6" t="s">
        <v>325</v>
      </c>
      <c r="C102" s="6" t="n">
        <f aca="false">Minors!CX129</f>
        <v>67</v>
      </c>
      <c r="D102" s="6" t="n">
        <f aca="false">Minors!CX130</f>
        <v>59</v>
      </c>
      <c r="E102" s="6" t="n">
        <f aca="false">Minors!CX131</f>
        <v>0</v>
      </c>
    </row>
    <row r="103" customFormat="false" ht="15" hidden="false" customHeight="true" outlineLevel="0" collapsed="false">
      <c r="A103" s="6" t="n">
        <v>102</v>
      </c>
      <c r="B103" s="6" t="s">
        <v>326</v>
      </c>
      <c r="C103" s="6" t="n">
        <f aca="false">Minors!CY129</f>
        <v>66</v>
      </c>
      <c r="D103" s="6" t="n">
        <f aca="false">Minors!CY130</f>
        <v>60</v>
      </c>
      <c r="E103" s="6" t="n">
        <f aca="false">Minors!CY131</f>
        <v>0</v>
      </c>
    </row>
    <row r="104" customFormat="false" ht="15" hidden="false" customHeight="true" outlineLevel="0" collapsed="false">
      <c r="A104" s="6" t="n">
        <v>103</v>
      </c>
      <c r="B104" s="6" t="s">
        <v>327</v>
      </c>
      <c r="C104" s="6" t="n">
        <f aca="false">Minors!CZ129</f>
        <v>55</v>
      </c>
      <c r="D104" s="6" t="n">
        <f aca="false">Minors!CZ130</f>
        <v>71</v>
      </c>
      <c r="E104" s="6" t="n">
        <f aca="false">Minors!CZ131</f>
        <v>0</v>
      </c>
    </row>
    <row r="105" customFormat="false" ht="15" hidden="false" customHeight="true" outlineLevel="0" collapsed="false">
      <c r="A105" s="6" t="n">
        <v>104</v>
      </c>
      <c r="B105" s="6" t="s">
        <v>328</v>
      </c>
      <c r="C105" s="6" t="n">
        <f aca="false">Minors!DA129</f>
        <v>78</v>
      </c>
      <c r="D105" s="6" t="n">
        <f aca="false">Minors!DA130</f>
        <v>48</v>
      </c>
      <c r="E105" s="6" t="n">
        <f aca="false">Minors!DA131</f>
        <v>0</v>
      </c>
    </row>
    <row r="106" customFormat="false" ht="15" hidden="false" customHeight="true" outlineLevel="0" collapsed="false">
      <c r="A106" s="6" t="n">
        <v>105</v>
      </c>
      <c r="B106" s="6" t="s">
        <v>329</v>
      </c>
      <c r="C106" s="6" t="n">
        <f aca="false">Minors!DB129</f>
        <v>57</v>
      </c>
      <c r="D106" s="6" t="n">
        <f aca="false">Minors!DB130</f>
        <v>69</v>
      </c>
      <c r="E106" s="6" t="n">
        <f aca="false">Minors!DB131</f>
        <v>0</v>
      </c>
    </row>
    <row r="107" customFormat="false" ht="15" hidden="false" customHeight="true" outlineLevel="0" collapsed="false">
      <c r="A107" s="6" t="n">
        <v>106</v>
      </c>
      <c r="B107" s="6" t="s">
        <v>330</v>
      </c>
      <c r="C107" s="6" t="n">
        <f aca="false">Minors!DC129</f>
        <v>89</v>
      </c>
      <c r="D107" s="6" t="n">
        <f aca="false">Minors!DC130</f>
        <v>37</v>
      </c>
      <c r="E107" s="6" t="n">
        <f aca="false">Minors!DC131</f>
        <v>0</v>
      </c>
    </row>
    <row r="108" customFormat="false" ht="15" hidden="false" customHeight="true" outlineLevel="0" collapsed="false">
      <c r="A108" s="6" t="n">
        <v>107</v>
      </c>
      <c r="B108" s="6" t="s">
        <v>331</v>
      </c>
      <c r="C108" s="6" t="n">
        <f aca="false">Minors!DD129</f>
        <v>59</v>
      </c>
      <c r="D108" s="6" t="n">
        <f aca="false">Minors!DD130</f>
        <v>67</v>
      </c>
      <c r="E108" s="6" t="n">
        <f aca="false">Minors!DD131</f>
        <v>0</v>
      </c>
    </row>
    <row r="109" customFormat="false" ht="15" hidden="false" customHeight="true" outlineLevel="0" collapsed="false">
      <c r="A109" s="6" t="n">
        <v>108</v>
      </c>
      <c r="B109" s="6" t="s">
        <v>332</v>
      </c>
      <c r="C109" s="6" t="n">
        <f aca="false">Minors!DE129</f>
        <v>66</v>
      </c>
      <c r="D109" s="6" t="n">
        <f aca="false">Minors!DE130</f>
        <v>60</v>
      </c>
      <c r="E109" s="6" t="n">
        <f aca="false">Minors!DE131</f>
        <v>0</v>
      </c>
    </row>
    <row r="110" customFormat="false" ht="15" hidden="false" customHeight="true" outlineLevel="0" collapsed="false">
      <c r="A110" s="6" t="n">
        <v>109</v>
      </c>
      <c r="B110" s="6" t="s">
        <v>333</v>
      </c>
      <c r="C110" s="6" t="n">
        <f aca="false">Minors!DF129</f>
        <v>70</v>
      </c>
      <c r="D110" s="6" t="n">
        <f aca="false">Minors!DF130</f>
        <v>56</v>
      </c>
      <c r="E110" s="6" t="n">
        <f aca="false">Minors!DF131</f>
        <v>0</v>
      </c>
    </row>
    <row r="111" customFormat="false" ht="15" hidden="false" customHeight="true" outlineLevel="0" collapsed="false">
      <c r="A111" s="6" t="n">
        <v>110</v>
      </c>
      <c r="B111" s="6" t="s">
        <v>334</v>
      </c>
      <c r="C111" s="6" t="n">
        <f aca="false">Minors!DG129</f>
        <v>38</v>
      </c>
      <c r="D111" s="6" t="n">
        <f aca="false">Minors!DG130</f>
        <v>88</v>
      </c>
      <c r="E111" s="6" t="n">
        <f aca="false">Minors!DG131</f>
        <v>0</v>
      </c>
    </row>
    <row r="112" customFormat="false" ht="15" hidden="false" customHeight="true" outlineLevel="0" collapsed="false">
      <c r="A112" s="6" t="n">
        <v>111</v>
      </c>
      <c r="B112" s="6" t="s">
        <v>335</v>
      </c>
      <c r="C112" s="6" t="n">
        <f aca="false">Minors!DH129</f>
        <v>57</v>
      </c>
      <c r="D112" s="6" t="n">
        <f aca="false">Minors!DH130</f>
        <v>69</v>
      </c>
      <c r="E112" s="6" t="n">
        <f aca="false">Minors!DH131</f>
        <v>0</v>
      </c>
    </row>
    <row r="113" customFormat="false" ht="15" hidden="false" customHeight="true" outlineLevel="0" collapsed="false">
      <c r="A113" s="6" t="n">
        <v>112</v>
      </c>
      <c r="B113" s="6" t="s">
        <v>336</v>
      </c>
      <c r="C113" s="6" t="n">
        <f aca="false">Minors!DI129</f>
        <v>71</v>
      </c>
      <c r="D113" s="6" t="n">
        <f aca="false">Minors!DI130</f>
        <v>55</v>
      </c>
      <c r="E113" s="6" t="n">
        <f aca="false">Minors!DI131</f>
        <v>0</v>
      </c>
    </row>
    <row r="114" customFormat="false" ht="15" hidden="false" customHeight="true" outlineLevel="0" collapsed="false">
      <c r="A114" s="6" t="n">
        <v>113</v>
      </c>
      <c r="B114" s="6" t="s">
        <v>337</v>
      </c>
      <c r="C114" s="6" t="n">
        <f aca="false">Minors!DJ129</f>
        <v>50</v>
      </c>
      <c r="D114" s="6" t="n">
        <f aca="false">Minors!DJ130</f>
        <v>76</v>
      </c>
      <c r="E114" s="6" t="n">
        <f aca="false">Minors!DJ131</f>
        <v>0</v>
      </c>
    </row>
    <row r="115" customFormat="false" ht="15" hidden="false" customHeight="true" outlineLevel="0" collapsed="false">
      <c r="A115" s="6" t="n">
        <v>114</v>
      </c>
      <c r="B115" s="6" t="s">
        <v>338</v>
      </c>
      <c r="C115" s="6" t="n">
        <f aca="false">Minors!DK129</f>
        <v>69</v>
      </c>
      <c r="D115" s="6" t="n">
        <f aca="false">Minors!DK130</f>
        <v>57</v>
      </c>
      <c r="E115" s="6" t="n">
        <f aca="false">Minors!DK131</f>
        <v>0</v>
      </c>
    </row>
    <row r="116" customFormat="false" ht="15" hidden="false" customHeight="true" outlineLevel="0" collapsed="false">
      <c r="A116" s="6" t="n">
        <v>115</v>
      </c>
      <c r="B116" s="6" t="s">
        <v>339</v>
      </c>
      <c r="C116" s="6" t="n">
        <f aca="false">Minors!DL129</f>
        <v>74</v>
      </c>
      <c r="D116" s="6" t="n">
        <f aca="false">Minors!DL130</f>
        <v>52</v>
      </c>
      <c r="E116" s="6" t="n">
        <f aca="false">Minors!DL131</f>
        <v>0</v>
      </c>
    </row>
    <row r="117" customFormat="false" ht="15" hidden="false" customHeight="true" outlineLevel="0" collapsed="false">
      <c r="A117" s="6" t="n">
        <v>116</v>
      </c>
      <c r="B117" s="6" t="s">
        <v>340</v>
      </c>
      <c r="C117" s="6" t="n">
        <f aca="false">Minors!DM129</f>
        <v>42</v>
      </c>
      <c r="D117" s="6" t="n">
        <f aca="false">Minors!DM130</f>
        <v>84</v>
      </c>
      <c r="E117" s="6" t="n">
        <f aca="false">Minors!DM131</f>
        <v>0</v>
      </c>
    </row>
    <row r="118" customFormat="false" ht="15" hidden="false" customHeight="true" outlineLevel="0" collapsed="false">
      <c r="A118" s="6" t="n">
        <v>117</v>
      </c>
      <c r="B118" s="6" t="s">
        <v>341</v>
      </c>
      <c r="C118" s="6" t="n">
        <f aca="false">Minors!DN129</f>
        <v>65</v>
      </c>
      <c r="D118" s="6" t="n">
        <f aca="false">Minors!DN130</f>
        <v>61</v>
      </c>
      <c r="E118" s="6" t="n">
        <f aca="false">Minors!DN131</f>
        <v>0</v>
      </c>
    </row>
    <row r="119" customFormat="false" ht="15" hidden="false" customHeight="true" outlineLevel="0" collapsed="false">
      <c r="A119" s="6" t="n">
        <v>118</v>
      </c>
      <c r="B119" s="6" t="s">
        <v>342</v>
      </c>
      <c r="C119" s="6" t="n">
        <f aca="false">Minors!DO129</f>
        <v>72</v>
      </c>
      <c r="D119" s="6" t="n">
        <f aca="false">Minors!DO130</f>
        <v>54</v>
      </c>
      <c r="E119" s="6" t="n">
        <f aca="false">Minors!DO131</f>
        <v>0</v>
      </c>
    </row>
    <row r="120" customFormat="false" ht="15" hidden="false" customHeight="true" outlineLevel="0" collapsed="false">
      <c r="A120" s="6" t="n">
        <v>119</v>
      </c>
      <c r="B120" s="6" t="s">
        <v>343</v>
      </c>
      <c r="C120" s="6" t="n">
        <f aca="false">Minors!DP129</f>
        <v>38</v>
      </c>
      <c r="D120" s="6" t="n">
        <f aca="false">Minors!DP130</f>
        <v>88</v>
      </c>
      <c r="E120" s="6" t="n">
        <f aca="false">Minors!DP131</f>
        <v>0</v>
      </c>
    </row>
    <row r="121" customFormat="false" ht="15" hidden="false" customHeight="true" outlineLevel="0" collapsed="false">
      <c r="A121" s="6" t="n">
        <v>120</v>
      </c>
      <c r="B121" s="6" t="s">
        <v>344</v>
      </c>
      <c r="C121" s="6" t="n">
        <f aca="false">Minors!DQ129</f>
        <v>51</v>
      </c>
      <c r="D121" s="6" t="n">
        <f aca="false">Minors!DQ130</f>
        <v>75</v>
      </c>
      <c r="E121" s="6" t="n">
        <f aca="false">Minors!DQ131</f>
        <v>0</v>
      </c>
    </row>
    <row r="122" customFormat="false" ht="15" hidden="false" customHeight="true" outlineLevel="0" collapsed="false">
      <c r="A122" s="6" t="n">
        <v>121</v>
      </c>
      <c r="B122" s="6" t="s">
        <v>345</v>
      </c>
      <c r="C122" s="6" t="n">
        <f aca="false">Minors!DR129</f>
        <v>52</v>
      </c>
      <c r="D122" s="6" t="n">
        <f aca="false">Minors!DR130</f>
        <v>74</v>
      </c>
      <c r="E122" s="6" t="n">
        <f aca="false">Minors!DR131</f>
        <v>0</v>
      </c>
    </row>
    <row r="123" customFormat="false" ht="15" hidden="false" customHeight="true" outlineLevel="0" collapsed="false">
      <c r="A123" s="6" t="n">
        <v>122</v>
      </c>
      <c r="B123" s="6" t="s">
        <v>346</v>
      </c>
      <c r="C123" s="6" t="n">
        <f aca="false">Minors!DS129</f>
        <v>53</v>
      </c>
      <c r="D123" s="6" t="n">
        <f aca="false">Minors!DS130</f>
        <v>73</v>
      </c>
      <c r="E123" s="6" t="n">
        <f aca="false">Minors!DS131</f>
        <v>0</v>
      </c>
    </row>
    <row r="124" customFormat="false" ht="15" hidden="false" customHeight="true" outlineLevel="0" collapsed="false">
      <c r="A124" s="6" t="n">
        <v>123</v>
      </c>
      <c r="B124" s="6" t="s">
        <v>347</v>
      </c>
      <c r="C124" s="6" t="n">
        <f aca="false">Minors!DT129</f>
        <v>51</v>
      </c>
      <c r="D124" s="6" t="n">
        <f aca="false">Minors!DT130</f>
        <v>75</v>
      </c>
      <c r="E124" s="6" t="n">
        <f aca="false">Minors!DT131</f>
        <v>0</v>
      </c>
    </row>
    <row r="125" customFormat="false" ht="15" hidden="false" customHeight="true" outlineLevel="0" collapsed="false">
      <c r="A125" s="6" t="n">
        <v>124</v>
      </c>
      <c r="B125" s="6" t="s">
        <v>348</v>
      </c>
      <c r="C125" s="6" t="n">
        <f aca="false">Minors!DU129</f>
        <v>49</v>
      </c>
      <c r="D125" s="6" t="n">
        <f aca="false">Minors!DU130</f>
        <v>77</v>
      </c>
      <c r="E125" s="6" t="n">
        <f aca="false">Minors!DU131</f>
        <v>0</v>
      </c>
    </row>
    <row r="126" customFormat="false" ht="15" hidden="false" customHeight="true" outlineLevel="0" collapsed="false">
      <c r="A126" s="6" t="n">
        <v>125</v>
      </c>
      <c r="B126" s="6" t="s">
        <v>349</v>
      </c>
      <c r="C126" s="6" t="n">
        <f aca="false">Minors!DV129</f>
        <v>60</v>
      </c>
      <c r="D126" s="6" t="n">
        <f aca="false">Minors!DV130</f>
        <v>66</v>
      </c>
      <c r="E126" s="6" t="n">
        <f aca="false">Minors!DV131</f>
        <v>0</v>
      </c>
    </row>
    <row r="127" customFormat="false" ht="15" hidden="false" customHeight="true" outlineLevel="0" collapsed="false">
      <c r="A127" s="6" t="n">
        <v>126</v>
      </c>
      <c r="B127" s="6" t="s">
        <v>350</v>
      </c>
      <c r="C127" s="6" t="n">
        <f aca="false">Minors!DW129</f>
        <v>58</v>
      </c>
      <c r="D127" s="6" t="n">
        <f aca="false">Minors!DW130</f>
        <v>68</v>
      </c>
      <c r="E127" s="6" t="n">
        <f aca="false">Minors!DW131</f>
        <v>0</v>
      </c>
    </row>
    <row r="128" customFormat="false" ht="15" hidden="false" customHeight="true" outlineLevel="0" collapsed="false">
      <c r="A128" s="6" t="n">
        <v>127</v>
      </c>
      <c r="B128" s="6" t="s">
        <v>351</v>
      </c>
      <c r="C128" s="6" t="n">
        <f aca="false">Minors!DX129</f>
        <v>79</v>
      </c>
      <c r="D128" s="6" t="n">
        <f aca="false">Minors!DX130</f>
        <v>47</v>
      </c>
      <c r="E128" s="6" t="n">
        <f aca="false">Minors!DX131</f>
        <v>0</v>
      </c>
    </row>
    <row r="129" customFormat="false" ht="15" hidden="false" customHeight="true" outlineLevel="0" collapsed="false">
      <c r="A129" s="6" t="n">
        <v>128</v>
      </c>
      <c r="B129" s="6" t="s">
        <v>352</v>
      </c>
      <c r="C129" s="6" t="n">
        <f aca="false">Minors!DY129</f>
        <v>73</v>
      </c>
      <c r="D129" s="6" t="n">
        <f aca="false">Minors!DY130</f>
        <v>53</v>
      </c>
      <c r="E129" s="6" t="n">
        <f aca="false">Minors!DY131</f>
        <v>0</v>
      </c>
    </row>
    <row r="130" customFormat="false" ht="15" hidden="false" customHeight="true" outlineLevel="0" collapsed="false">
      <c r="A130" s="6" t="n">
        <v>129</v>
      </c>
      <c r="B130" s="6" t="s">
        <v>353</v>
      </c>
      <c r="C130" s="6" t="n">
        <f aca="false">Minors!DZ129</f>
        <v>69</v>
      </c>
      <c r="D130" s="6" t="n">
        <f aca="false">Minors!DZ130</f>
        <v>57</v>
      </c>
      <c r="E130" s="6" t="n">
        <f aca="false">Minors!DZ131</f>
        <v>0</v>
      </c>
    </row>
    <row r="131" customFormat="false" ht="15" hidden="false" customHeight="true" outlineLevel="0" collapsed="false">
      <c r="A131" s="6" t="n">
        <v>130</v>
      </c>
      <c r="B131" s="6" t="s">
        <v>354</v>
      </c>
      <c r="C131" s="6" t="n">
        <f aca="false">Minors!EA129</f>
        <v>77</v>
      </c>
      <c r="D131" s="6" t="n">
        <f aca="false">Minors!EA130</f>
        <v>49</v>
      </c>
      <c r="E131" s="6" t="n">
        <f aca="false">Minors!EA131</f>
        <v>0</v>
      </c>
    </row>
    <row r="132" customFormat="false" ht="15" hidden="false" customHeight="true" outlineLevel="0" collapsed="false">
      <c r="A132" s="6" t="n">
        <v>131</v>
      </c>
      <c r="B132" s="6" t="s">
        <v>355</v>
      </c>
      <c r="C132" s="6" t="n">
        <f aca="false">Minors!EB129</f>
        <v>60</v>
      </c>
      <c r="D132" s="6" t="n">
        <f aca="false">Minors!EB130</f>
        <v>66</v>
      </c>
      <c r="E132" s="6" t="n">
        <f aca="false">Minors!EB131</f>
        <v>0</v>
      </c>
    </row>
    <row r="133" customFormat="false" ht="15" hidden="false" customHeight="true" outlineLevel="0" collapsed="false">
      <c r="A133" s="6" t="n">
        <v>132</v>
      </c>
      <c r="B133" s="6" t="s">
        <v>356</v>
      </c>
      <c r="C133" s="6" t="n">
        <f aca="false">Minors!EC129</f>
        <v>51</v>
      </c>
      <c r="D133" s="6" t="n">
        <f aca="false">Minors!EC130</f>
        <v>75</v>
      </c>
      <c r="E133" s="6" t="n">
        <f aca="false">Minors!EC131</f>
        <v>0</v>
      </c>
    </row>
    <row r="134" customFormat="false" ht="15" hidden="false" customHeight="true" outlineLevel="0" collapsed="false">
      <c r="A134" s="6" t="n">
        <v>133</v>
      </c>
      <c r="B134" s="6" t="s">
        <v>357</v>
      </c>
      <c r="C134" s="6" t="n">
        <f aca="false">Minors!ED129</f>
        <v>48</v>
      </c>
      <c r="D134" s="6" t="n">
        <f aca="false">Minors!ED130</f>
        <v>78</v>
      </c>
      <c r="E134" s="6" t="n">
        <f aca="false">Minors!ED131</f>
        <v>0</v>
      </c>
    </row>
    <row r="135" customFormat="false" ht="15" hidden="false" customHeight="true" outlineLevel="0" collapsed="false">
      <c r="A135" s="6" t="n">
        <v>134</v>
      </c>
      <c r="B135" s="6" t="s">
        <v>358</v>
      </c>
      <c r="C135" s="6" t="n">
        <f aca="false">Minors!EE129</f>
        <v>57</v>
      </c>
      <c r="D135" s="6" t="n">
        <f aca="false">Minors!EE130</f>
        <v>69</v>
      </c>
      <c r="E135" s="6" t="n">
        <f aca="false">Minors!EE131</f>
        <v>0</v>
      </c>
    </row>
    <row r="136" customFormat="false" ht="15" hidden="false" customHeight="true" outlineLevel="0" collapsed="false">
      <c r="A136" s="6" t="n">
        <v>135</v>
      </c>
      <c r="B136" s="6" t="s">
        <v>359</v>
      </c>
      <c r="C136" s="6" t="n">
        <f aca="false">Minors!EF129</f>
        <v>58</v>
      </c>
      <c r="D136" s="6" t="n">
        <f aca="false">Minors!EF130</f>
        <v>68</v>
      </c>
      <c r="E136" s="6" t="n">
        <f aca="false">Minors!EF131</f>
        <v>0</v>
      </c>
    </row>
    <row r="137" customFormat="false" ht="15" hidden="false" customHeight="true" outlineLevel="0" collapsed="false">
      <c r="A137" s="6" t="n">
        <v>136</v>
      </c>
      <c r="B137" s="6" t="s">
        <v>360</v>
      </c>
      <c r="C137" s="6" t="n">
        <f aca="false">Minors!EG129</f>
        <v>61</v>
      </c>
      <c r="D137" s="6" t="n">
        <f aca="false">Minors!EG130</f>
        <v>65</v>
      </c>
      <c r="E137" s="6" t="n">
        <f aca="false">Minors!EG131</f>
        <v>0</v>
      </c>
    </row>
    <row r="138" customFormat="false" ht="15" hidden="false" customHeight="true" outlineLevel="0" collapsed="false">
      <c r="A138" s="6" t="n">
        <v>137</v>
      </c>
      <c r="B138" s="6" t="s">
        <v>361</v>
      </c>
      <c r="C138" s="6" t="n">
        <f aca="false">Minors!EH129</f>
        <v>50</v>
      </c>
      <c r="D138" s="6" t="n">
        <f aca="false">Minors!EH130</f>
        <v>76</v>
      </c>
      <c r="E138" s="6" t="n">
        <f aca="false">Minors!EH131</f>
        <v>0</v>
      </c>
    </row>
    <row r="139" customFormat="false" ht="15" hidden="false" customHeight="true" outlineLevel="0" collapsed="false">
      <c r="A139" s="6" t="n">
        <v>138</v>
      </c>
      <c r="B139" s="6" t="s">
        <v>362</v>
      </c>
      <c r="C139" s="6" t="n">
        <f aca="false">Minors!EI129</f>
        <v>74</v>
      </c>
      <c r="D139" s="6" t="n">
        <f aca="false">Minors!EI130</f>
        <v>52</v>
      </c>
      <c r="E139" s="6" t="n">
        <f aca="false">Minors!EI131</f>
        <v>0</v>
      </c>
    </row>
    <row r="140" customFormat="false" ht="15" hidden="false" customHeight="true" outlineLevel="0" collapsed="false">
      <c r="A140" s="6" t="n">
        <v>139</v>
      </c>
      <c r="B140" s="6" t="s">
        <v>363</v>
      </c>
      <c r="C140" s="6" t="n">
        <f aca="false">Minors!EJ129</f>
        <v>62</v>
      </c>
      <c r="D140" s="6" t="n">
        <f aca="false">Minors!EJ130</f>
        <v>64</v>
      </c>
      <c r="E140" s="6" t="n">
        <f aca="false">Minors!EJ131</f>
        <v>0</v>
      </c>
    </row>
    <row r="141" customFormat="false" ht="15" hidden="false" customHeight="true" outlineLevel="0" collapsed="false">
      <c r="A141" s="6" t="n">
        <v>140</v>
      </c>
      <c r="B141" s="6" t="s">
        <v>364</v>
      </c>
      <c r="C141" s="6" t="n">
        <f aca="false">Minors!EK129</f>
        <v>68</v>
      </c>
      <c r="D141" s="6" t="n">
        <f aca="false">Minors!EK130</f>
        <v>58</v>
      </c>
      <c r="E141" s="6" t="n">
        <f aca="false">Minors!EK131</f>
        <v>0</v>
      </c>
    </row>
    <row r="142" customFormat="false" ht="15" hidden="false" customHeight="true" outlineLevel="0" collapsed="false">
      <c r="A142" s="6" t="n">
        <v>141</v>
      </c>
      <c r="B142" s="6" t="s">
        <v>365</v>
      </c>
      <c r="C142" s="6" t="n">
        <f aca="false">Minors!EL129</f>
        <v>51</v>
      </c>
      <c r="D142" s="6" t="n">
        <f aca="false">Minors!EL130</f>
        <v>75</v>
      </c>
      <c r="E142" s="6" t="n">
        <f aca="false">Minors!EL131</f>
        <v>0</v>
      </c>
    </row>
    <row r="143" customFormat="false" ht="15" hidden="false" customHeight="true" outlineLevel="0" collapsed="false">
      <c r="A143" s="6" t="n">
        <v>142</v>
      </c>
      <c r="B143" s="6" t="s">
        <v>366</v>
      </c>
      <c r="C143" s="6" t="n">
        <f aca="false">Minors!EM129</f>
        <v>67</v>
      </c>
      <c r="D143" s="6" t="n">
        <f aca="false">Minors!EM130</f>
        <v>59</v>
      </c>
      <c r="E143" s="6" t="n">
        <f aca="false">Minors!EM131</f>
        <v>0</v>
      </c>
    </row>
    <row r="144" customFormat="false" ht="15" hidden="false" customHeight="true" outlineLevel="0" collapsed="false">
      <c r="A144" s="6" t="n">
        <v>143</v>
      </c>
      <c r="B144" s="6" t="s">
        <v>367</v>
      </c>
      <c r="C144" s="6" t="n">
        <f aca="false">Minors!EN129</f>
        <v>68</v>
      </c>
      <c r="D144" s="6" t="n">
        <f aca="false">Minors!EN130</f>
        <v>58</v>
      </c>
      <c r="E144" s="6" t="n">
        <f aca="false">Minors!EN131</f>
        <v>0</v>
      </c>
    </row>
    <row r="145" customFormat="false" ht="15" hidden="false" customHeight="true" outlineLevel="0" collapsed="false">
      <c r="A145" s="6" t="n">
        <v>144</v>
      </c>
      <c r="B145" s="6" t="s">
        <v>368</v>
      </c>
      <c r="C145" s="6" t="n">
        <f aca="false">Minors!EO129</f>
        <v>49</v>
      </c>
      <c r="D145" s="6" t="n">
        <f aca="false">Minors!EO130</f>
        <v>77</v>
      </c>
      <c r="E145" s="6" t="n">
        <f aca="false">Minors!EO131</f>
        <v>0</v>
      </c>
    </row>
    <row r="146" customFormat="false" ht="15" hidden="false" customHeight="true" outlineLevel="0" collapsed="false">
      <c r="A146" s="6" t="n">
        <v>145</v>
      </c>
      <c r="B146" s="6" t="s">
        <v>369</v>
      </c>
      <c r="C146" s="6" t="n">
        <f aca="false">Minors!EP129</f>
        <v>67</v>
      </c>
      <c r="D146" s="6" t="n">
        <f aca="false">Minors!EP130</f>
        <v>59</v>
      </c>
      <c r="E146" s="6" t="n">
        <f aca="false">Minors!EP131</f>
        <v>0</v>
      </c>
    </row>
    <row r="147" customFormat="false" ht="15" hidden="false" customHeight="true" outlineLevel="0" collapsed="false">
      <c r="A147" s="6" t="n">
        <v>146</v>
      </c>
      <c r="B147" s="6" t="s">
        <v>370</v>
      </c>
      <c r="C147" s="6" t="n">
        <f aca="false">Minors!EQ129</f>
        <v>59</v>
      </c>
      <c r="D147" s="6" t="n">
        <f aca="false">Minors!EQ130</f>
        <v>67</v>
      </c>
      <c r="E147" s="6" t="n">
        <f aca="false">Minors!EQ131</f>
        <v>0</v>
      </c>
    </row>
    <row r="148" customFormat="false" ht="15" hidden="false" customHeight="true" outlineLevel="0" collapsed="false">
      <c r="A148" s="6" t="n">
        <v>147</v>
      </c>
      <c r="B148" s="6" t="s">
        <v>371</v>
      </c>
      <c r="C148" s="6" t="n">
        <f aca="false">Minors!ER129</f>
        <v>73</v>
      </c>
      <c r="D148" s="6" t="n">
        <f aca="false">Minors!ER130</f>
        <v>53</v>
      </c>
      <c r="E148" s="6" t="n">
        <f aca="false">Minors!ER131</f>
        <v>0</v>
      </c>
    </row>
    <row r="149" customFormat="false" ht="15" hidden="false" customHeight="true" outlineLevel="0" collapsed="false">
      <c r="A149" s="6" t="n">
        <v>148</v>
      </c>
      <c r="B149" s="6" t="s">
        <v>372</v>
      </c>
      <c r="C149" s="6" t="n">
        <f aca="false">Minors!ES129</f>
        <v>42</v>
      </c>
      <c r="D149" s="6" t="n">
        <f aca="false">Minors!ES130</f>
        <v>84</v>
      </c>
      <c r="E149" s="6" t="n">
        <f aca="false">Minors!ES131</f>
        <v>0</v>
      </c>
    </row>
    <row r="150" customFormat="false" ht="15" hidden="false" customHeight="true" outlineLevel="0" collapsed="false">
      <c r="A150" s="6" t="n">
        <v>149</v>
      </c>
      <c r="B150" s="6" t="s">
        <v>373</v>
      </c>
      <c r="C150" s="6" t="n">
        <f aca="false">Minors!ET129</f>
        <v>57</v>
      </c>
      <c r="D150" s="6" t="n">
        <f aca="false">Minors!ET130</f>
        <v>69</v>
      </c>
      <c r="E150" s="6" t="n">
        <f aca="false">Minors!ET131</f>
        <v>0</v>
      </c>
    </row>
    <row r="151" customFormat="false" ht="15" hidden="false" customHeight="true" outlineLevel="0" collapsed="false">
      <c r="A151" s="6" t="n">
        <v>150</v>
      </c>
      <c r="B151" s="6" t="s">
        <v>374</v>
      </c>
      <c r="C151" s="6" t="n">
        <f aca="false">Minors!EU129</f>
        <v>61</v>
      </c>
      <c r="D151" s="6" t="n">
        <f aca="false">Minors!EU130</f>
        <v>65</v>
      </c>
      <c r="E151" s="6" t="n">
        <f aca="false">Minors!EU131</f>
        <v>0</v>
      </c>
    </row>
    <row r="152" customFormat="false" ht="15" hidden="false" customHeight="true" outlineLevel="0" collapsed="false">
      <c r="A152" s="6" t="n">
        <v>151</v>
      </c>
      <c r="B152" s="6" t="s">
        <v>375</v>
      </c>
      <c r="C152" s="6" t="n">
        <f aca="false">Minors!EV129</f>
        <v>53</v>
      </c>
      <c r="D152" s="6" t="n">
        <f aca="false">Minors!EV130</f>
        <v>73</v>
      </c>
      <c r="E152" s="6" t="n">
        <f aca="false">Minors!EV131</f>
        <v>0</v>
      </c>
    </row>
    <row r="153" customFormat="false" ht="15" hidden="false" customHeight="true" outlineLevel="0" collapsed="false">
      <c r="A153" s="6" t="n">
        <v>152</v>
      </c>
      <c r="B153" s="6" t="s">
        <v>376</v>
      </c>
      <c r="C153" s="6" t="n">
        <f aca="false">Minors!EW129</f>
        <v>66</v>
      </c>
      <c r="D153" s="6" t="n">
        <f aca="false">Minors!EW130</f>
        <v>60</v>
      </c>
      <c r="E153" s="6" t="n">
        <f aca="false">Minors!EW131</f>
        <v>0</v>
      </c>
    </row>
    <row r="154" customFormat="false" ht="15" hidden="false" customHeight="true" outlineLevel="0" collapsed="false">
      <c r="A154" s="6" t="n">
        <v>153</v>
      </c>
      <c r="B154" s="6" t="s">
        <v>377</v>
      </c>
      <c r="C154" s="6" t="n">
        <f aca="false">Minors!EX129</f>
        <v>73</v>
      </c>
      <c r="D154" s="6" t="n">
        <f aca="false">Minors!EX130</f>
        <v>53</v>
      </c>
      <c r="E154" s="6" t="n">
        <f aca="false">Minors!EX131</f>
        <v>0</v>
      </c>
    </row>
    <row r="155" customFormat="false" ht="15" hidden="false" customHeight="true" outlineLevel="0" collapsed="false">
      <c r="A155" s="6" t="n">
        <v>154</v>
      </c>
      <c r="B155" s="6" t="s">
        <v>378</v>
      </c>
      <c r="C155" s="6" t="n">
        <f aca="false">Minors!EY129</f>
        <v>66</v>
      </c>
      <c r="D155" s="6" t="n">
        <f aca="false">Minors!EY130</f>
        <v>60</v>
      </c>
      <c r="E155" s="6" t="n">
        <f aca="false">Minors!EY131</f>
        <v>0</v>
      </c>
    </row>
    <row r="156" customFormat="false" ht="15" hidden="false" customHeight="true" outlineLevel="0" collapsed="false">
      <c r="A156" s="6" t="n">
        <v>155</v>
      </c>
      <c r="B156" s="6" t="s">
        <v>379</v>
      </c>
      <c r="C156" s="6" t="n">
        <f aca="false">Minors!EZ129</f>
        <v>55</v>
      </c>
      <c r="D156" s="6" t="n">
        <f aca="false">Minors!EZ130</f>
        <v>71</v>
      </c>
      <c r="E156" s="6" t="n">
        <f aca="false">Minors!EZ131</f>
        <v>0</v>
      </c>
    </row>
    <row r="157" customFormat="false" ht="15" hidden="false" customHeight="true" outlineLevel="0" collapsed="false">
      <c r="A157" s="6" t="n">
        <v>156</v>
      </c>
      <c r="B157" s="6" t="s">
        <v>380</v>
      </c>
      <c r="C157" s="6" t="n">
        <f aca="false">Minors!FA129</f>
        <v>46</v>
      </c>
      <c r="D157" s="6" t="n">
        <f aca="false">Minors!FA130</f>
        <v>79</v>
      </c>
      <c r="E157" s="6" t="n">
        <f aca="false">Minors!FA131</f>
        <v>1</v>
      </c>
    </row>
    <row r="158" customFormat="false" ht="15" hidden="false" customHeight="true" outlineLevel="0" collapsed="false">
      <c r="A158" s="6" t="n">
        <v>157</v>
      </c>
      <c r="B158" s="6" t="s">
        <v>381</v>
      </c>
      <c r="C158" s="6" t="n">
        <f aca="false">Minors!FB129</f>
        <v>69</v>
      </c>
      <c r="D158" s="6" t="n">
        <f aca="false">Minors!FB130</f>
        <v>57</v>
      </c>
      <c r="E158" s="6" t="n">
        <f aca="false">Minors!FB131</f>
        <v>0</v>
      </c>
    </row>
    <row r="159" customFormat="false" ht="15" hidden="false" customHeight="true" outlineLevel="0" collapsed="false">
      <c r="A159" s="6" t="n">
        <v>158</v>
      </c>
      <c r="B159" s="6" t="s">
        <v>382</v>
      </c>
      <c r="C159" s="6" t="n">
        <f aca="false">Minors!FC129</f>
        <v>78</v>
      </c>
      <c r="D159" s="6" t="n">
        <f aca="false">Minors!FC130</f>
        <v>48</v>
      </c>
      <c r="E159" s="6" t="n">
        <f aca="false">Minors!FC131</f>
        <v>0</v>
      </c>
    </row>
    <row r="160" customFormat="false" ht="15" hidden="false" customHeight="true" outlineLevel="0" collapsed="false">
      <c r="A160" s="6" t="n">
        <v>159</v>
      </c>
      <c r="B160" s="6" t="s">
        <v>383</v>
      </c>
      <c r="C160" s="6" t="n">
        <f aca="false">Minors!FD129</f>
        <v>51</v>
      </c>
      <c r="D160" s="6" t="n">
        <f aca="false">Minors!FD130</f>
        <v>75</v>
      </c>
      <c r="E160" s="6" t="n">
        <f aca="false">Minors!FD131</f>
        <v>0</v>
      </c>
    </row>
    <row r="161" customFormat="false" ht="15" hidden="false" customHeight="true" outlineLevel="0" collapsed="false">
      <c r="A161" s="6" t="n">
        <v>160</v>
      </c>
      <c r="B161" s="6" t="s">
        <v>384</v>
      </c>
      <c r="C161" s="6" t="n">
        <f aca="false">Minors!FE129</f>
        <v>62</v>
      </c>
      <c r="D161" s="6" t="n">
        <f aca="false">Minors!FE130</f>
        <v>64</v>
      </c>
      <c r="E161" s="6" t="n">
        <f aca="false">Minors!FE131</f>
        <v>0</v>
      </c>
    </row>
    <row r="162" customFormat="false" ht="15" hidden="false" customHeight="true" outlineLevel="0" collapsed="false">
      <c r="A162" s="6" t="n">
        <v>161</v>
      </c>
      <c r="B162" s="6" t="s">
        <v>385</v>
      </c>
      <c r="C162" s="6" t="n">
        <f aca="false">Minors!FF129</f>
        <v>56</v>
      </c>
      <c r="D162" s="6" t="n">
        <f aca="false">Minors!FF130</f>
        <v>70</v>
      </c>
      <c r="E162" s="6" t="n">
        <f aca="false">Minors!FF131</f>
        <v>0</v>
      </c>
    </row>
    <row r="163" customFormat="false" ht="15" hidden="false" customHeight="true" outlineLevel="0" collapsed="false">
      <c r="A163" s="6" t="n">
        <v>162</v>
      </c>
      <c r="B163" s="6" t="s">
        <v>386</v>
      </c>
      <c r="C163" s="6" t="n">
        <f aca="false">Minors!FG129</f>
        <v>84</v>
      </c>
      <c r="D163" s="6" t="n">
        <f aca="false">Minors!FG130</f>
        <v>42</v>
      </c>
      <c r="E163" s="6" t="n">
        <f aca="false">Minors!FG131</f>
        <v>0</v>
      </c>
    </row>
    <row r="164" customFormat="false" ht="15" hidden="false" customHeight="true" outlineLevel="0" collapsed="false">
      <c r="A164" s="6" t="n">
        <v>163</v>
      </c>
      <c r="B164" s="6" t="s">
        <v>387</v>
      </c>
      <c r="C164" s="6" t="n">
        <f aca="false">Minors!FH129</f>
        <v>46</v>
      </c>
      <c r="D164" s="6" t="n">
        <f aca="false">Minors!FH130</f>
        <v>80</v>
      </c>
      <c r="E164" s="6" t="n">
        <f aca="false">Minors!FH131</f>
        <v>0</v>
      </c>
    </row>
    <row r="165" customFormat="false" ht="15" hidden="false" customHeight="true" outlineLevel="0" collapsed="false">
      <c r="A165" s="6" t="n">
        <v>164</v>
      </c>
      <c r="B165" s="6" t="s">
        <v>388</v>
      </c>
      <c r="C165" s="6" t="n">
        <f aca="false">Minors!FI129</f>
        <v>57</v>
      </c>
      <c r="D165" s="6" t="n">
        <f aca="false">Minors!FI130</f>
        <v>69</v>
      </c>
      <c r="E165" s="6" t="n">
        <f aca="false">Minors!FI131</f>
        <v>0</v>
      </c>
    </row>
    <row r="166" customFormat="false" ht="15" hidden="false" customHeight="true" outlineLevel="0" collapsed="false">
      <c r="A166" s="6" t="n">
        <v>165</v>
      </c>
      <c r="B166" s="6" t="s">
        <v>389</v>
      </c>
      <c r="C166" s="6" t="n">
        <f aca="false">Minors!FJ129</f>
        <v>82</v>
      </c>
      <c r="D166" s="6" t="n">
        <f aca="false">Minors!FJ130</f>
        <v>44</v>
      </c>
      <c r="E166" s="6" t="n">
        <f aca="false">Minors!FJ131</f>
        <v>0</v>
      </c>
    </row>
    <row r="167" customFormat="false" ht="15" hidden="false" customHeight="true" outlineLevel="0" collapsed="false">
      <c r="A167" s="6" t="n">
        <v>166</v>
      </c>
      <c r="B167" s="6" t="s">
        <v>390</v>
      </c>
      <c r="C167" s="6" t="n">
        <f aca="false">Minors!FK129</f>
        <v>39</v>
      </c>
      <c r="D167" s="6" t="n">
        <f aca="false">Minors!FK130</f>
        <v>87</v>
      </c>
      <c r="E167" s="6" t="n">
        <f aca="false">Minors!FK131</f>
        <v>0</v>
      </c>
    </row>
    <row r="168" customFormat="false" ht="15" hidden="false" customHeight="true" outlineLevel="0" collapsed="false">
      <c r="A168" s="6" t="n">
        <v>167</v>
      </c>
      <c r="B168" s="6" t="s">
        <v>391</v>
      </c>
      <c r="C168" s="6" t="n">
        <f aca="false">Minors!FL129</f>
        <v>66</v>
      </c>
      <c r="D168" s="6" t="n">
        <f aca="false">Minors!FL130</f>
        <v>60</v>
      </c>
      <c r="E168" s="6" t="n">
        <f aca="false">Minors!FL131</f>
        <v>0</v>
      </c>
    </row>
    <row r="169" customFormat="false" ht="15" hidden="false" customHeight="true" outlineLevel="0" collapsed="false">
      <c r="A169" s="6" t="n">
        <v>168</v>
      </c>
      <c r="B169" s="6" t="s">
        <v>392</v>
      </c>
      <c r="C169" s="6" t="n">
        <f aca="false">Minors!FM129</f>
        <v>60</v>
      </c>
      <c r="D169" s="6" t="n">
        <f aca="false">Minors!FM130</f>
        <v>66</v>
      </c>
      <c r="E169" s="6" t="n">
        <f aca="false">Minors!FM131</f>
        <v>0</v>
      </c>
    </row>
    <row r="170" customFormat="false" ht="15" hidden="false" customHeight="true" outlineLevel="0" collapsed="false">
      <c r="A170" s="6" t="n">
        <v>169</v>
      </c>
      <c r="B170" s="6" t="s">
        <v>393</v>
      </c>
      <c r="C170" s="6" t="n">
        <f aca="false">Minors!FN129</f>
        <v>90</v>
      </c>
      <c r="D170" s="6" t="n">
        <f aca="false">Minors!FN130</f>
        <v>36</v>
      </c>
      <c r="E170" s="6" t="n">
        <f aca="false">Minors!FN131</f>
        <v>0</v>
      </c>
    </row>
    <row r="171" customFormat="false" ht="15" hidden="false" customHeight="true" outlineLevel="0" collapsed="false">
      <c r="A171" s="6" t="n">
        <v>170</v>
      </c>
      <c r="B171" s="6" t="s">
        <v>394</v>
      </c>
      <c r="C171" s="6" t="n">
        <f aca="false">Minors!FO129</f>
        <v>68</v>
      </c>
      <c r="D171" s="6" t="n">
        <f aca="false">Minors!FO130</f>
        <v>58</v>
      </c>
      <c r="E171" s="6" t="n">
        <f aca="false">Minors!FO131</f>
        <v>0</v>
      </c>
    </row>
    <row r="172" customFormat="false" ht="15" hidden="false" customHeight="true" outlineLevel="0" collapsed="false">
      <c r="A172" s="6" t="n">
        <v>171</v>
      </c>
      <c r="B172" s="6" t="s">
        <v>395</v>
      </c>
      <c r="C172" s="6" t="n">
        <f aca="false">Minors!FP129</f>
        <v>76</v>
      </c>
      <c r="D172" s="6" t="n">
        <f aca="false">Minors!FP130</f>
        <v>50</v>
      </c>
      <c r="E172" s="6" t="n">
        <f aca="false">Minors!FP131</f>
        <v>0</v>
      </c>
    </row>
    <row r="173" customFormat="false" ht="15" hidden="false" customHeight="true" outlineLevel="0" collapsed="false">
      <c r="A173" s="6" t="n">
        <v>172</v>
      </c>
      <c r="B173" s="6" t="s">
        <v>396</v>
      </c>
      <c r="C173" s="6" t="n">
        <f aca="false">Minors!FQ129</f>
        <v>65</v>
      </c>
      <c r="D173" s="6" t="n">
        <f aca="false">Minors!FQ130</f>
        <v>61</v>
      </c>
      <c r="E173" s="6" t="n">
        <f aca="false">Minors!FQ131</f>
        <v>0</v>
      </c>
    </row>
    <row r="174" customFormat="false" ht="15" hidden="false" customHeight="true" outlineLevel="0" collapsed="false">
      <c r="A174" s="6" t="n">
        <v>173</v>
      </c>
      <c r="B174" s="6" t="s">
        <v>397</v>
      </c>
      <c r="C174" s="6" t="n">
        <f aca="false">Minors!FR129</f>
        <v>73</v>
      </c>
      <c r="D174" s="6" t="n">
        <f aca="false">Minors!FR130</f>
        <v>53</v>
      </c>
      <c r="E174" s="6" t="n">
        <f aca="false">Minors!FR131</f>
        <v>0</v>
      </c>
    </row>
    <row r="175" customFormat="false" ht="15" hidden="false" customHeight="true" outlineLevel="0" collapsed="false">
      <c r="A175" s="6" t="n">
        <v>174</v>
      </c>
      <c r="B175" s="6" t="s">
        <v>398</v>
      </c>
      <c r="C175" s="6" t="n">
        <f aca="false">Minors!FS129</f>
        <v>68</v>
      </c>
      <c r="D175" s="6" t="n">
        <f aca="false">Minors!FS130</f>
        <v>58</v>
      </c>
      <c r="E175" s="6" t="n">
        <f aca="false">Minors!FS131</f>
        <v>0</v>
      </c>
    </row>
    <row r="176" customFormat="false" ht="15" hidden="false" customHeight="true" outlineLevel="0" collapsed="false">
      <c r="A176" s="6" t="n">
        <v>175</v>
      </c>
      <c r="B176" s="6" t="s">
        <v>399</v>
      </c>
      <c r="C176" s="6" t="n">
        <f aca="false">Minors!FT129</f>
        <v>64</v>
      </c>
      <c r="D176" s="6" t="n">
        <f aca="false">Minors!FT130</f>
        <v>62</v>
      </c>
      <c r="E176" s="6" t="n">
        <f aca="false">Minors!FT131</f>
        <v>0</v>
      </c>
    </row>
    <row r="177" customFormat="false" ht="15" hidden="false" customHeight="true" outlineLevel="0" collapsed="false">
      <c r="A177" s="6" t="n">
        <v>176</v>
      </c>
      <c r="B177" s="6" t="s">
        <v>400</v>
      </c>
      <c r="C177" s="6" t="n">
        <f aca="false">Minors!FU129</f>
        <v>63</v>
      </c>
      <c r="D177" s="6" t="n">
        <f aca="false">Minors!FU130</f>
        <v>63</v>
      </c>
      <c r="E177" s="6" t="n">
        <f aca="false">Minors!FU131</f>
        <v>0</v>
      </c>
    </row>
    <row r="178" customFormat="false" ht="15" hidden="false" customHeight="true" outlineLevel="0" collapsed="false">
      <c r="A178" s="6" t="n">
        <v>177</v>
      </c>
      <c r="B178" s="6" t="s">
        <v>401</v>
      </c>
      <c r="C178" s="6" t="n">
        <f aca="false">Minors!FV129</f>
        <v>64</v>
      </c>
      <c r="D178" s="6" t="n">
        <f aca="false">Minors!FV130</f>
        <v>62</v>
      </c>
      <c r="E178" s="6" t="n">
        <f aca="false">Minors!FV131</f>
        <v>0</v>
      </c>
    </row>
    <row r="179" customFormat="false" ht="15" hidden="false" customHeight="true" outlineLevel="0" collapsed="false">
      <c r="A179" s="6" t="n">
        <v>178</v>
      </c>
      <c r="B179" s="6" t="s">
        <v>402</v>
      </c>
      <c r="C179" s="6" t="n">
        <f aca="false">Minors!FW129</f>
        <v>67</v>
      </c>
      <c r="D179" s="6" t="n">
        <f aca="false">Minors!FW130</f>
        <v>59</v>
      </c>
      <c r="E179" s="6" t="n">
        <f aca="false">Minors!FW131</f>
        <v>0</v>
      </c>
    </row>
    <row r="180" customFormat="false" ht="15" hidden="false" customHeight="true" outlineLevel="0" collapsed="false">
      <c r="A180" s="6" t="n">
        <v>179</v>
      </c>
      <c r="B180" s="6" t="s">
        <v>403</v>
      </c>
      <c r="C180" s="6" t="n">
        <f aca="false">Minors!FX129</f>
        <v>62</v>
      </c>
      <c r="D180" s="6" t="n">
        <f aca="false">Minors!FX130</f>
        <v>64</v>
      </c>
      <c r="E180" s="6" t="n">
        <f aca="false">Minors!FX131</f>
        <v>0</v>
      </c>
    </row>
    <row r="181" customFormat="false" ht="15" hidden="false" customHeight="true" outlineLevel="0" collapsed="false">
      <c r="A181" s="6" t="n">
        <v>180</v>
      </c>
      <c r="B181" s="6" t="s">
        <v>404</v>
      </c>
      <c r="C181" s="6" t="n">
        <f aca="false">Minors!FY129</f>
        <v>75</v>
      </c>
      <c r="D181" s="6" t="n">
        <f aca="false">Minors!FY130</f>
        <v>51</v>
      </c>
      <c r="E181" s="6" t="n">
        <f aca="false">Minors!FY131</f>
        <v>0</v>
      </c>
    </row>
    <row r="182" customFormat="false" ht="15" hidden="false" customHeight="true" outlineLevel="0" collapsed="false">
      <c r="A182" s="6" t="n">
        <v>181</v>
      </c>
      <c r="B182" s="6" t="s">
        <v>405</v>
      </c>
      <c r="C182" s="6" t="n">
        <f aca="false">Minors!FZ129</f>
        <v>79</v>
      </c>
      <c r="D182" s="6" t="n">
        <f aca="false">Minors!FZ130</f>
        <v>47</v>
      </c>
      <c r="E182" s="6" t="n">
        <f aca="false">Minors!FZ131</f>
        <v>0</v>
      </c>
    </row>
    <row r="183" customFormat="false" ht="15" hidden="false" customHeight="true" outlineLevel="0" collapsed="false">
      <c r="A183" s="6" t="n">
        <v>182</v>
      </c>
      <c r="B183" s="6" t="s">
        <v>406</v>
      </c>
      <c r="C183" s="6" t="n">
        <f aca="false">Minors!GA129</f>
        <v>67</v>
      </c>
      <c r="D183" s="6" t="n">
        <f aca="false">Minors!GA130</f>
        <v>59</v>
      </c>
      <c r="E183" s="6" t="n">
        <f aca="false">Minors!GA131</f>
        <v>0</v>
      </c>
    </row>
    <row r="184" customFormat="false" ht="15" hidden="false" customHeight="true" outlineLevel="0" collapsed="false">
      <c r="A184" s="6" t="n">
        <v>183</v>
      </c>
      <c r="B184" s="6" t="s">
        <v>407</v>
      </c>
      <c r="C184" s="6" t="n">
        <f aca="false">Minors!GB129</f>
        <v>60</v>
      </c>
      <c r="D184" s="6" t="n">
        <f aca="false">Minors!GB130</f>
        <v>66</v>
      </c>
      <c r="E184" s="6" t="n">
        <f aca="false">Minors!GB131</f>
        <v>0</v>
      </c>
    </row>
    <row r="185" customFormat="false" ht="15" hidden="false" customHeight="true" outlineLevel="0" collapsed="false">
      <c r="A185" s="6" t="n">
        <v>184</v>
      </c>
      <c r="B185" s="6" t="s">
        <v>408</v>
      </c>
      <c r="C185" s="6" t="n">
        <f aca="false">Minors!GC129</f>
        <v>60</v>
      </c>
      <c r="D185" s="6" t="n">
        <f aca="false">Minors!GC130</f>
        <v>66</v>
      </c>
      <c r="E185" s="6" t="n">
        <f aca="false">Minors!GC131</f>
        <v>0</v>
      </c>
    </row>
    <row r="186" customFormat="false" ht="15" hidden="false" customHeight="true" outlineLevel="0" collapsed="false">
      <c r="A186" s="6" t="n">
        <v>185</v>
      </c>
      <c r="B186" s="6" t="s">
        <v>409</v>
      </c>
      <c r="C186" s="6" t="n">
        <f aca="false">Minors!GD129</f>
        <v>60</v>
      </c>
      <c r="D186" s="6" t="n">
        <f aca="false">Minors!GD130</f>
        <v>66</v>
      </c>
      <c r="E186" s="6" t="n">
        <f aca="false">Minors!GD131</f>
        <v>0</v>
      </c>
    </row>
    <row r="187" customFormat="false" ht="15" hidden="false" customHeight="true" outlineLevel="0" collapsed="false">
      <c r="A187" s="6" t="n">
        <v>186</v>
      </c>
      <c r="B187" s="6" t="s">
        <v>410</v>
      </c>
      <c r="C187" s="6" t="n">
        <f aca="false">Minors!GE129</f>
        <v>55</v>
      </c>
      <c r="D187" s="6" t="n">
        <f aca="false">Minors!GE130</f>
        <v>71</v>
      </c>
      <c r="E187" s="6" t="n">
        <f aca="false">Minors!GE131</f>
        <v>0</v>
      </c>
    </row>
    <row r="188" customFormat="false" ht="15" hidden="false" customHeight="true" outlineLevel="0" collapsed="false">
      <c r="A188" s="6" t="n">
        <v>187</v>
      </c>
      <c r="B188" s="6" t="s">
        <v>411</v>
      </c>
      <c r="C188" s="6" t="n">
        <f aca="false">Minors!GF129</f>
        <v>81</v>
      </c>
      <c r="D188" s="6" t="n">
        <f aca="false">Minors!GF130</f>
        <v>45</v>
      </c>
      <c r="E188" s="6" t="n">
        <f aca="false">Minors!GF131</f>
        <v>0</v>
      </c>
    </row>
    <row r="189" customFormat="false" ht="15" hidden="false" customHeight="true" outlineLevel="0" collapsed="false">
      <c r="A189" s="6" t="n">
        <v>188</v>
      </c>
      <c r="B189" s="6" t="s">
        <v>412</v>
      </c>
      <c r="C189" s="6" t="n">
        <f aca="false">Minors!GG129</f>
        <v>54</v>
      </c>
      <c r="D189" s="6" t="n">
        <f aca="false">Minors!GG130</f>
        <v>72</v>
      </c>
      <c r="E189" s="6" t="n">
        <f aca="false">Minors!GG131</f>
        <v>0</v>
      </c>
    </row>
    <row r="190" customFormat="false" ht="15" hidden="false" customHeight="true" outlineLevel="0" collapsed="false">
      <c r="A190" s="6" t="n">
        <v>189</v>
      </c>
      <c r="B190" s="6" t="s">
        <v>413</v>
      </c>
      <c r="C190" s="6" t="n">
        <f aca="false">Minors!GH129</f>
        <v>57</v>
      </c>
      <c r="D190" s="6" t="n">
        <f aca="false">Minors!GH130</f>
        <v>69</v>
      </c>
      <c r="E190" s="6" t="n">
        <f aca="false">Minors!GH131</f>
        <v>0</v>
      </c>
    </row>
    <row r="191" customFormat="false" ht="15" hidden="false" customHeight="true" outlineLevel="0" collapsed="false">
      <c r="A191" s="6" t="n">
        <v>190</v>
      </c>
      <c r="B191" s="6" t="s">
        <v>414</v>
      </c>
      <c r="C191" s="6" t="n">
        <f aca="false">Minors!GI129</f>
        <v>88</v>
      </c>
      <c r="D191" s="6" t="n">
        <f aca="false">Minors!GI130</f>
        <v>38</v>
      </c>
      <c r="E191" s="6" t="n">
        <f aca="false">Minors!GI131</f>
        <v>0</v>
      </c>
    </row>
    <row r="192" customFormat="false" ht="15" hidden="false" customHeight="true" outlineLevel="0" collapsed="false">
      <c r="A192" s="6" t="n">
        <v>191</v>
      </c>
      <c r="B192" s="6" t="s">
        <v>415</v>
      </c>
      <c r="C192" s="6" t="n">
        <f aca="false">Minors!GJ129</f>
        <v>55</v>
      </c>
      <c r="D192" s="6" t="n">
        <f aca="false">Minors!GJ130</f>
        <v>71</v>
      </c>
      <c r="E192" s="6" t="n">
        <f aca="false">Minors!GJ131</f>
        <v>0</v>
      </c>
    </row>
    <row r="193" customFormat="false" ht="15" hidden="false" customHeight="true" outlineLevel="0" collapsed="false">
      <c r="A193" s="6" t="n">
        <v>192</v>
      </c>
      <c r="B193" s="6" t="s">
        <v>416</v>
      </c>
      <c r="C193" s="6" t="n">
        <f aca="false">Minors!GK129</f>
        <v>64</v>
      </c>
      <c r="D193" s="6" t="n">
        <f aca="false">Minors!GK130</f>
        <v>62</v>
      </c>
      <c r="E193" s="6" t="n">
        <f aca="false">Minors!GK131</f>
        <v>0</v>
      </c>
    </row>
    <row r="194" customFormat="false" ht="15" hidden="false" customHeight="true" outlineLevel="0" collapsed="false">
      <c r="A194" s="6" t="n">
        <v>193</v>
      </c>
      <c r="B194" s="6" t="s">
        <v>417</v>
      </c>
      <c r="C194" s="6" t="n">
        <f aca="false">Minors!GL129</f>
        <v>60</v>
      </c>
      <c r="D194" s="6" t="n">
        <f aca="false">Minors!GL130</f>
        <v>66</v>
      </c>
      <c r="E194" s="6" t="n">
        <f aca="false">Minors!GL131</f>
        <v>0</v>
      </c>
    </row>
    <row r="195" customFormat="false" ht="15" hidden="false" customHeight="true" outlineLevel="0" collapsed="false">
      <c r="A195" s="6" t="n">
        <v>194</v>
      </c>
      <c r="B195" s="6" t="s">
        <v>418</v>
      </c>
      <c r="C195" s="6" t="n">
        <f aca="false">Minors!GM129</f>
        <v>56</v>
      </c>
      <c r="D195" s="6" t="n">
        <f aca="false">Minors!GM130</f>
        <v>70</v>
      </c>
      <c r="E195" s="6" t="n">
        <f aca="false">Minors!GM131</f>
        <v>0</v>
      </c>
    </row>
    <row r="196" customFormat="false" ht="15" hidden="false" customHeight="true" outlineLevel="0" collapsed="false">
      <c r="A196" s="6" t="n">
        <v>195</v>
      </c>
      <c r="B196" s="6" t="s">
        <v>419</v>
      </c>
      <c r="C196" s="6" t="n">
        <f aca="false">Minors!GN129</f>
        <v>62</v>
      </c>
      <c r="D196" s="6" t="n">
        <f aca="false">Minors!GN130</f>
        <v>64</v>
      </c>
      <c r="E196" s="6" t="n">
        <f aca="false">Minors!GN131</f>
        <v>0</v>
      </c>
    </row>
    <row r="197" customFormat="false" ht="15" hidden="false" customHeight="true" outlineLevel="0" collapsed="false">
      <c r="A197" s="6" t="n">
        <v>196</v>
      </c>
      <c r="B197" s="6" t="s">
        <v>420</v>
      </c>
      <c r="C197" s="6" t="n">
        <f aca="false">Minors!GO129</f>
        <v>66</v>
      </c>
      <c r="D197" s="6" t="n">
        <f aca="false">Minors!GO130</f>
        <v>60</v>
      </c>
      <c r="E197" s="6" t="n">
        <f aca="false">Minors!GO131</f>
        <v>0</v>
      </c>
    </row>
    <row r="198" customFormat="false" ht="15" hidden="false" customHeight="true" outlineLevel="0" collapsed="false">
      <c r="A198" s="6" t="n">
        <v>197</v>
      </c>
      <c r="B198" s="6" t="s">
        <v>421</v>
      </c>
      <c r="C198" s="6" t="n">
        <f aca="false">Minors!GP129</f>
        <v>60</v>
      </c>
      <c r="D198" s="6" t="n">
        <f aca="false">Minors!GP130</f>
        <v>66</v>
      </c>
      <c r="E198" s="6" t="n">
        <f aca="false">Minors!GP131</f>
        <v>0</v>
      </c>
    </row>
    <row r="199" customFormat="false" ht="15" hidden="false" customHeight="true" outlineLevel="0" collapsed="false">
      <c r="A199" s="6" t="n">
        <v>198</v>
      </c>
      <c r="B199" s="6" t="s">
        <v>422</v>
      </c>
      <c r="C199" s="6" t="n">
        <f aca="false">Minors!GQ129</f>
        <v>67</v>
      </c>
      <c r="D199" s="6" t="n">
        <f aca="false">Minors!GQ130</f>
        <v>59</v>
      </c>
      <c r="E199" s="6" t="n">
        <f aca="false">Minors!GQ131</f>
        <v>0</v>
      </c>
    </row>
    <row r="200" customFormat="false" ht="15" hidden="false" customHeight="true" outlineLevel="0" collapsed="false">
      <c r="A200" s="6" t="n">
        <v>199</v>
      </c>
      <c r="B200" s="6" t="s">
        <v>423</v>
      </c>
      <c r="C200" s="6" t="n">
        <f aca="false">Minors!GR129</f>
        <v>74</v>
      </c>
      <c r="D200" s="6" t="n">
        <f aca="false">Minors!GR130</f>
        <v>52</v>
      </c>
      <c r="E200" s="6" t="n">
        <f aca="false">Minors!GR131</f>
        <v>0</v>
      </c>
    </row>
    <row r="201" customFormat="false" ht="15" hidden="false" customHeight="true" outlineLevel="0" collapsed="false">
      <c r="A201" s="6" t="n">
        <v>200</v>
      </c>
      <c r="B201" s="6" t="s">
        <v>424</v>
      </c>
      <c r="C201" s="6" t="n">
        <f aca="false">Minors!GS129</f>
        <v>51</v>
      </c>
      <c r="D201" s="6" t="n">
        <f aca="false">Minors!GS130</f>
        <v>75</v>
      </c>
      <c r="E201" s="6" t="n">
        <f aca="false">Minors!GS131</f>
        <v>0</v>
      </c>
    </row>
    <row r="202" customFormat="false" ht="15" hidden="false" customHeight="true" outlineLevel="0" collapsed="false">
      <c r="A202" s="6" t="n">
        <v>201</v>
      </c>
      <c r="B202" s="6" t="s">
        <v>425</v>
      </c>
      <c r="C202" s="6" t="n">
        <f aca="false">Minors!GT129</f>
        <v>67</v>
      </c>
      <c r="D202" s="6" t="n">
        <f aca="false">Minors!GT130</f>
        <v>59</v>
      </c>
      <c r="E202" s="6" t="n">
        <f aca="false">Minors!GT131</f>
        <v>0</v>
      </c>
    </row>
    <row r="203" customFormat="false" ht="15" hidden="false" customHeight="true" outlineLevel="0" collapsed="false">
      <c r="A203" s="6" t="n">
        <v>202</v>
      </c>
      <c r="B203" s="6" t="s">
        <v>426</v>
      </c>
      <c r="C203" s="6" t="n">
        <f aca="false">Minors!GU129</f>
        <v>74</v>
      </c>
      <c r="D203" s="6" t="n">
        <f aca="false">Minors!GU130</f>
        <v>52</v>
      </c>
      <c r="E203" s="6" t="n">
        <f aca="false">Minors!GU131</f>
        <v>0</v>
      </c>
    </row>
    <row r="204" customFormat="false" ht="15" hidden="false" customHeight="true" outlineLevel="0" collapsed="false">
      <c r="A204" s="6" t="n">
        <v>203</v>
      </c>
      <c r="B204" s="6" t="s">
        <v>427</v>
      </c>
      <c r="C204" s="6" t="n">
        <f aca="false">Minors!GV129</f>
        <v>39</v>
      </c>
      <c r="D204" s="6" t="n">
        <f aca="false">Minors!GV130</f>
        <v>87</v>
      </c>
      <c r="E204" s="6" t="n">
        <f aca="false">Minors!GV131</f>
        <v>0</v>
      </c>
    </row>
    <row r="205" customFormat="false" ht="15" hidden="false" customHeight="true" outlineLevel="0" collapsed="false">
      <c r="A205" s="6" t="n">
        <v>204</v>
      </c>
      <c r="B205" s="6" t="s">
        <v>428</v>
      </c>
      <c r="C205" s="6" t="n">
        <f aca="false">Minors!GW129</f>
        <v>60</v>
      </c>
      <c r="D205" s="6" t="n">
        <f aca="false">Minors!GW130</f>
        <v>66</v>
      </c>
      <c r="E205" s="6" t="n">
        <f aca="false">Minors!GW131</f>
        <v>0</v>
      </c>
    </row>
    <row r="206" customFormat="false" ht="15" hidden="false" customHeight="true" outlineLevel="0" collapsed="false">
      <c r="A206" s="6" t="n">
        <v>205</v>
      </c>
      <c r="B206" s="6" t="s">
        <v>429</v>
      </c>
      <c r="C206" s="6" t="n">
        <f aca="false">Minors!GX129</f>
        <v>66</v>
      </c>
      <c r="D206" s="6" t="n">
        <f aca="false">Minors!GX130</f>
        <v>60</v>
      </c>
      <c r="E206" s="6" t="n">
        <f aca="false">Minors!GX131</f>
        <v>0</v>
      </c>
    </row>
    <row r="207" customFormat="false" ht="15" hidden="false" customHeight="true" outlineLevel="0" collapsed="false">
      <c r="A207" s="6" t="n">
        <v>206</v>
      </c>
      <c r="B207" s="6" t="s">
        <v>430</v>
      </c>
      <c r="C207" s="6" t="n">
        <f aca="false">Minors!GY129</f>
        <v>60</v>
      </c>
      <c r="D207" s="6" t="n">
        <f aca="false">Minors!GY130</f>
        <v>66</v>
      </c>
      <c r="E207" s="6" t="n">
        <f aca="false">Minors!GY131</f>
        <v>0</v>
      </c>
    </row>
    <row r="208" customFormat="false" ht="15" hidden="false" customHeight="true" outlineLevel="0" collapsed="false">
      <c r="A208" s="6" t="n">
        <v>207</v>
      </c>
      <c r="B208" s="6" t="s">
        <v>431</v>
      </c>
      <c r="C208" s="6" t="n">
        <f aca="false">Minors!GZ129</f>
        <v>70</v>
      </c>
      <c r="D208" s="6" t="n">
        <f aca="false">Minors!GZ130</f>
        <v>56</v>
      </c>
      <c r="E208" s="6" t="n">
        <f aca="false">Minors!GZ131</f>
        <v>0</v>
      </c>
    </row>
    <row r="209" customFormat="false" ht="15" hidden="false" customHeight="true" outlineLevel="0" collapsed="false">
      <c r="A209" s="6" t="n">
        <v>208</v>
      </c>
      <c r="B209" s="6" t="s">
        <v>432</v>
      </c>
      <c r="C209" s="6" t="n">
        <f aca="false">Minors!HA129</f>
        <v>67</v>
      </c>
      <c r="D209" s="6" t="n">
        <f aca="false">Minors!HA130</f>
        <v>59</v>
      </c>
      <c r="E209" s="6" t="n">
        <f aca="false">Minors!HA131</f>
        <v>0</v>
      </c>
    </row>
    <row r="210" customFormat="false" ht="15" hidden="false" customHeight="true" outlineLevel="0" collapsed="false">
      <c r="A210" s="6" t="n">
        <v>209</v>
      </c>
      <c r="B210" s="6" t="s">
        <v>433</v>
      </c>
      <c r="C210" s="6" t="n">
        <f aca="false">Minors!HB129</f>
        <v>75</v>
      </c>
      <c r="D210" s="6" t="n">
        <f aca="false">Minors!HB130</f>
        <v>51</v>
      </c>
      <c r="E210" s="6" t="n">
        <f aca="false">Minors!HB131</f>
        <v>0</v>
      </c>
    </row>
    <row r="211" customFormat="false" ht="15" hidden="false" customHeight="true" outlineLevel="0" collapsed="false">
      <c r="A211" s="6" t="n">
        <v>210</v>
      </c>
      <c r="B211" s="6" t="s">
        <v>434</v>
      </c>
      <c r="C211" s="6" t="n">
        <f aca="false">Minors!HC129</f>
        <v>77</v>
      </c>
      <c r="D211" s="6" t="n">
        <f aca="false">Minors!HC130</f>
        <v>49</v>
      </c>
      <c r="E211" s="6" t="n">
        <f aca="false">Minors!HC131</f>
        <v>0</v>
      </c>
    </row>
    <row r="212" customFormat="false" ht="15" hidden="false" customHeight="true" outlineLevel="0" collapsed="false">
      <c r="A212" s="6" t="n">
        <v>211</v>
      </c>
      <c r="B212" s="6" t="s">
        <v>435</v>
      </c>
      <c r="C212" s="6" t="n">
        <f aca="false">Minors!HD129</f>
        <v>54</v>
      </c>
      <c r="D212" s="6" t="n">
        <f aca="false">Minors!HD130</f>
        <v>72</v>
      </c>
      <c r="E212" s="6" t="n">
        <f aca="false">Minors!HD131</f>
        <v>0</v>
      </c>
    </row>
    <row r="213" customFormat="false" ht="15" hidden="false" customHeight="true" outlineLevel="0" collapsed="false">
      <c r="A213" s="6" t="n">
        <v>212</v>
      </c>
      <c r="B213" s="6" t="s">
        <v>436</v>
      </c>
      <c r="C213" s="6" t="n">
        <f aca="false">Minors!HE129</f>
        <v>71</v>
      </c>
      <c r="D213" s="6" t="n">
        <f aca="false">Minors!HE130</f>
        <v>55</v>
      </c>
      <c r="E213" s="6" t="n">
        <f aca="false">Minors!HE131</f>
        <v>0</v>
      </c>
    </row>
    <row r="214" customFormat="false" ht="15" hidden="false" customHeight="true" outlineLevel="0" collapsed="false">
      <c r="A214" s="6" t="n">
        <v>213</v>
      </c>
      <c r="B214" s="6" t="s">
        <v>437</v>
      </c>
      <c r="C214" s="6" t="n">
        <f aca="false">Minors!HF129</f>
        <v>64</v>
      </c>
      <c r="D214" s="6" t="n">
        <f aca="false">Minors!HF130</f>
        <v>62</v>
      </c>
      <c r="E214" s="6" t="n">
        <f aca="false">Minors!HF131</f>
        <v>0</v>
      </c>
    </row>
    <row r="215" customFormat="false" ht="15" hidden="false" customHeight="true" outlineLevel="0" collapsed="false">
      <c r="A215" s="6" t="n">
        <v>214</v>
      </c>
      <c r="B215" s="6" t="s">
        <v>438</v>
      </c>
      <c r="C215" s="6" t="n">
        <f aca="false">Minors!HG129</f>
        <v>73</v>
      </c>
      <c r="D215" s="6" t="n">
        <f aca="false">Minors!HG130</f>
        <v>53</v>
      </c>
      <c r="E215" s="6" t="n">
        <f aca="false">Minors!HG131</f>
        <v>0</v>
      </c>
    </row>
    <row r="216" customFormat="false" ht="15" hidden="false" customHeight="true" outlineLevel="0" collapsed="false">
      <c r="A216" s="6" t="n">
        <v>215</v>
      </c>
      <c r="B216" s="6" t="s">
        <v>439</v>
      </c>
      <c r="C216" s="6" t="n">
        <f aca="false">Minors!HH129</f>
        <v>85</v>
      </c>
      <c r="D216" s="6" t="n">
        <f aca="false">Minors!HH130</f>
        <v>41</v>
      </c>
      <c r="E216" s="6" t="n">
        <f aca="false">Minors!HH131</f>
        <v>0</v>
      </c>
    </row>
    <row r="217" customFormat="false" ht="15" hidden="false" customHeight="true" outlineLevel="0" collapsed="false">
      <c r="A217" s="6" t="n">
        <v>216</v>
      </c>
      <c r="B217" s="6" t="s">
        <v>440</v>
      </c>
      <c r="C217" s="6" t="n">
        <f aca="false">Minors!HI129</f>
        <v>71</v>
      </c>
      <c r="D217" s="6" t="n">
        <f aca="false">Minors!HI130</f>
        <v>55</v>
      </c>
      <c r="E217" s="6" t="n">
        <f aca="false">Minors!HI131</f>
        <v>0</v>
      </c>
    </row>
    <row r="218" customFormat="false" ht="15" hidden="false" customHeight="true" outlineLevel="0" collapsed="false">
      <c r="A218" s="6" t="n">
        <v>217</v>
      </c>
      <c r="B218" s="6" t="s">
        <v>441</v>
      </c>
      <c r="C218" s="6" t="n">
        <f aca="false">Minors!HJ129</f>
        <v>60</v>
      </c>
      <c r="D218" s="6" t="n">
        <f aca="false">Minors!HJ130</f>
        <v>66</v>
      </c>
      <c r="E218" s="6" t="n">
        <f aca="false">Minors!HJ131</f>
        <v>0</v>
      </c>
    </row>
    <row r="219" customFormat="false" ht="15" hidden="false" customHeight="true" outlineLevel="0" collapsed="false">
      <c r="A219" s="6" t="n">
        <v>218</v>
      </c>
      <c r="B219" s="6" t="s">
        <v>442</v>
      </c>
      <c r="C219" s="6" t="n">
        <f aca="false">Minors!HK129</f>
        <v>75</v>
      </c>
      <c r="D219" s="6" t="n">
        <f aca="false">Minors!HK130</f>
        <v>51</v>
      </c>
      <c r="E219" s="6" t="n">
        <f aca="false">Minors!HK131</f>
        <v>0</v>
      </c>
    </row>
    <row r="220" customFormat="false" ht="15" hidden="false" customHeight="true" outlineLevel="0" collapsed="false">
      <c r="A220" s="6" t="n">
        <v>219</v>
      </c>
      <c r="B220" s="6" t="s">
        <v>443</v>
      </c>
      <c r="C220" s="6" t="n">
        <f aca="false">Minors!HL129</f>
        <v>59</v>
      </c>
      <c r="D220" s="6" t="n">
        <f aca="false">Minors!HL130</f>
        <v>67</v>
      </c>
      <c r="E220" s="6" t="n">
        <f aca="false">Minors!HL131</f>
        <v>0</v>
      </c>
    </row>
    <row r="221" customFormat="false" ht="15" hidden="false" customHeight="true" outlineLevel="0" collapsed="false">
      <c r="A221" s="6" t="n">
        <v>220</v>
      </c>
      <c r="B221" s="6" t="s">
        <v>444</v>
      </c>
      <c r="C221" s="6" t="n">
        <f aca="false">Minors!HM129</f>
        <v>60</v>
      </c>
      <c r="D221" s="6" t="n">
        <f aca="false">Minors!HM130</f>
        <v>66</v>
      </c>
      <c r="E221" s="6" t="n">
        <f aca="false">Minors!HM131</f>
        <v>0</v>
      </c>
    </row>
    <row r="222" customFormat="false" ht="15" hidden="false" customHeight="true" outlineLevel="0" collapsed="false">
      <c r="A222" s="6" t="n">
        <v>221</v>
      </c>
      <c r="B222" s="6" t="s">
        <v>445</v>
      </c>
      <c r="C222" s="6" t="n">
        <f aca="false">Minors!HN129</f>
        <v>77</v>
      </c>
      <c r="D222" s="6" t="n">
        <f aca="false">Minors!HN130</f>
        <v>49</v>
      </c>
      <c r="E222" s="6" t="n">
        <f aca="false">Minors!HN131</f>
        <v>0</v>
      </c>
    </row>
    <row r="223" customFormat="false" ht="15" hidden="false" customHeight="true" outlineLevel="0" collapsed="false">
      <c r="A223" s="6" t="n">
        <v>222</v>
      </c>
      <c r="B223" s="6" t="s">
        <v>446</v>
      </c>
      <c r="C223" s="6" t="n">
        <f aca="false">Minors!HO129</f>
        <v>73</v>
      </c>
      <c r="D223" s="6" t="n">
        <f aca="false">Minors!HO130</f>
        <v>53</v>
      </c>
      <c r="E223" s="6" t="n">
        <f aca="false">Minors!HO131</f>
        <v>0</v>
      </c>
    </row>
    <row r="224" customFormat="false" ht="15" hidden="false" customHeight="true" outlineLevel="0" collapsed="false">
      <c r="A224" s="6" t="n">
        <v>223</v>
      </c>
      <c r="B224" s="6" t="s">
        <v>447</v>
      </c>
      <c r="C224" s="6" t="n">
        <f aca="false">Minors!HP129</f>
        <v>67</v>
      </c>
      <c r="D224" s="6" t="n">
        <f aca="false">Minors!HP130</f>
        <v>59</v>
      </c>
      <c r="E224" s="6" t="n">
        <f aca="false">Minors!HP131</f>
        <v>0</v>
      </c>
    </row>
    <row r="225" customFormat="false" ht="15" hidden="false" customHeight="true" outlineLevel="0" collapsed="false">
      <c r="A225" s="6" t="n">
        <v>224</v>
      </c>
      <c r="B225" s="6" t="s">
        <v>448</v>
      </c>
      <c r="C225" s="6" t="n">
        <f aca="false">Minors!HQ129</f>
        <v>52</v>
      </c>
      <c r="D225" s="6" t="n">
        <f aca="false">Minors!HQ130</f>
        <v>74</v>
      </c>
      <c r="E225" s="6" t="n">
        <f aca="false">Minors!HQ131</f>
        <v>0</v>
      </c>
    </row>
    <row r="226" customFormat="false" ht="15" hidden="false" customHeight="true" outlineLevel="0" collapsed="false">
      <c r="A226" s="6" t="n">
        <v>225</v>
      </c>
      <c r="B226" s="6" t="s">
        <v>449</v>
      </c>
      <c r="C226" s="6" t="n">
        <f aca="false">Minors!HR129</f>
        <v>84</v>
      </c>
      <c r="D226" s="6" t="n">
        <f aca="false">Minors!HR130</f>
        <v>42</v>
      </c>
      <c r="E226" s="6" t="n">
        <f aca="false">Minors!HR131</f>
        <v>0</v>
      </c>
    </row>
    <row r="227" customFormat="false" ht="15" hidden="false" customHeight="true" outlineLevel="0" collapsed="false">
      <c r="A227" s="6" t="n">
        <v>226</v>
      </c>
      <c r="B227" s="6" t="s">
        <v>450</v>
      </c>
      <c r="C227" s="6" t="n">
        <f aca="false">Minors!HS129</f>
        <v>67</v>
      </c>
      <c r="D227" s="6" t="n">
        <f aca="false">Minors!HS130</f>
        <v>59</v>
      </c>
      <c r="E227" s="6" t="n">
        <f aca="false">Minors!HS131</f>
        <v>0</v>
      </c>
    </row>
    <row r="228" customFormat="false" ht="15" hidden="false" customHeight="true" outlineLevel="0" collapsed="false">
      <c r="A228" s="6" t="n">
        <v>227</v>
      </c>
      <c r="B228" s="6" t="s">
        <v>451</v>
      </c>
      <c r="C228" s="6" t="n">
        <f aca="false">Minors!HT129</f>
        <v>54</v>
      </c>
      <c r="D228" s="6" t="n">
        <f aca="false">Minors!HT130</f>
        <v>72</v>
      </c>
      <c r="E228" s="6" t="n">
        <f aca="false">Minors!HT131</f>
        <v>0</v>
      </c>
    </row>
    <row r="229" customFormat="false" ht="15" hidden="false" customHeight="true" outlineLevel="0" collapsed="false">
      <c r="A229" s="6" t="n">
        <v>228</v>
      </c>
      <c r="B229" s="6" t="s">
        <v>452</v>
      </c>
      <c r="C229" s="6" t="n">
        <f aca="false">Minors!HU129</f>
        <v>60</v>
      </c>
      <c r="D229" s="6" t="n">
        <f aca="false">Minors!HU130</f>
        <v>66</v>
      </c>
      <c r="E229" s="6" t="n">
        <f aca="false">Minors!HU131</f>
        <v>0</v>
      </c>
    </row>
    <row r="230" customFormat="false" ht="15" hidden="false" customHeight="true" outlineLevel="0" collapsed="false">
      <c r="A230" s="6" t="n">
        <v>229</v>
      </c>
      <c r="B230" s="6" t="s">
        <v>453</v>
      </c>
      <c r="C230" s="6" t="n">
        <f aca="false">Minors!HV129</f>
        <v>51</v>
      </c>
      <c r="D230" s="6" t="n">
        <f aca="false">Minors!HV130</f>
        <v>75</v>
      </c>
      <c r="E230" s="6" t="n">
        <f aca="false">Minors!HV131</f>
        <v>0</v>
      </c>
    </row>
    <row r="231" customFormat="false" ht="15" hidden="false" customHeight="true" outlineLevel="0" collapsed="false">
      <c r="A231" s="6" t="n">
        <v>230</v>
      </c>
      <c r="B231" s="6" t="s">
        <v>454</v>
      </c>
      <c r="C231" s="6" t="n">
        <f aca="false">Minors!HW129</f>
        <v>49</v>
      </c>
      <c r="D231" s="6" t="n">
        <f aca="false">Minors!HW130</f>
        <v>77</v>
      </c>
      <c r="E231" s="6" t="n">
        <f aca="false">Minors!HW131</f>
        <v>0</v>
      </c>
    </row>
    <row r="232" customFormat="false" ht="15" hidden="false" customHeight="true" outlineLevel="0" collapsed="false">
      <c r="A232" s="6" t="n">
        <v>231</v>
      </c>
      <c r="B232" s="6" t="s">
        <v>455</v>
      </c>
      <c r="C232" s="6" t="n">
        <f aca="false">Minors!HX129</f>
        <v>59</v>
      </c>
      <c r="D232" s="6" t="n">
        <f aca="false">Minors!HX130</f>
        <v>67</v>
      </c>
      <c r="E232" s="6" t="n">
        <f aca="false">Minors!HX131</f>
        <v>0</v>
      </c>
    </row>
    <row r="233" customFormat="false" ht="15" hidden="false" customHeight="true" outlineLevel="0" collapsed="false">
      <c r="A233" s="6" t="n">
        <v>232</v>
      </c>
      <c r="B233" s="6" t="s">
        <v>456</v>
      </c>
      <c r="C233" s="6" t="n">
        <f aca="false">Minors!HY129</f>
        <v>61</v>
      </c>
      <c r="D233" s="6" t="n">
        <f aca="false">Minors!HY130</f>
        <v>65</v>
      </c>
      <c r="E233" s="6" t="n">
        <f aca="false">Minors!HY131</f>
        <v>0</v>
      </c>
    </row>
    <row r="234" customFormat="false" ht="15" hidden="false" customHeight="true" outlineLevel="0" collapsed="false">
      <c r="A234" s="6" t="n">
        <v>233</v>
      </c>
      <c r="B234" s="6" t="s">
        <v>457</v>
      </c>
      <c r="C234" s="6" t="n">
        <f aca="false">Minors!HZ129</f>
        <v>57</v>
      </c>
      <c r="D234" s="6" t="n">
        <f aca="false">Minors!HZ130</f>
        <v>69</v>
      </c>
      <c r="E234" s="6" t="n">
        <f aca="false">Minors!HZ131</f>
        <v>0</v>
      </c>
    </row>
    <row r="235" customFormat="false" ht="15" hidden="false" customHeight="true" outlineLevel="0" collapsed="false">
      <c r="A235" s="6" t="n">
        <v>234</v>
      </c>
      <c r="B235" s="6" t="s">
        <v>458</v>
      </c>
      <c r="C235" s="6" t="n">
        <f aca="false">Minors!IA129</f>
        <v>57</v>
      </c>
      <c r="D235" s="6" t="n">
        <f aca="false">Minors!IA130</f>
        <v>69</v>
      </c>
      <c r="E235" s="6" t="n">
        <f aca="false">Minors!IA131</f>
        <v>0</v>
      </c>
    </row>
    <row r="236" customFormat="false" ht="15" hidden="false" customHeight="true" outlineLevel="0" collapsed="false">
      <c r="A236" s="6" t="n">
        <v>235</v>
      </c>
      <c r="B236" s="6" t="s">
        <v>459</v>
      </c>
      <c r="C236" s="6" t="n">
        <f aca="false">Minors!IB129</f>
        <v>60</v>
      </c>
      <c r="D236" s="6" t="n">
        <f aca="false">Minors!IB130</f>
        <v>66</v>
      </c>
      <c r="E236" s="6" t="n">
        <f aca="false">Minors!IB131</f>
        <v>0</v>
      </c>
    </row>
    <row r="237" customFormat="false" ht="15" hidden="false" customHeight="true" outlineLevel="0" collapsed="false">
      <c r="A237" s="6" t="n">
        <v>236</v>
      </c>
      <c r="B237" s="6" t="s">
        <v>460</v>
      </c>
      <c r="C237" s="6" t="n">
        <f aca="false">Minors!IC129</f>
        <v>51</v>
      </c>
      <c r="D237" s="6" t="n">
        <f aca="false">Minors!IC130</f>
        <v>75</v>
      </c>
      <c r="E237" s="6" t="n">
        <f aca="false">Minors!IC131</f>
        <v>0</v>
      </c>
    </row>
    <row r="238" customFormat="false" ht="15" hidden="false" customHeight="true" outlineLevel="0" collapsed="false">
      <c r="A238" s="6" t="n">
        <v>237</v>
      </c>
      <c r="B238" s="6" t="s">
        <v>461</v>
      </c>
      <c r="C238" s="6" t="n">
        <f aca="false">Minors!ID129</f>
        <v>48</v>
      </c>
      <c r="D238" s="6" t="n">
        <f aca="false">Minors!ID130</f>
        <v>78</v>
      </c>
      <c r="E238" s="6" t="n">
        <f aca="false">Minors!ID131</f>
        <v>0</v>
      </c>
    </row>
    <row r="239" customFormat="false" ht="15" hidden="false" customHeight="true" outlineLevel="0" collapsed="false">
      <c r="A239" s="6" t="n">
        <v>238</v>
      </c>
      <c r="B239" s="6" t="s">
        <v>462</v>
      </c>
      <c r="C239" s="6" t="n">
        <f aca="false">Minors!IE129</f>
        <v>51</v>
      </c>
      <c r="D239" s="6" t="n">
        <f aca="false">Minors!IE130</f>
        <v>75</v>
      </c>
      <c r="E239" s="6" t="n">
        <f aca="false">Minors!IE131</f>
        <v>0</v>
      </c>
    </row>
    <row r="240" customFormat="false" ht="15" hidden="false" customHeight="true" outlineLevel="0" collapsed="false">
      <c r="A240" s="6" t="n">
        <v>239</v>
      </c>
      <c r="B240" s="6" t="s">
        <v>463</v>
      </c>
      <c r="C240" s="6" t="n">
        <f aca="false">Minors!IF129</f>
        <v>49</v>
      </c>
      <c r="D240" s="6" t="n">
        <f aca="false">Minors!IF130</f>
        <v>77</v>
      </c>
      <c r="E240" s="6" t="n">
        <f aca="false">Minors!IF131</f>
        <v>0</v>
      </c>
    </row>
    <row r="241" customFormat="false" ht="15" hidden="false" customHeight="true" outlineLevel="0" collapsed="false">
      <c r="A241" s="6" t="n">
        <v>240</v>
      </c>
      <c r="B241" s="6" t="s">
        <v>464</v>
      </c>
      <c r="C241" s="6" t="n">
        <f aca="false">Minors!IG129</f>
        <v>62</v>
      </c>
      <c r="D241" s="6" t="n">
        <f aca="false">Minors!IG130</f>
        <v>64</v>
      </c>
      <c r="E241" s="6" t="n">
        <f aca="false">Minors!IG131</f>
        <v>0</v>
      </c>
    </row>
    <row r="242" customFormat="false" ht="15" hidden="false" customHeight="true" outlineLevel="0" collapsed="false">
      <c r="A242" s="6" t="n">
        <v>241</v>
      </c>
      <c r="B242" s="6" t="s">
        <v>465</v>
      </c>
      <c r="C242" s="6" t="n">
        <f aca="false">Minors!IH129</f>
        <v>65</v>
      </c>
      <c r="D242" s="6" t="n">
        <f aca="false">Minors!IH130</f>
        <v>61</v>
      </c>
      <c r="E242" s="6" t="n">
        <f aca="false">Minors!IH131</f>
        <v>0</v>
      </c>
    </row>
    <row r="243" customFormat="false" ht="15" hidden="false" customHeight="true" outlineLevel="0" collapsed="false">
      <c r="A243" s="6" t="n">
        <v>242</v>
      </c>
      <c r="B243" s="6" t="s">
        <v>466</v>
      </c>
      <c r="C243" s="6" t="n">
        <f aca="false">Minors!II129</f>
        <v>58</v>
      </c>
      <c r="D243" s="6" t="n">
        <f aca="false">Minors!II130</f>
        <v>68</v>
      </c>
      <c r="E243" s="6" t="n">
        <f aca="false">Minors!II131</f>
        <v>0</v>
      </c>
    </row>
    <row r="244" customFormat="false" ht="15" hidden="false" customHeight="true" outlineLevel="0" collapsed="false">
      <c r="A244" s="6" t="n">
        <v>243</v>
      </c>
      <c r="B244" s="6" t="s">
        <v>467</v>
      </c>
      <c r="C244" s="6" t="n">
        <f aca="false">Minors!IJ129</f>
        <v>75</v>
      </c>
      <c r="D244" s="6" t="n">
        <f aca="false">Minors!IJ130</f>
        <v>51</v>
      </c>
      <c r="E244" s="6" t="n">
        <f aca="false">Minors!IJ131</f>
        <v>0</v>
      </c>
    </row>
    <row r="245" customFormat="false" ht="15" hidden="false" customHeight="true" outlineLevel="0" collapsed="false">
      <c r="A245" s="6" t="n">
        <v>244</v>
      </c>
      <c r="B245" s="6" t="s">
        <v>468</v>
      </c>
      <c r="C245" s="6" t="n">
        <f aca="false">Minors!IK129</f>
        <v>58</v>
      </c>
      <c r="D245" s="6" t="n">
        <f aca="false">Minors!IK130</f>
        <v>68</v>
      </c>
      <c r="E245" s="6" t="n">
        <f aca="false">Minors!IK131</f>
        <v>0</v>
      </c>
    </row>
    <row r="246" customFormat="false" ht="15" hidden="false" customHeight="true" outlineLevel="0" collapsed="false">
      <c r="A246" s="6" t="n">
        <v>245</v>
      </c>
      <c r="B246" s="6" t="s">
        <v>469</v>
      </c>
      <c r="C246" s="6" t="n">
        <f aca="false">Minors!IL129</f>
        <v>57</v>
      </c>
      <c r="D246" s="6" t="n">
        <f aca="false">Minors!IL130</f>
        <v>69</v>
      </c>
      <c r="E246" s="6" t="n">
        <f aca="false">Minors!IL131</f>
        <v>0</v>
      </c>
    </row>
    <row r="247" customFormat="false" ht="15" hidden="false" customHeight="true" outlineLevel="0" collapsed="false">
      <c r="A247" s="6" t="n">
        <v>246</v>
      </c>
      <c r="B247" s="6" t="s">
        <v>470</v>
      </c>
      <c r="C247" s="6" t="n">
        <f aca="false">Minors!IM129</f>
        <v>63</v>
      </c>
      <c r="D247" s="6" t="n">
        <f aca="false">Minors!IM130</f>
        <v>63</v>
      </c>
      <c r="E247" s="6" t="n">
        <f aca="false">Minors!IM131</f>
        <v>0</v>
      </c>
    </row>
    <row r="248" customFormat="false" ht="15" hidden="false" customHeight="true" outlineLevel="0" collapsed="false">
      <c r="A248" s="6" t="n">
        <v>247</v>
      </c>
      <c r="B248" s="6" t="s">
        <v>471</v>
      </c>
      <c r="C248" s="6" t="n">
        <f aca="false">Minors!IN129</f>
        <v>67</v>
      </c>
      <c r="D248" s="6" t="n">
        <f aca="false">Minors!IN130</f>
        <v>59</v>
      </c>
      <c r="E248" s="6" t="n">
        <f aca="false">Minors!IN131</f>
        <v>0</v>
      </c>
    </row>
    <row r="249" customFormat="false" ht="15" hidden="false" customHeight="true" outlineLevel="0" collapsed="false">
      <c r="A249" s="6" t="n">
        <v>248</v>
      </c>
      <c r="B249" s="6" t="s">
        <v>472</v>
      </c>
      <c r="C249" s="6" t="n">
        <f aca="false">Minors!IO129</f>
        <v>68</v>
      </c>
      <c r="D249" s="6" t="n">
        <f aca="false">Minors!IO130</f>
        <v>58</v>
      </c>
      <c r="E249" s="6" t="n">
        <f aca="false">Minors!IO131</f>
        <v>0</v>
      </c>
    </row>
    <row r="250" customFormat="false" ht="15" hidden="false" customHeight="true" outlineLevel="0" collapsed="false">
      <c r="A250" s="6" t="n">
        <v>249</v>
      </c>
      <c r="B250" s="6" t="s">
        <v>473</v>
      </c>
      <c r="C250" s="6" t="n">
        <f aca="false">Minors!IP129</f>
        <v>53</v>
      </c>
      <c r="D250" s="6" t="n">
        <f aca="false">Minors!IP130</f>
        <v>73</v>
      </c>
      <c r="E250" s="6" t="n">
        <f aca="false">Minors!IP131</f>
        <v>0</v>
      </c>
    </row>
    <row r="251" customFormat="false" ht="15" hidden="false" customHeight="true" outlineLevel="0" collapsed="false">
      <c r="A251" s="6" t="n">
        <v>250</v>
      </c>
      <c r="B251" s="6" t="s">
        <v>474</v>
      </c>
      <c r="C251" s="6" t="n">
        <f aca="false">Minors!IQ129</f>
        <v>82</v>
      </c>
      <c r="D251" s="6" t="n">
        <f aca="false">Minors!IQ130</f>
        <v>44</v>
      </c>
      <c r="E251" s="6" t="n">
        <f aca="false">Minors!IQ131</f>
        <v>0</v>
      </c>
    </row>
    <row r="252" customFormat="false" ht="15" hidden="false" customHeight="true" outlineLevel="0" collapsed="false">
      <c r="A252" s="6" t="n">
        <v>251</v>
      </c>
      <c r="B252" s="6" t="s">
        <v>475</v>
      </c>
      <c r="C252" s="6" t="n">
        <f aca="false">Minors!IR129</f>
        <v>68</v>
      </c>
      <c r="D252" s="6" t="n">
        <f aca="false">Minors!IR130</f>
        <v>58</v>
      </c>
      <c r="E252" s="6" t="n">
        <f aca="false">Minors!IR131</f>
        <v>0</v>
      </c>
    </row>
    <row r="253" customFormat="false" ht="15" hidden="false" customHeight="true" outlineLevel="0" collapsed="false">
      <c r="A253" s="6" t="n">
        <v>252</v>
      </c>
      <c r="B253" s="6" t="s">
        <v>476</v>
      </c>
      <c r="C253" s="6" t="n">
        <f aca="false">Minors!IS129</f>
        <v>50</v>
      </c>
      <c r="D253" s="6" t="n">
        <f aca="false">Minors!IS130</f>
        <v>76</v>
      </c>
      <c r="E253" s="6" t="n">
        <f aca="false">Minors!IS131</f>
        <v>0</v>
      </c>
    </row>
    <row r="254" customFormat="false" ht="15" hidden="false" customHeight="true" outlineLevel="0" collapsed="false">
      <c r="A254" s="6" t="n">
        <v>253</v>
      </c>
      <c r="B254" s="6" t="s">
        <v>477</v>
      </c>
      <c r="C254" s="6" t="n">
        <f aca="false">Minors!IT129</f>
        <v>67</v>
      </c>
      <c r="D254" s="6" t="n">
        <f aca="false">Minors!IT130</f>
        <v>59</v>
      </c>
      <c r="E254" s="6" t="n">
        <f aca="false">Minors!IT131</f>
        <v>0</v>
      </c>
    </row>
    <row r="255" customFormat="false" ht="15" hidden="false" customHeight="true" outlineLevel="0" collapsed="false">
      <c r="A255" s="6" t="n">
        <v>254</v>
      </c>
      <c r="B255" s="6" t="s">
        <v>478</v>
      </c>
      <c r="C255" s="6" t="n">
        <f aca="false">Minors!IU129</f>
        <v>63</v>
      </c>
      <c r="D255" s="6" t="n">
        <f aca="false">Minors!IU130</f>
        <v>63</v>
      </c>
      <c r="E255" s="6" t="n">
        <f aca="false">Minors!IU131</f>
        <v>0</v>
      </c>
    </row>
    <row r="256" customFormat="false" ht="15" hidden="false" customHeight="true" outlineLevel="0" collapsed="false">
      <c r="A256" s="6" t="n">
        <v>255</v>
      </c>
      <c r="B256" s="6" t="s">
        <v>479</v>
      </c>
      <c r="C256" s="6" t="n">
        <f aca="false">Minors!IV129</f>
        <v>68</v>
      </c>
      <c r="D256" s="6" t="n">
        <f aca="false">Minors!IV130</f>
        <v>58</v>
      </c>
      <c r="E256" s="6" t="n">
        <f aca="false">Minors!IV131</f>
        <v>0</v>
      </c>
    </row>
    <row r="257" customFormat="false" ht="15" hidden="false" customHeight="true" outlineLevel="0" collapsed="false">
      <c r="A257" s="6" t="n">
        <v>256</v>
      </c>
      <c r="B257" s="6" t="s">
        <v>480</v>
      </c>
      <c r="C257" s="6" t="n">
        <f aca="false">Minors!IW129</f>
        <v>69</v>
      </c>
      <c r="D257" s="6" t="n">
        <f aca="false">Minors!IW130</f>
        <v>57</v>
      </c>
      <c r="E257" s="6" t="n">
        <f aca="false">Minors!IW131</f>
        <v>0</v>
      </c>
    </row>
    <row r="258" customFormat="false" ht="15" hidden="false" customHeight="true" outlineLevel="0" collapsed="false">
      <c r="A258" s="6" t="n">
        <v>257</v>
      </c>
      <c r="B258" s="6" t="s">
        <v>481</v>
      </c>
      <c r="C258" s="6" t="n">
        <f aca="false">Minors!IX129</f>
        <v>68</v>
      </c>
      <c r="D258" s="6" t="n">
        <f aca="false">Minors!IX130</f>
        <v>58</v>
      </c>
      <c r="E258" s="6" t="n">
        <f aca="false">Minors!IX131</f>
        <v>0</v>
      </c>
    </row>
    <row r="259" customFormat="false" ht="15" hidden="false" customHeight="true" outlineLevel="0" collapsed="false">
      <c r="A259" s="6" t="n">
        <v>258</v>
      </c>
      <c r="B259" s="6" t="s">
        <v>482</v>
      </c>
      <c r="C259" s="6" t="n">
        <f aca="false">Minors!IY129</f>
        <v>54</v>
      </c>
      <c r="D259" s="6" t="n">
        <f aca="false">Minors!IY130</f>
        <v>72</v>
      </c>
      <c r="E259" s="6" t="n">
        <f aca="false">Minors!IY131</f>
        <v>0</v>
      </c>
    </row>
    <row r="260" customFormat="false" ht="15" hidden="false" customHeight="true" outlineLevel="0" collapsed="false">
      <c r="A260" s="6" t="n">
        <v>259</v>
      </c>
      <c r="B260" s="6" t="s">
        <v>483</v>
      </c>
      <c r="C260" s="6" t="n">
        <f aca="false">Minors!IZ129</f>
        <v>80</v>
      </c>
      <c r="D260" s="6" t="n">
        <f aca="false">Minors!IZ130</f>
        <v>46</v>
      </c>
      <c r="E260" s="6" t="n">
        <f aca="false">Minors!IZ131</f>
        <v>0</v>
      </c>
    </row>
    <row r="261" customFormat="false" ht="15" hidden="false" customHeight="true" outlineLevel="0" collapsed="false">
      <c r="A261" s="6" t="n">
        <v>260</v>
      </c>
      <c r="B261" s="6" t="s">
        <v>484</v>
      </c>
      <c r="C261" s="6" t="n">
        <f aca="false">Minors!JA129</f>
        <v>67</v>
      </c>
      <c r="D261" s="6" t="n">
        <f aca="false">Minors!JA130</f>
        <v>59</v>
      </c>
      <c r="E261" s="6" t="n">
        <f aca="false">Minors!JA131</f>
        <v>0</v>
      </c>
    </row>
    <row r="262" customFormat="false" ht="15" hidden="false" customHeight="true" outlineLevel="0" collapsed="false">
      <c r="A262" s="6" t="n">
        <v>261</v>
      </c>
      <c r="B262" s="6" t="s">
        <v>485</v>
      </c>
      <c r="C262" s="6" t="n">
        <f aca="false">Minors!JB129</f>
        <v>62</v>
      </c>
      <c r="D262" s="6" t="n">
        <f aca="false">Minors!JB130</f>
        <v>64</v>
      </c>
      <c r="E262" s="6" t="n">
        <f aca="false">Minors!JB131</f>
        <v>0</v>
      </c>
    </row>
    <row r="263" customFormat="false" ht="15" hidden="false" customHeight="true" outlineLevel="0" collapsed="false">
      <c r="A263" s="6" t="n">
        <v>262</v>
      </c>
      <c r="B263" s="6" t="s">
        <v>486</v>
      </c>
      <c r="C263" s="6" t="n">
        <f aca="false">Minors!JC129</f>
        <v>70</v>
      </c>
      <c r="D263" s="6" t="n">
        <f aca="false">Minors!JC130</f>
        <v>56</v>
      </c>
      <c r="E263" s="6" t="n">
        <f aca="false">Minors!JC131</f>
        <v>0</v>
      </c>
    </row>
    <row r="264" customFormat="false" ht="15" hidden="false" customHeight="true" outlineLevel="0" collapsed="false">
      <c r="A264" s="6" t="n">
        <v>263</v>
      </c>
      <c r="B264" s="6" t="s">
        <v>487</v>
      </c>
      <c r="C264" s="6" t="n">
        <f aca="false">Minors!JD129</f>
        <v>63</v>
      </c>
      <c r="D264" s="6" t="n">
        <f aca="false">Minors!JD130</f>
        <v>63</v>
      </c>
      <c r="E264" s="6" t="n">
        <f aca="false">Minors!JD131</f>
        <v>0</v>
      </c>
    </row>
    <row r="265" customFormat="false" ht="15" hidden="false" customHeight="true" outlineLevel="0" collapsed="false">
      <c r="A265" s="6" t="n">
        <v>264</v>
      </c>
      <c r="B265" s="6" t="s">
        <v>488</v>
      </c>
      <c r="C265" s="6" t="n">
        <f aca="false">Minors!JE129</f>
        <v>70</v>
      </c>
      <c r="D265" s="6" t="n">
        <f aca="false">Minors!JE130</f>
        <v>56</v>
      </c>
      <c r="E265" s="6" t="n">
        <f aca="false">Minors!JE131</f>
        <v>0</v>
      </c>
    </row>
    <row r="266" customFormat="false" ht="15" hidden="false" customHeight="true" outlineLevel="0" collapsed="false">
      <c r="A266" s="6" t="n">
        <v>265</v>
      </c>
      <c r="B266" s="6" t="s">
        <v>489</v>
      </c>
      <c r="C266" s="6" t="n">
        <f aca="false">Minors!JF129</f>
        <v>69</v>
      </c>
      <c r="D266" s="6" t="n">
        <f aca="false">Minors!JF130</f>
        <v>57</v>
      </c>
      <c r="E266" s="6" t="n">
        <f aca="false">Minors!JF131</f>
        <v>0</v>
      </c>
    </row>
    <row r="267" customFormat="false" ht="15" hidden="false" customHeight="true" outlineLevel="0" collapsed="false">
      <c r="A267" s="6" t="n">
        <v>266</v>
      </c>
      <c r="B267" s="6" t="s">
        <v>490</v>
      </c>
      <c r="C267" s="6" t="n">
        <f aca="false">Minors!JG129</f>
        <v>64</v>
      </c>
      <c r="D267" s="6" t="n">
        <f aca="false">Minors!JG130</f>
        <v>62</v>
      </c>
      <c r="E267" s="6" t="n">
        <f aca="false">Minors!JG131</f>
        <v>0</v>
      </c>
    </row>
    <row r="268" customFormat="false" ht="15" hidden="false" customHeight="true" outlineLevel="0" collapsed="false">
      <c r="A268" s="6" t="n">
        <v>267</v>
      </c>
      <c r="B268" s="6" t="s">
        <v>491</v>
      </c>
      <c r="C268" s="6" t="n">
        <f aca="false">Minors!JH129</f>
        <v>65</v>
      </c>
      <c r="D268" s="6" t="n">
        <f aca="false">Minors!JH130</f>
        <v>61</v>
      </c>
      <c r="E268" s="6" t="n">
        <f aca="false">Minors!JH131</f>
        <v>0</v>
      </c>
    </row>
    <row r="269" customFormat="false" ht="15" hidden="false" customHeight="true" outlineLevel="0" collapsed="false">
      <c r="A269" s="6" t="n">
        <v>268</v>
      </c>
      <c r="B269" s="6" t="s">
        <v>492</v>
      </c>
      <c r="C269" s="6" t="n">
        <f aca="false">Minors!JI129</f>
        <v>63</v>
      </c>
      <c r="D269" s="6" t="n">
        <f aca="false">Minors!JI130</f>
        <v>63</v>
      </c>
      <c r="E269" s="6" t="n">
        <f aca="false">Minors!JI131</f>
        <v>0</v>
      </c>
    </row>
    <row r="270" customFormat="false" ht="15" hidden="false" customHeight="true" outlineLevel="0" collapsed="false">
      <c r="A270" s="6" t="n">
        <v>269</v>
      </c>
      <c r="B270" s="6" t="s">
        <v>493</v>
      </c>
      <c r="C270" s="6" t="n">
        <f aca="false">Minors!JJ129</f>
        <v>68</v>
      </c>
      <c r="D270" s="6" t="n">
        <f aca="false">Minors!JJ130</f>
        <v>58</v>
      </c>
      <c r="E270" s="6" t="n">
        <f aca="false">Minors!JJ131</f>
        <v>0</v>
      </c>
    </row>
    <row r="271" customFormat="false" ht="15" hidden="false" customHeight="true" outlineLevel="0" collapsed="false">
      <c r="A271" s="6" t="n">
        <v>270</v>
      </c>
      <c r="B271" s="6" t="s">
        <v>494</v>
      </c>
      <c r="C271" s="6" t="n">
        <f aca="false">Minors!JK129</f>
        <v>67</v>
      </c>
      <c r="D271" s="6" t="n">
        <f aca="false">Minors!JK130</f>
        <v>59</v>
      </c>
      <c r="E271" s="6" t="n">
        <f aca="false">Minors!JK131</f>
        <v>0</v>
      </c>
    </row>
    <row r="272" customFormat="false" ht="15" hidden="false" customHeight="true" outlineLevel="0" collapsed="false">
      <c r="A272" s="6" t="n">
        <v>271</v>
      </c>
      <c r="B272" s="6" t="s">
        <v>495</v>
      </c>
      <c r="C272" s="6" t="n">
        <f aca="false">Minors!JL129</f>
        <v>77</v>
      </c>
      <c r="D272" s="6" t="n">
        <f aca="false">Minors!JL130</f>
        <v>49</v>
      </c>
      <c r="E272" s="6" t="n">
        <f aca="false">Minors!JL131</f>
        <v>0</v>
      </c>
    </row>
    <row r="273" customFormat="false" ht="15" hidden="false" customHeight="true" outlineLevel="0" collapsed="false">
      <c r="A273" s="6" t="n">
        <v>272</v>
      </c>
      <c r="B273" s="6" t="s">
        <v>496</v>
      </c>
      <c r="C273" s="6" t="n">
        <f aca="false">Minors!JM129</f>
        <v>74</v>
      </c>
      <c r="D273" s="6" t="n">
        <f aca="false">Minors!JM130</f>
        <v>52</v>
      </c>
      <c r="E273" s="6" t="n">
        <f aca="false">Minors!JM131</f>
        <v>0</v>
      </c>
    </row>
    <row r="274" customFormat="false" ht="15" hidden="false" customHeight="true" outlineLevel="0" collapsed="false">
      <c r="A274" s="6" t="n">
        <v>273</v>
      </c>
      <c r="B274" s="6" t="s">
        <v>497</v>
      </c>
      <c r="C274" s="6" t="n">
        <f aca="false">Minors!JN129</f>
        <v>67</v>
      </c>
      <c r="D274" s="6" t="n">
        <f aca="false">Minors!JN130</f>
        <v>59</v>
      </c>
      <c r="E274" s="6" t="n">
        <f aca="false">Minors!JN131</f>
        <v>0</v>
      </c>
    </row>
    <row r="275" customFormat="false" ht="15" hidden="false" customHeight="true" outlineLevel="0" collapsed="false">
      <c r="A275" s="6" t="n">
        <v>274</v>
      </c>
      <c r="B275" s="6" t="s">
        <v>498</v>
      </c>
      <c r="C275" s="6" t="n">
        <f aca="false">Minors!JO129</f>
        <v>60</v>
      </c>
      <c r="D275" s="6" t="n">
        <f aca="false">Minors!JO130</f>
        <v>66</v>
      </c>
      <c r="E275" s="6" t="n">
        <f aca="false">Minors!JO131</f>
        <v>0</v>
      </c>
    </row>
    <row r="276" customFormat="false" ht="15" hidden="false" customHeight="true" outlineLevel="0" collapsed="false">
      <c r="A276" s="6" t="n">
        <v>275</v>
      </c>
      <c r="B276" s="6" t="s">
        <v>499</v>
      </c>
      <c r="C276" s="6" t="n">
        <f aca="false">Minors!JP129</f>
        <v>60</v>
      </c>
      <c r="D276" s="6" t="n">
        <f aca="false">Minors!JP130</f>
        <v>66</v>
      </c>
      <c r="E276" s="6" t="n">
        <f aca="false">Minors!JP131</f>
        <v>0</v>
      </c>
    </row>
    <row r="277" customFormat="false" ht="15" hidden="false" customHeight="true" outlineLevel="0" collapsed="false">
      <c r="A277" s="6" t="n">
        <v>276</v>
      </c>
      <c r="B277" s="6" t="s">
        <v>500</v>
      </c>
      <c r="C277" s="6" t="n">
        <f aca="false">Minors!JQ129</f>
        <v>72</v>
      </c>
      <c r="D277" s="6" t="n">
        <f aca="false">Minors!JQ130</f>
        <v>54</v>
      </c>
      <c r="E277" s="6" t="n">
        <f aca="false">Minors!JQ131</f>
        <v>0</v>
      </c>
    </row>
    <row r="278" customFormat="false" ht="15" hidden="false" customHeight="true" outlineLevel="0" collapsed="false">
      <c r="A278" s="6" t="n">
        <v>277</v>
      </c>
      <c r="B278" s="6" t="s">
        <v>501</v>
      </c>
      <c r="C278" s="6" t="n">
        <f aca="false">Minors!JR129</f>
        <v>62</v>
      </c>
      <c r="D278" s="6" t="n">
        <f aca="false">Minors!JR130</f>
        <v>64</v>
      </c>
      <c r="E278" s="6" t="n">
        <f aca="false">Minors!JR131</f>
        <v>0</v>
      </c>
    </row>
    <row r="279" customFormat="false" ht="15" hidden="false" customHeight="true" outlineLevel="0" collapsed="false">
      <c r="A279" s="6" t="n">
        <v>278</v>
      </c>
      <c r="B279" s="6" t="s">
        <v>502</v>
      </c>
      <c r="C279" s="6" t="n">
        <f aca="false">Minors!JS129</f>
        <v>69</v>
      </c>
      <c r="D279" s="6" t="n">
        <f aca="false">Minors!JS130</f>
        <v>57</v>
      </c>
      <c r="E279" s="6" t="n">
        <f aca="false">Minors!JS131</f>
        <v>0</v>
      </c>
    </row>
    <row r="280" customFormat="false" ht="15" hidden="false" customHeight="true" outlineLevel="0" collapsed="false">
      <c r="A280" s="6" t="n">
        <v>279</v>
      </c>
      <c r="B280" s="6" t="s">
        <v>503</v>
      </c>
      <c r="C280" s="6" t="n">
        <f aca="false">Minors!JT129</f>
        <v>76</v>
      </c>
      <c r="D280" s="6" t="n">
        <f aca="false">Minors!JT130</f>
        <v>50</v>
      </c>
      <c r="E280" s="6" t="n">
        <f aca="false">Minors!JT131</f>
        <v>0</v>
      </c>
    </row>
    <row r="281" customFormat="false" ht="15" hidden="false" customHeight="true" outlineLevel="0" collapsed="false">
      <c r="A281" s="6" t="n">
        <v>280</v>
      </c>
      <c r="B281" s="6" t="s">
        <v>504</v>
      </c>
      <c r="C281" s="6" t="n">
        <f aca="false">Minors!JU129</f>
        <v>61</v>
      </c>
      <c r="D281" s="6" t="n">
        <f aca="false">Minors!JU130</f>
        <v>65</v>
      </c>
      <c r="E281" s="6" t="n">
        <f aca="false">Minors!JU131</f>
        <v>0</v>
      </c>
    </row>
    <row r="282" customFormat="false" ht="15" hidden="false" customHeight="true" outlineLevel="0" collapsed="false">
      <c r="A282" s="6" t="n">
        <v>281</v>
      </c>
      <c r="B282" s="6" t="s">
        <v>505</v>
      </c>
      <c r="C282" s="6" t="n">
        <f aca="false">Minors!JV129</f>
        <v>78</v>
      </c>
      <c r="D282" s="6" t="n">
        <f aca="false">Minors!JV130</f>
        <v>48</v>
      </c>
      <c r="E282" s="6" t="n">
        <f aca="false">Minors!JV131</f>
        <v>0</v>
      </c>
    </row>
    <row r="283" customFormat="false" ht="15" hidden="false" customHeight="true" outlineLevel="0" collapsed="false">
      <c r="A283" s="6" t="n">
        <v>282</v>
      </c>
      <c r="B283" s="6" t="s">
        <v>506</v>
      </c>
      <c r="C283" s="6" t="n">
        <f aca="false">Minors!JW129</f>
        <v>67</v>
      </c>
      <c r="D283" s="6" t="n">
        <f aca="false">Minors!JW130</f>
        <v>59</v>
      </c>
      <c r="E283" s="6" t="n">
        <f aca="false">Minors!JW131</f>
        <v>0</v>
      </c>
    </row>
    <row r="284" customFormat="false" ht="15" hidden="false" customHeight="true" outlineLevel="0" collapsed="false">
      <c r="A284" s="6" t="n">
        <v>283</v>
      </c>
      <c r="B284" s="6" t="s">
        <v>507</v>
      </c>
      <c r="C284" s="6" t="n">
        <f aca="false">Minors!JX129</f>
        <v>63</v>
      </c>
      <c r="D284" s="6" t="n">
        <f aca="false">Minors!JX130</f>
        <v>63</v>
      </c>
      <c r="E284" s="6" t="n">
        <f aca="false">Minors!JX131</f>
        <v>0</v>
      </c>
    </row>
    <row r="285" customFormat="false" ht="15" hidden="false" customHeight="true" outlineLevel="0" collapsed="false">
      <c r="A285" s="6" t="n">
        <v>284</v>
      </c>
      <c r="B285" s="6" t="s">
        <v>508</v>
      </c>
      <c r="C285" s="6" t="n">
        <f aca="false">Minors!JY129</f>
        <v>58</v>
      </c>
      <c r="D285" s="6" t="n">
        <f aca="false">Minors!JY130</f>
        <v>68</v>
      </c>
      <c r="E285" s="6" t="n">
        <f aca="false">Minors!JY131</f>
        <v>0</v>
      </c>
    </row>
    <row r="286" customFormat="false" ht="15" hidden="false" customHeight="true" outlineLevel="0" collapsed="false">
      <c r="A286" s="6" t="n">
        <v>285</v>
      </c>
      <c r="B286" s="6" t="s">
        <v>509</v>
      </c>
      <c r="C286" s="6" t="n">
        <f aca="false">Minors!JZ129</f>
        <v>48</v>
      </c>
      <c r="D286" s="6" t="n">
        <f aca="false">Minors!JZ130</f>
        <v>78</v>
      </c>
      <c r="E286" s="6" t="n">
        <f aca="false">Minors!JZ131</f>
        <v>0</v>
      </c>
    </row>
    <row r="287" customFormat="false" ht="15" hidden="false" customHeight="true" outlineLevel="0" collapsed="false">
      <c r="A287" s="6" t="n">
        <v>286</v>
      </c>
      <c r="B287" s="6" t="s">
        <v>510</v>
      </c>
      <c r="C287" s="6" t="n">
        <f aca="false">Minors!KA129</f>
        <v>53</v>
      </c>
      <c r="D287" s="6" t="n">
        <f aca="false">Minors!KA130</f>
        <v>73</v>
      </c>
      <c r="E287" s="6" t="n">
        <f aca="false">Minors!KA131</f>
        <v>0</v>
      </c>
    </row>
    <row r="288" customFormat="false" ht="15" hidden="false" customHeight="true" outlineLevel="0" collapsed="false">
      <c r="A288" s="6" t="n">
        <v>287</v>
      </c>
      <c r="B288" s="6" t="s">
        <v>511</v>
      </c>
      <c r="C288" s="6" t="n">
        <f aca="false">Minors!KB129</f>
        <v>74</v>
      </c>
      <c r="D288" s="6" t="n">
        <f aca="false">Minors!KB130</f>
        <v>52</v>
      </c>
      <c r="E288" s="6" t="n">
        <f aca="false">Minors!KB131</f>
        <v>0</v>
      </c>
    </row>
    <row r="289" customFormat="false" ht="15" hidden="false" customHeight="true" outlineLevel="0" collapsed="false">
      <c r="A289" s="6" t="n">
        <v>288</v>
      </c>
      <c r="B289" s="6" t="s">
        <v>512</v>
      </c>
      <c r="C289" s="6" t="n">
        <f aca="false">Minors!KC129</f>
        <v>48</v>
      </c>
      <c r="D289" s="6" t="n">
        <f aca="false">Minors!KC130</f>
        <v>78</v>
      </c>
      <c r="E289" s="6" t="n">
        <f aca="false">Minors!KC131</f>
        <v>0</v>
      </c>
    </row>
    <row r="290" customFormat="false" ht="15" hidden="false" customHeight="true" outlineLevel="0" collapsed="false">
      <c r="A290" s="6" t="n">
        <v>289</v>
      </c>
      <c r="B290" s="6" t="s">
        <v>513</v>
      </c>
      <c r="C290" s="6" t="n">
        <f aca="false">Minors!KD129</f>
        <v>68</v>
      </c>
      <c r="D290" s="6" t="n">
        <f aca="false">Minors!KD130</f>
        <v>58</v>
      </c>
      <c r="E290" s="6" t="n">
        <f aca="false">Minors!KD131</f>
        <v>0</v>
      </c>
    </row>
    <row r="291" customFormat="false" ht="15" hidden="false" customHeight="true" outlineLevel="0" collapsed="false">
      <c r="A291" s="6" t="n">
        <v>290</v>
      </c>
      <c r="B291" s="6" t="s">
        <v>514</v>
      </c>
      <c r="C291" s="6" t="n">
        <f aca="false">Minors!KE129</f>
        <v>72</v>
      </c>
      <c r="D291" s="6" t="n">
        <f aca="false">Minors!KE130</f>
        <v>54</v>
      </c>
      <c r="E291" s="6" t="n">
        <f aca="false">Minors!KE131</f>
        <v>0</v>
      </c>
    </row>
    <row r="292" customFormat="false" ht="15" hidden="false" customHeight="true" outlineLevel="0" collapsed="false">
      <c r="A292" s="6" t="n">
        <v>291</v>
      </c>
      <c r="B292" s="6" t="s">
        <v>515</v>
      </c>
      <c r="C292" s="6" t="n">
        <f aca="false">Minors!KF129</f>
        <v>50</v>
      </c>
      <c r="D292" s="6" t="n">
        <f aca="false">Minors!KF130</f>
        <v>76</v>
      </c>
      <c r="E292" s="6" t="n">
        <f aca="false">Minors!KF131</f>
        <v>0</v>
      </c>
    </row>
    <row r="293" customFormat="false" ht="15" hidden="false" customHeight="true" outlineLevel="0" collapsed="false">
      <c r="A293" s="6" t="n">
        <v>292</v>
      </c>
      <c r="B293" s="6" t="s">
        <v>516</v>
      </c>
      <c r="C293" s="6" t="n">
        <f aca="false">Minors!KG129</f>
        <v>66</v>
      </c>
      <c r="D293" s="6" t="n">
        <f aca="false">Minors!KG130</f>
        <v>60</v>
      </c>
      <c r="E293" s="6" t="n">
        <f aca="false">Minors!KG131</f>
        <v>0</v>
      </c>
    </row>
    <row r="294" customFormat="false" ht="15" hidden="false" customHeight="true" outlineLevel="0" collapsed="false">
      <c r="A294" s="6" t="n">
        <v>293</v>
      </c>
      <c r="B294" s="6" t="s">
        <v>517</v>
      </c>
      <c r="C294" s="6" t="n">
        <f aca="false">Minors!KH129</f>
        <v>71</v>
      </c>
      <c r="D294" s="6" t="n">
        <f aca="false">Minors!KH130</f>
        <v>55</v>
      </c>
      <c r="E294" s="6" t="n">
        <f aca="false">Minors!KH131</f>
        <v>0</v>
      </c>
    </row>
    <row r="295" customFormat="false" ht="15" hidden="false" customHeight="true" outlineLevel="0" collapsed="false">
      <c r="A295" s="6" t="n">
        <v>294</v>
      </c>
      <c r="B295" s="6" t="s">
        <v>518</v>
      </c>
      <c r="C295" s="6" t="n">
        <f aca="false">Minors!KI129</f>
        <v>38</v>
      </c>
      <c r="D295" s="6" t="n">
        <f aca="false">Minors!KI130</f>
        <v>88</v>
      </c>
      <c r="E295" s="6" t="n">
        <f aca="false">Minors!KI131</f>
        <v>0</v>
      </c>
    </row>
    <row r="296" customFormat="false" ht="15" hidden="false" customHeight="true" outlineLevel="0" collapsed="false">
      <c r="A296" s="6" t="n">
        <v>295</v>
      </c>
      <c r="B296" s="6" t="s">
        <v>519</v>
      </c>
      <c r="C296" s="6" t="n">
        <f aca="false">Minors!KJ129</f>
        <v>60</v>
      </c>
      <c r="D296" s="6" t="n">
        <f aca="false">Minors!KJ130</f>
        <v>66</v>
      </c>
      <c r="E296" s="6" t="n">
        <f aca="false">Minors!KJ131</f>
        <v>0</v>
      </c>
    </row>
    <row r="297" customFormat="false" ht="15" hidden="false" customHeight="true" outlineLevel="0" collapsed="false">
      <c r="A297" s="6" t="n">
        <v>296</v>
      </c>
      <c r="B297" s="6" t="s">
        <v>520</v>
      </c>
      <c r="C297" s="6" t="n">
        <f aca="false">Minors!KK129</f>
        <v>58</v>
      </c>
      <c r="D297" s="6" t="n">
        <f aca="false">Minors!KK130</f>
        <v>68</v>
      </c>
      <c r="E297" s="6" t="n">
        <f aca="false">Minors!KK131</f>
        <v>0</v>
      </c>
    </row>
    <row r="298" customFormat="false" ht="15" hidden="false" customHeight="true" outlineLevel="0" collapsed="false">
      <c r="A298" s="6" t="n">
        <v>297</v>
      </c>
      <c r="B298" s="6" t="s">
        <v>521</v>
      </c>
      <c r="C298" s="6" t="n">
        <f aca="false">Minors!KL129</f>
        <v>61</v>
      </c>
      <c r="D298" s="6" t="n">
        <f aca="false">Minors!KL130</f>
        <v>65</v>
      </c>
      <c r="E298" s="6" t="n">
        <f aca="false">Minors!KL131</f>
        <v>0</v>
      </c>
    </row>
    <row r="299" customFormat="false" ht="15" hidden="false" customHeight="true" outlineLevel="0" collapsed="false">
      <c r="A299" s="6" t="n">
        <v>298</v>
      </c>
      <c r="B299" s="6" t="s">
        <v>522</v>
      </c>
      <c r="C299" s="6" t="n">
        <f aca="false">Minors!KM129</f>
        <v>62</v>
      </c>
      <c r="D299" s="6" t="n">
        <f aca="false">Minors!KM130</f>
        <v>64</v>
      </c>
      <c r="E299" s="6" t="n">
        <f aca="false">Minors!KM131</f>
        <v>0</v>
      </c>
    </row>
    <row r="300" customFormat="false" ht="15" hidden="false" customHeight="true" outlineLevel="0" collapsed="false">
      <c r="A300" s="6" t="n">
        <v>299</v>
      </c>
      <c r="B300" s="6" t="s">
        <v>523</v>
      </c>
      <c r="C300" s="6" t="n">
        <f aca="false">Minors!KN129</f>
        <v>58</v>
      </c>
      <c r="D300" s="6" t="n">
        <f aca="false">Minors!KN130</f>
        <v>68</v>
      </c>
      <c r="E300" s="6" t="n">
        <f aca="false">Minors!KN131</f>
        <v>0</v>
      </c>
    </row>
    <row r="301" customFormat="false" ht="15" hidden="false" customHeight="true" outlineLevel="0" collapsed="false">
      <c r="A301" s="6" t="n">
        <v>300</v>
      </c>
      <c r="B301" s="6" t="s">
        <v>524</v>
      </c>
      <c r="C301" s="6" t="n">
        <f aca="false">Minors!KO129</f>
        <v>62</v>
      </c>
      <c r="D301" s="6" t="n">
        <f aca="false">Minors!KO130</f>
        <v>64</v>
      </c>
      <c r="E301" s="6" t="n">
        <f aca="false">Minors!KO131</f>
        <v>0</v>
      </c>
    </row>
    <row r="302" customFormat="false" ht="15" hidden="false" customHeight="true" outlineLevel="0" collapsed="false">
      <c r="A302" s="6" t="n">
        <v>301</v>
      </c>
      <c r="B302" s="6" t="s">
        <v>525</v>
      </c>
      <c r="C302" s="6" t="n">
        <f aca="false">Minors!KP129</f>
        <v>46</v>
      </c>
      <c r="D302" s="6" t="n">
        <f aca="false">Minors!KP130</f>
        <v>80</v>
      </c>
      <c r="E302" s="6" t="n">
        <f aca="false">Minors!KP131</f>
        <v>0</v>
      </c>
    </row>
    <row r="303" customFormat="false" ht="15" hidden="false" customHeight="true" outlineLevel="0" collapsed="false">
      <c r="A303" s="6" t="n">
        <v>302</v>
      </c>
      <c r="B303" s="6" t="s">
        <v>526</v>
      </c>
      <c r="C303" s="6" t="n">
        <f aca="false">Minors!KQ129</f>
        <v>52</v>
      </c>
      <c r="D303" s="6" t="n">
        <f aca="false">Minors!KQ130</f>
        <v>74</v>
      </c>
      <c r="E303" s="6" t="n">
        <f aca="false">Minors!KQ131</f>
        <v>0</v>
      </c>
    </row>
    <row r="304" customFormat="false" ht="15" hidden="false" customHeight="true" outlineLevel="0" collapsed="false">
      <c r="A304" s="6" t="n">
        <v>303</v>
      </c>
      <c r="B304" s="6" t="s">
        <v>527</v>
      </c>
      <c r="C304" s="6" t="n">
        <f aca="false">Minors!KR129</f>
        <v>59</v>
      </c>
      <c r="D304" s="6" t="n">
        <f aca="false">Minors!KR130</f>
        <v>67</v>
      </c>
      <c r="E304" s="6" t="n">
        <f aca="false">Minors!KR131</f>
        <v>0</v>
      </c>
    </row>
    <row r="305" customFormat="false" ht="15" hidden="false" customHeight="true" outlineLevel="0" collapsed="false">
      <c r="A305" s="6" t="n">
        <v>304</v>
      </c>
      <c r="B305" s="6" t="s">
        <v>528</v>
      </c>
      <c r="C305" s="6" t="n">
        <f aca="false">Minors!KS129</f>
        <v>66</v>
      </c>
      <c r="D305" s="6" t="n">
        <f aca="false">Minors!KS130</f>
        <v>60</v>
      </c>
      <c r="E305" s="6" t="n">
        <f aca="false">Minors!KS131</f>
        <v>0</v>
      </c>
    </row>
    <row r="306" customFormat="false" ht="15" hidden="false" customHeight="true" outlineLevel="0" collapsed="false">
      <c r="A306" s="6" t="n">
        <v>305</v>
      </c>
      <c r="B306" s="6" t="s">
        <v>529</v>
      </c>
      <c r="C306" s="6" t="n">
        <f aca="false">Minors!KT129</f>
        <v>67</v>
      </c>
      <c r="D306" s="6" t="n">
        <f aca="false">Minors!KT130</f>
        <v>59</v>
      </c>
      <c r="E306" s="6" t="n">
        <f aca="false">Minors!KT131</f>
        <v>0</v>
      </c>
    </row>
    <row r="307" customFormat="false" ht="15" hidden="false" customHeight="true" outlineLevel="0" collapsed="false">
      <c r="A307" s="6" t="n">
        <v>306</v>
      </c>
      <c r="B307" s="6" t="s">
        <v>530</v>
      </c>
      <c r="C307" s="6" t="n">
        <f aca="false">Minors!KU129</f>
        <v>63</v>
      </c>
      <c r="D307" s="6" t="n">
        <f aca="false">Minors!KU130</f>
        <v>63</v>
      </c>
      <c r="E307" s="6" t="n">
        <f aca="false">Minors!KU131</f>
        <v>0</v>
      </c>
    </row>
    <row r="308" customFormat="false" ht="15" hidden="false" customHeight="true" outlineLevel="0" collapsed="false">
      <c r="A308" s="6" t="n">
        <v>307</v>
      </c>
      <c r="B308" s="6" t="s">
        <v>531</v>
      </c>
      <c r="C308" s="6" t="n">
        <f aca="false">Minors!KV129</f>
        <v>65</v>
      </c>
      <c r="D308" s="6" t="n">
        <f aca="false">Minors!KV130</f>
        <v>61</v>
      </c>
      <c r="E308" s="6" t="n">
        <f aca="false">Minors!KV131</f>
        <v>0</v>
      </c>
    </row>
    <row r="309" customFormat="false" ht="15" hidden="false" customHeight="true" outlineLevel="0" collapsed="false">
      <c r="A309" s="6" t="n">
        <v>308</v>
      </c>
      <c r="B309" s="6" t="s">
        <v>532</v>
      </c>
      <c r="C309" s="6" t="n">
        <f aca="false">Minors!KW129</f>
        <v>68</v>
      </c>
      <c r="D309" s="6" t="n">
        <f aca="false">Minors!KW130</f>
        <v>58</v>
      </c>
      <c r="E309" s="6" t="n">
        <f aca="false">Minors!KW131</f>
        <v>0</v>
      </c>
    </row>
    <row r="310" customFormat="false" ht="15" hidden="false" customHeight="true" outlineLevel="0" collapsed="false">
      <c r="A310" s="6" t="n">
        <v>309</v>
      </c>
      <c r="B310" s="6" t="s">
        <v>533</v>
      </c>
      <c r="C310" s="6" t="n">
        <f aca="false">Minors!KX129</f>
        <v>72</v>
      </c>
      <c r="D310" s="6" t="n">
        <f aca="false">Minors!KX130</f>
        <v>54</v>
      </c>
      <c r="E310" s="6" t="n">
        <f aca="false">Minors!KX131</f>
        <v>0</v>
      </c>
    </row>
    <row r="311" customFormat="false" ht="15" hidden="false" customHeight="true" outlineLevel="0" collapsed="false">
      <c r="A311" s="6" t="n">
        <v>310</v>
      </c>
      <c r="B311" s="6" t="s">
        <v>534</v>
      </c>
      <c r="C311" s="6" t="n">
        <f aca="false">Minors!KY129</f>
        <v>70</v>
      </c>
      <c r="D311" s="6" t="n">
        <f aca="false">Minors!KY130</f>
        <v>56</v>
      </c>
      <c r="E311" s="6" t="n">
        <f aca="false">Minors!KY131</f>
        <v>0</v>
      </c>
    </row>
    <row r="312" customFormat="false" ht="15" hidden="false" customHeight="true" outlineLevel="0" collapsed="false">
      <c r="A312" s="6" t="n">
        <v>311</v>
      </c>
      <c r="B312" s="6" t="s">
        <v>535</v>
      </c>
      <c r="C312" s="6" t="n">
        <f aca="false">Minors!KZ129</f>
        <v>64</v>
      </c>
      <c r="D312" s="6" t="n">
        <f aca="false">Minors!KZ130</f>
        <v>62</v>
      </c>
      <c r="E312" s="6" t="n">
        <f aca="false">Minors!KZ131</f>
        <v>0</v>
      </c>
    </row>
    <row r="313" customFormat="false" ht="15" hidden="false" customHeight="true" outlineLevel="0" collapsed="false">
      <c r="A313" s="6" t="n">
        <v>312</v>
      </c>
      <c r="B313" s="6" t="s">
        <v>536</v>
      </c>
      <c r="C313" s="6" t="n">
        <f aca="false">Minors!LA129</f>
        <v>59</v>
      </c>
      <c r="D313" s="6" t="n">
        <f aca="false">Minors!LA130</f>
        <v>67</v>
      </c>
      <c r="E313" s="6" t="n">
        <f aca="false">Minors!LA131</f>
        <v>0</v>
      </c>
    </row>
    <row r="314" customFormat="false" ht="15" hidden="false" customHeight="true" outlineLevel="0" collapsed="false">
      <c r="A314" s="6" t="n">
        <v>313</v>
      </c>
      <c r="B314" s="6" t="s">
        <v>537</v>
      </c>
      <c r="C314" s="6" t="n">
        <f aca="false">Minors!LB129</f>
        <v>67</v>
      </c>
      <c r="D314" s="6" t="n">
        <f aca="false">Minors!LB130</f>
        <v>59</v>
      </c>
      <c r="E314" s="6" t="n">
        <f aca="false">Minors!LB131</f>
        <v>0</v>
      </c>
    </row>
    <row r="315" customFormat="false" ht="15" hidden="false" customHeight="true" outlineLevel="0" collapsed="false">
      <c r="A315" s="6" t="n">
        <v>314</v>
      </c>
      <c r="B315" s="6" t="s">
        <v>538</v>
      </c>
      <c r="C315" s="6" t="n">
        <f aca="false">Minors!LC129</f>
        <v>67</v>
      </c>
      <c r="D315" s="6" t="n">
        <f aca="false">Minors!LC130</f>
        <v>59</v>
      </c>
      <c r="E315" s="6" t="n">
        <f aca="false">Minors!LC131</f>
        <v>0</v>
      </c>
    </row>
    <row r="316" customFormat="false" ht="15" hidden="false" customHeight="true" outlineLevel="0" collapsed="false">
      <c r="A316" s="6" t="n">
        <v>315</v>
      </c>
      <c r="B316" s="6" t="s">
        <v>539</v>
      </c>
      <c r="C316" s="6" t="n">
        <f aca="false">Minors!LD129</f>
        <v>67</v>
      </c>
      <c r="D316" s="6" t="n">
        <f aca="false">Minors!LD130</f>
        <v>59</v>
      </c>
      <c r="E316" s="6" t="n">
        <f aca="false">Minors!LD131</f>
        <v>0</v>
      </c>
    </row>
    <row r="317" customFormat="false" ht="15" hidden="false" customHeight="true" outlineLevel="0" collapsed="false">
      <c r="A317" s="6" t="n">
        <v>316</v>
      </c>
      <c r="B317" s="6" t="s">
        <v>540</v>
      </c>
      <c r="C317" s="6" t="n">
        <f aca="false">Minors!LE129</f>
        <v>57</v>
      </c>
      <c r="D317" s="6" t="n">
        <f aca="false">Minors!LE130</f>
        <v>69</v>
      </c>
      <c r="E317" s="6" t="n">
        <f aca="false">Minors!LE131</f>
        <v>0</v>
      </c>
    </row>
    <row r="318" customFormat="false" ht="15" hidden="false" customHeight="true" outlineLevel="0" collapsed="false">
      <c r="A318" s="6" t="n">
        <v>317</v>
      </c>
      <c r="B318" s="6" t="s">
        <v>541</v>
      </c>
      <c r="C318" s="6" t="n">
        <f aca="false">Minors!LF129</f>
        <v>82</v>
      </c>
      <c r="D318" s="6" t="n">
        <f aca="false">Minors!LF130</f>
        <v>44</v>
      </c>
      <c r="E318" s="6" t="n">
        <f aca="false">Minors!LF131</f>
        <v>0</v>
      </c>
    </row>
    <row r="319" customFormat="false" ht="15" hidden="false" customHeight="true" outlineLevel="0" collapsed="false">
      <c r="A319" s="6" t="n">
        <v>318</v>
      </c>
      <c r="B319" s="6" t="s">
        <v>542</v>
      </c>
      <c r="C319" s="6" t="n">
        <f aca="false">Minors!LG129</f>
        <v>56</v>
      </c>
      <c r="D319" s="6" t="n">
        <f aca="false">Minors!LG130</f>
        <v>70</v>
      </c>
      <c r="E319" s="6" t="n">
        <f aca="false">Minors!LG131</f>
        <v>0</v>
      </c>
    </row>
    <row r="320" customFormat="false" ht="15" hidden="false" customHeight="true" outlineLevel="0" collapsed="false">
      <c r="A320" s="6" t="n">
        <v>319</v>
      </c>
      <c r="B320" s="6" t="s">
        <v>543</v>
      </c>
      <c r="C320" s="6" t="n">
        <f aca="false">Minors!LH129</f>
        <v>68</v>
      </c>
      <c r="D320" s="6" t="n">
        <f aca="false">Minors!LH130</f>
        <v>58</v>
      </c>
      <c r="E320" s="6" t="n">
        <f aca="false">Minors!LH131</f>
        <v>0</v>
      </c>
    </row>
    <row r="321" customFormat="false" ht="15" hidden="false" customHeight="true" outlineLevel="0" collapsed="false">
      <c r="A321" s="6" t="n">
        <v>320</v>
      </c>
      <c r="B321" s="6" t="s">
        <v>544</v>
      </c>
      <c r="C321" s="6" t="n">
        <f aca="false">Minors!LI129</f>
        <v>74</v>
      </c>
      <c r="D321" s="6" t="n">
        <f aca="false">Minors!LI130</f>
        <v>52</v>
      </c>
      <c r="E321" s="6" t="n">
        <f aca="false">Minors!LI131</f>
        <v>0</v>
      </c>
    </row>
    <row r="322" customFormat="false" ht="15" hidden="false" customHeight="true" outlineLevel="0" collapsed="false">
      <c r="A322" s="6" t="n">
        <v>321</v>
      </c>
      <c r="B322" s="6" t="s">
        <v>545</v>
      </c>
      <c r="C322" s="6" t="n">
        <f aca="false">Minors!LJ129</f>
        <v>51</v>
      </c>
      <c r="D322" s="6" t="n">
        <f aca="false">Minors!LJ130</f>
        <v>75</v>
      </c>
      <c r="E322" s="6" t="n">
        <f aca="false">Minors!LJ131</f>
        <v>0</v>
      </c>
    </row>
    <row r="323" customFormat="false" ht="15" hidden="false" customHeight="true" outlineLevel="0" collapsed="false">
      <c r="A323" s="6" t="n">
        <v>322</v>
      </c>
      <c r="B323" s="6" t="s">
        <v>546</v>
      </c>
      <c r="C323" s="6" t="n">
        <f aca="false">Minors!LK129</f>
        <v>61</v>
      </c>
      <c r="D323" s="6" t="n">
        <f aca="false">Minors!LK130</f>
        <v>65</v>
      </c>
      <c r="E323" s="6" t="n">
        <f aca="false">Minors!LK131</f>
        <v>0</v>
      </c>
    </row>
    <row r="324" customFormat="false" ht="15" hidden="false" customHeight="true" outlineLevel="0" collapsed="false">
      <c r="A324" s="6" t="n">
        <v>323</v>
      </c>
      <c r="B324" s="6" t="s">
        <v>547</v>
      </c>
      <c r="C324" s="6" t="n">
        <f aca="false">Minors!LL129</f>
        <v>71</v>
      </c>
      <c r="D324" s="6" t="n">
        <f aca="false">Minors!LL130</f>
        <v>55</v>
      </c>
      <c r="E324" s="6" t="n">
        <f aca="false">Minors!LL131</f>
        <v>0</v>
      </c>
    </row>
    <row r="325" customFormat="false" ht="15" hidden="false" customHeight="true" outlineLevel="0" collapsed="false">
      <c r="A325" s="6" t="n">
        <v>324</v>
      </c>
      <c r="B325" s="6" t="s">
        <v>548</v>
      </c>
      <c r="C325" s="6" t="n">
        <f aca="false">Minors!LM129</f>
        <v>46</v>
      </c>
      <c r="D325" s="6" t="n">
        <f aca="false">Minors!LM130</f>
        <v>80</v>
      </c>
      <c r="E325" s="6" t="n">
        <f aca="false">Minors!LM131</f>
        <v>0</v>
      </c>
    </row>
    <row r="326" customFormat="false" ht="15" hidden="false" customHeight="true" outlineLevel="0" collapsed="false">
      <c r="A326" s="6" t="n">
        <v>325</v>
      </c>
      <c r="B326" s="6" t="s">
        <v>549</v>
      </c>
      <c r="C326" s="6" t="n">
        <f aca="false">Minors!LN129</f>
        <v>60</v>
      </c>
      <c r="D326" s="6" t="n">
        <f aca="false">Minors!LN130</f>
        <v>66</v>
      </c>
      <c r="E326" s="6" t="n">
        <f aca="false">Minors!LN131</f>
        <v>0</v>
      </c>
    </row>
    <row r="327" customFormat="false" ht="15" hidden="false" customHeight="true" outlineLevel="0" collapsed="false">
      <c r="A327" s="6" t="n">
        <v>326</v>
      </c>
      <c r="B327" s="6" t="s">
        <v>550</v>
      </c>
      <c r="C327" s="6" t="n">
        <f aca="false">Minors!LO129</f>
        <v>58</v>
      </c>
      <c r="D327" s="6" t="n">
        <f aca="false">Minors!LO130</f>
        <v>68</v>
      </c>
      <c r="E327" s="6" t="n">
        <f aca="false">Minors!LO131</f>
        <v>0</v>
      </c>
    </row>
    <row r="328" customFormat="false" ht="15" hidden="false" customHeight="true" outlineLevel="0" collapsed="false">
      <c r="A328" s="6" t="n">
        <v>327</v>
      </c>
      <c r="B328" s="6" t="s">
        <v>551</v>
      </c>
      <c r="C328" s="6" t="n">
        <f aca="false">Minors!LP129</f>
        <v>52</v>
      </c>
      <c r="D328" s="6" t="n">
        <f aca="false">Minors!LP130</f>
        <v>74</v>
      </c>
      <c r="E328" s="6" t="n">
        <f aca="false">Minors!LP131</f>
        <v>0</v>
      </c>
    </row>
    <row r="329" customFormat="false" ht="15" hidden="false" customHeight="true" outlineLevel="0" collapsed="false">
      <c r="A329" s="6" t="n">
        <v>328</v>
      </c>
      <c r="B329" s="6" t="s">
        <v>552</v>
      </c>
      <c r="C329" s="6" t="n">
        <f aca="false">Minors!LQ129</f>
        <v>75</v>
      </c>
      <c r="D329" s="6" t="n">
        <f aca="false">Minors!LQ130</f>
        <v>51</v>
      </c>
      <c r="E329" s="6" t="n">
        <f aca="false">Minors!LQ131</f>
        <v>0</v>
      </c>
    </row>
    <row r="330" customFormat="false" ht="15" hidden="false" customHeight="true" outlineLevel="0" collapsed="false">
      <c r="A330" s="6" t="n">
        <v>329</v>
      </c>
      <c r="B330" s="6" t="s">
        <v>553</v>
      </c>
      <c r="C330" s="6" t="n">
        <f aca="false">Minors!LR129</f>
        <v>70</v>
      </c>
      <c r="D330" s="6" t="n">
        <f aca="false">Minors!LR130</f>
        <v>56</v>
      </c>
      <c r="E330" s="6" t="n">
        <f aca="false">Minors!LR131</f>
        <v>0</v>
      </c>
    </row>
    <row r="331" customFormat="false" ht="15" hidden="false" customHeight="true" outlineLevel="0" collapsed="false">
      <c r="A331" s="6" t="n">
        <v>330</v>
      </c>
      <c r="B331" s="6" t="s">
        <v>554</v>
      </c>
      <c r="C331" s="6" t="n">
        <f aca="false">Minors!LS129</f>
        <v>61</v>
      </c>
      <c r="D331" s="6" t="n">
        <f aca="false">Minors!LS130</f>
        <v>65</v>
      </c>
      <c r="E331" s="6" t="n">
        <f aca="false">Minors!LS131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26"/>
    <col collapsed="false" customWidth="true" hidden="false" outlineLevel="0" max="9" min="9" style="1" width="14"/>
  </cols>
  <sheetData>
    <row r="1" customFormat="false" ht="34.5" hidden="false" customHeight="true" outlineLevel="0" collapsed="false">
      <c r="A1" s="5" t="s">
        <v>562</v>
      </c>
      <c r="B1" s="5" t="s">
        <v>563</v>
      </c>
      <c r="C1" s="5" t="s">
        <v>564</v>
      </c>
      <c r="D1" s="5" t="s">
        <v>565</v>
      </c>
      <c r="E1" s="5" t="s">
        <v>566</v>
      </c>
      <c r="F1" s="5" t="s">
        <v>567</v>
      </c>
      <c r="G1" s="5" t="s">
        <v>568</v>
      </c>
      <c r="H1" s="5" t="s">
        <v>569</v>
      </c>
      <c r="I1" s="5" t="s">
        <v>570</v>
      </c>
    </row>
    <row r="2" customFormat="false" ht="15" hidden="false" customHeight="true" outlineLevel="0" collapsed="false">
      <c r="A2" s="13" t="s">
        <v>198</v>
      </c>
      <c r="B2" s="13" t="s">
        <v>571</v>
      </c>
      <c r="C2" s="13" t="n">
        <v>99</v>
      </c>
      <c r="D2" s="13" t="n">
        <f aca="false">Total!B12</f>
        <v>11225</v>
      </c>
      <c r="E2" s="13" t="n">
        <f aca="false">D2/9</f>
        <v>1247.22222222222</v>
      </c>
      <c r="F2" s="13" t="n">
        <f aca="false">STDEV(Total!B3:B11)</f>
        <v>229.273187364865</v>
      </c>
      <c r="G2" s="14" t="n">
        <f aca="false">F2/E2</f>
        <v>0.183827054457353</v>
      </c>
      <c r="H2" s="8" t="n">
        <v>7432</v>
      </c>
      <c r="I2" s="8" t="n">
        <v>7688</v>
      </c>
    </row>
    <row r="3" customFormat="false" ht="15" hidden="false" customHeight="true" outlineLevel="0" collapsed="false">
      <c r="A3" s="13" t="s">
        <v>199</v>
      </c>
      <c r="B3" s="13" t="s">
        <v>572</v>
      </c>
      <c r="C3" s="13" t="n">
        <v>27</v>
      </c>
      <c r="D3" s="13" t="n">
        <f aca="false">Total!C12</f>
        <v>1542</v>
      </c>
      <c r="E3" s="13" t="n">
        <f aca="false">D3/9</f>
        <v>171.333333333333</v>
      </c>
      <c r="F3" s="13" t="n">
        <f aca="false">STDEV(Total!C3:C11)</f>
        <v>5.8309518948453</v>
      </c>
      <c r="G3" s="14" t="n">
        <f aca="false">F3/E3</f>
        <v>0.0340327931605757</v>
      </c>
      <c r="H3" s="8" t="n">
        <v>7482</v>
      </c>
      <c r="I3" s="8" t="n">
        <v>7637</v>
      </c>
    </row>
    <row r="4" customFormat="false" ht="15" hidden="false" customHeight="true" outlineLevel="0" collapsed="false">
      <c r="A4" s="13" t="s">
        <v>200</v>
      </c>
      <c r="B4" s="13" t="s">
        <v>573</v>
      </c>
      <c r="C4" s="13" t="n">
        <v>9</v>
      </c>
      <c r="D4" s="13" t="n">
        <f aca="false">Total!D12</f>
        <v>718</v>
      </c>
      <c r="E4" s="13" t="n">
        <f aca="false">D4/9</f>
        <v>79.7777777777778</v>
      </c>
      <c r="F4" s="13" t="n">
        <f aca="false">STDEV(Total!D3:D11)</f>
        <v>35.5695718900923</v>
      </c>
      <c r="G4" s="14" t="n">
        <f aca="false">F4/E4</f>
        <v>0.445858143469124</v>
      </c>
      <c r="H4" s="8" t="n">
        <v>7424</v>
      </c>
      <c r="I4" s="8" t="n">
        <v>7696</v>
      </c>
    </row>
    <row r="5" customFormat="false" ht="15" hidden="false" customHeight="true" outlineLevel="0" collapsed="false">
      <c r="A5" s="13" t="s">
        <v>201</v>
      </c>
      <c r="B5" s="13" t="s">
        <v>574</v>
      </c>
      <c r="C5" s="13" t="n">
        <v>9</v>
      </c>
      <c r="D5" s="13" t="n">
        <f aca="false">Total!E12</f>
        <v>577</v>
      </c>
      <c r="E5" s="13" t="n">
        <f aca="false">D5/9</f>
        <v>64.1111111111111</v>
      </c>
      <c r="F5" s="13" t="n">
        <f aca="false">STDEV(Total!E3:E11)</f>
        <v>0.927960727138337</v>
      </c>
      <c r="G5" s="14" t="n">
        <f aca="false">F5/E5</f>
        <v>0.0144742574423657</v>
      </c>
      <c r="H5" s="8" t="n">
        <v>7545</v>
      </c>
      <c r="I5" s="8" t="n">
        <v>7574</v>
      </c>
    </row>
    <row r="6" customFormat="false" ht="15" hidden="false" customHeight="true" outlineLevel="0" collapsed="false">
      <c r="A6" s="13" t="s">
        <v>202</v>
      </c>
      <c r="B6" s="13" t="s">
        <v>575</v>
      </c>
      <c r="C6" s="13" t="n">
        <v>18</v>
      </c>
      <c r="D6" s="13" t="n">
        <f aca="false">Total!F12</f>
        <v>1639</v>
      </c>
      <c r="E6" s="13" t="n">
        <f aca="false">D6/9</f>
        <v>182.111111111111</v>
      </c>
      <c r="F6" s="13" t="n">
        <f aca="false">STDEV(Total!F3:F11)</f>
        <v>67.9125254361161</v>
      </c>
      <c r="G6" s="14" t="n">
        <f aca="false">F6/E6</f>
        <v>0.37291807744054</v>
      </c>
      <c r="H6" s="8" t="n">
        <v>7627</v>
      </c>
      <c r="I6" s="8" t="n">
        <v>7493</v>
      </c>
    </row>
    <row r="7" customFormat="false" ht="15" hidden="false" customHeight="true" outlineLevel="0" collapsed="false">
      <c r="A7" s="13" t="s">
        <v>203</v>
      </c>
      <c r="B7" s="13" t="s">
        <v>576</v>
      </c>
      <c r="C7" s="13" t="n">
        <v>9</v>
      </c>
      <c r="D7" s="13" t="n">
        <f aca="false">Total!G12</f>
        <v>604</v>
      </c>
      <c r="E7" s="13" t="n">
        <f aca="false">D7/9</f>
        <v>67.1111111111111</v>
      </c>
      <c r="F7" s="13" t="n">
        <f aca="false">STDEV(Total!G3:G11)</f>
        <v>1.45296631451356</v>
      </c>
      <c r="G7" s="14" t="n">
        <f aca="false">F7/E7</f>
        <v>0.0216501603155994</v>
      </c>
      <c r="H7" s="8" t="n">
        <v>7586</v>
      </c>
      <c r="I7" s="8" t="n">
        <v>7533</v>
      </c>
    </row>
    <row r="8" customFormat="false" ht="15" hidden="false" customHeight="true" outlineLevel="0" collapsed="false">
      <c r="A8" s="13" t="s">
        <v>204</v>
      </c>
      <c r="B8" s="13" t="s">
        <v>577</v>
      </c>
      <c r="C8" s="13" t="n">
        <v>18</v>
      </c>
      <c r="D8" s="13" t="n">
        <f aca="false">Total!H12</f>
        <v>2292</v>
      </c>
      <c r="E8" s="13" t="n">
        <f aca="false">D8/9</f>
        <v>254.666666666667</v>
      </c>
      <c r="F8" s="13" t="n">
        <f aca="false">STDEV(Total!H3:H11)</f>
        <v>79.5581548302875</v>
      </c>
      <c r="G8" s="14" t="n">
        <f aca="false">F8/E8</f>
        <v>0.312401131532543</v>
      </c>
      <c r="H8" s="8" t="n">
        <v>7658</v>
      </c>
      <c r="I8" s="8" t="n">
        <v>7462</v>
      </c>
    </row>
    <row r="9" customFormat="false" ht="15" hidden="false" customHeight="true" outlineLevel="0" collapsed="false">
      <c r="A9" s="13" t="s">
        <v>205</v>
      </c>
      <c r="B9" s="13" t="s">
        <v>578</v>
      </c>
      <c r="C9" s="13" t="n">
        <v>45</v>
      </c>
      <c r="D9" s="13" t="n">
        <f aca="false">Total!I12</f>
        <v>4135</v>
      </c>
      <c r="E9" s="13" t="n">
        <f aca="false">D9/9</f>
        <v>459.444444444444</v>
      </c>
      <c r="F9" s="13" t="n">
        <f aca="false">STDEV(Total!I3:I11)</f>
        <v>14.2750754035759</v>
      </c>
      <c r="G9" s="14" t="n">
        <f aca="false">F9/E9</f>
        <v>0.0310702971299113</v>
      </c>
      <c r="H9" s="8" t="n">
        <v>7544</v>
      </c>
      <c r="I9" s="8" t="n">
        <v>7575</v>
      </c>
    </row>
    <row r="10" customFormat="false" ht="15" hidden="false" customHeight="true" outlineLevel="0" collapsed="false">
      <c r="A10" s="13" t="s">
        <v>206</v>
      </c>
      <c r="B10" s="13" t="s">
        <v>579</v>
      </c>
      <c r="C10" s="13" t="n">
        <v>9</v>
      </c>
      <c r="D10" s="13" t="n">
        <f aca="false">Total!J12</f>
        <v>1013</v>
      </c>
      <c r="E10" s="13" t="n">
        <f aca="false">D10/9</f>
        <v>112.555555555556</v>
      </c>
      <c r="F10" s="13" t="n">
        <f aca="false">STDEV(Total!J3:J11)</f>
        <v>72.3206594119397</v>
      </c>
      <c r="G10" s="14" t="n">
        <f aca="false">F10/E10</f>
        <v>0.642533005634212</v>
      </c>
      <c r="H10" s="8" t="n">
        <v>7629</v>
      </c>
      <c r="I10" s="8" t="n">
        <v>7491</v>
      </c>
    </row>
    <row r="11" customFormat="false" ht="15" hidden="false" customHeight="true" outlineLevel="0" collapsed="false">
      <c r="A11" s="13" t="s">
        <v>207</v>
      </c>
      <c r="B11" s="13" t="s">
        <v>580</v>
      </c>
      <c r="C11" s="13" t="n">
        <v>9</v>
      </c>
      <c r="D11" s="13" t="n">
        <f aca="false">Total!K12</f>
        <v>1702</v>
      </c>
      <c r="E11" s="13" t="n">
        <f aca="false">D11/9</f>
        <v>189.111111111111</v>
      </c>
      <c r="F11" s="13" t="n">
        <f aca="false">STDEV(Total!K3:K11)</f>
        <v>62.4608766437929</v>
      </c>
      <c r="G11" s="14" t="n">
        <f aca="false">F11/E11</f>
        <v>0.330286656753311</v>
      </c>
      <c r="H11" s="8" t="n">
        <v>7480</v>
      </c>
      <c r="I11" s="8" t="n">
        <v>7640</v>
      </c>
    </row>
    <row r="12" customFormat="false" ht="15" hidden="false" customHeight="true" outlineLevel="0" collapsed="false">
      <c r="A12" s="13" t="s">
        <v>208</v>
      </c>
      <c r="B12" s="13" t="s">
        <v>581</v>
      </c>
      <c r="C12" s="13" t="n">
        <v>9</v>
      </c>
      <c r="D12" s="13" t="n">
        <f aca="false">Total!L12</f>
        <v>964</v>
      </c>
      <c r="E12" s="13" t="n">
        <f aca="false">D12/9</f>
        <v>107.111111111111</v>
      </c>
      <c r="F12" s="13" t="n">
        <f aca="false">STDEV(Total!L3:L11)</f>
        <v>74.6582956617087</v>
      </c>
      <c r="G12" s="14" t="n">
        <f aca="false">F12/E12</f>
        <v>0.697017283148733</v>
      </c>
      <c r="H12" s="8" t="n">
        <v>7473</v>
      </c>
      <c r="I12" s="8" t="n">
        <v>7647</v>
      </c>
    </row>
    <row r="14" customFormat="false" ht="15" hidden="false" customHeight="true" outlineLevel="0" collapsed="false">
      <c r="A14" s="15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7" t="s">
        <v>583</v>
      </c>
    </row>
    <row r="2" customFormat="false" ht="15" hidden="false" customHeight="true" outlineLevel="0" collapsed="false">
      <c r="A2" s="7" t="s">
        <v>584</v>
      </c>
      <c r="B2" s="7" t="s">
        <v>585</v>
      </c>
    </row>
    <row r="3" customFormat="false" ht="15" hidden="false" customHeight="true" outlineLevel="0" collapsed="false">
      <c r="A3" s="6" t="n">
        <v>36</v>
      </c>
      <c r="B3" s="6" t="n">
        <f aca="false">COUNTIF(Quad_summary!$C$2:$C$331,A3)</f>
        <v>0</v>
      </c>
    </row>
    <row r="4" customFormat="false" ht="15" hidden="false" customHeight="true" outlineLevel="0" collapsed="false">
      <c r="A4" s="6" t="n">
        <v>37</v>
      </c>
      <c r="B4" s="6" t="n">
        <f aca="false">COUNTIF(Quad_summary!$C$2:$C$331,A4)</f>
        <v>0</v>
      </c>
    </row>
    <row r="5" customFormat="false" ht="15" hidden="false" customHeight="true" outlineLevel="0" collapsed="false">
      <c r="A5" s="6" t="n">
        <v>38</v>
      </c>
      <c r="B5" s="6" t="n">
        <f aca="false">COUNTIF(Quad_summary!$C$2:$C$331,A5)</f>
        <v>4</v>
      </c>
    </row>
    <row r="6" customFormat="false" ht="15" hidden="false" customHeight="true" outlineLevel="0" collapsed="false">
      <c r="A6" s="6" t="n">
        <v>39</v>
      </c>
      <c r="B6" s="6" t="n">
        <f aca="false">COUNTIF(Quad_summary!$C$2:$C$331,A6)</f>
        <v>4</v>
      </c>
    </row>
    <row r="7" customFormat="false" ht="15" hidden="false" customHeight="true" outlineLevel="0" collapsed="false">
      <c r="A7" s="6" t="n">
        <v>40</v>
      </c>
      <c r="B7" s="6" t="n">
        <f aca="false">COUNTIF(Quad_summary!$C$2:$C$331,A7)</f>
        <v>1</v>
      </c>
    </row>
    <row r="8" customFormat="false" ht="15" hidden="false" customHeight="true" outlineLevel="0" collapsed="false">
      <c r="A8" s="6" t="n">
        <v>41</v>
      </c>
      <c r="B8" s="6" t="n">
        <f aca="false">COUNTIF(Quad_summary!$C$2:$C$331,A8)</f>
        <v>0</v>
      </c>
    </row>
    <row r="9" customFormat="false" ht="15" hidden="false" customHeight="true" outlineLevel="0" collapsed="false">
      <c r="A9" s="6" t="n">
        <v>42</v>
      </c>
      <c r="B9" s="6" t="n">
        <f aca="false">COUNTIF(Quad_summary!$C$2:$C$331,A9)</f>
        <v>2</v>
      </c>
    </row>
    <row r="10" customFormat="false" ht="15" hidden="false" customHeight="true" outlineLevel="0" collapsed="false">
      <c r="A10" s="6" t="n">
        <v>43</v>
      </c>
      <c r="B10" s="6" t="n">
        <f aca="false">COUNTIF(Quad_summary!$C$2:$C$331,A10)</f>
        <v>1</v>
      </c>
    </row>
    <row r="11" customFormat="false" ht="15" hidden="false" customHeight="true" outlineLevel="0" collapsed="false">
      <c r="A11" s="6" t="n">
        <v>44</v>
      </c>
      <c r="B11" s="6" t="n">
        <f aca="false">COUNTIF(Quad_summary!$C$2:$C$331,A11)</f>
        <v>0</v>
      </c>
    </row>
    <row r="12" customFormat="false" ht="15" hidden="false" customHeight="true" outlineLevel="0" collapsed="false">
      <c r="A12" s="6" t="n">
        <v>45</v>
      </c>
      <c r="B12" s="6" t="n">
        <f aca="false">COUNTIF(Quad_summary!$C$2:$C$331,A12)</f>
        <v>0</v>
      </c>
    </row>
    <row r="13" customFormat="false" ht="15" hidden="false" customHeight="true" outlineLevel="0" collapsed="false">
      <c r="A13" s="6" t="n">
        <v>46</v>
      </c>
      <c r="B13" s="6" t="n">
        <f aca="false">COUNTIF(Quad_summary!$C$2:$C$331,A13)</f>
        <v>5</v>
      </c>
    </row>
    <row r="14" customFormat="false" ht="15" hidden="false" customHeight="true" outlineLevel="0" collapsed="false">
      <c r="A14" s="6" t="n">
        <v>47</v>
      </c>
      <c r="B14" s="6" t="n">
        <f aca="false">COUNTIF(Quad_summary!$C$2:$C$331,A14)</f>
        <v>4</v>
      </c>
    </row>
    <row r="15" customFormat="false" ht="15" hidden="false" customHeight="true" outlineLevel="0" collapsed="false">
      <c r="A15" s="6" t="n">
        <v>48</v>
      </c>
      <c r="B15" s="6" t="n">
        <f aca="false">COUNTIF(Quad_summary!$C$2:$C$331,A15)</f>
        <v>5</v>
      </c>
    </row>
    <row r="16" customFormat="false" ht="15" hidden="false" customHeight="true" outlineLevel="0" collapsed="false">
      <c r="A16" s="6" t="n">
        <v>49</v>
      </c>
      <c r="B16" s="6" t="n">
        <f aca="false">COUNTIF(Quad_summary!$C$2:$C$331,A16)</f>
        <v>6</v>
      </c>
    </row>
    <row r="17" customFormat="false" ht="15" hidden="false" customHeight="true" outlineLevel="0" collapsed="false">
      <c r="A17" s="6" t="n">
        <v>50</v>
      </c>
      <c r="B17" s="6" t="n">
        <f aca="false">COUNTIF(Quad_summary!$C$2:$C$331,A17)</f>
        <v>7</v>
      </c>
    </row>
    <row r="18" customFormat="false" ht="15" hidden="false" customHeight="true" outlineLevel="0" collapsed="false">
      <c r="A18" s="6" t="n">
        <v>51</v>
      </c>
      <c r="B18" s="6" t="n">
        <f aca="false">COUNTIF(Quad_summary!$C$2:$C$331,A18)</f>
        <v>12</v>
      </c>
    </row>
    <row r="19" customFormat="false" ht="15" hidden="false" customHeight="true" outlineLevel="0" collapsed="false">
      <c r="A19" s="6" t="n">
        <v>52</v>
      </c>
      <c r="B19" s="6" t="n">
        <f aca="false">COUNTIF(Quad_summary!$C$2:$C$331,A19)</f>
        <v>6</v>
      </c>
    </row>
    <row r="20" customFormat="false" ht="15" hidden="false" customHeight="true" outlineLevel="0" collapsed="false">
      <c r="A20" s="6" t="n">
        <v>53</v>
      </c>
      <c r="B20" s="6" t="n">
        <f aca="false">COUNTIF(Quad_summary!$C$2:$C$331,A20)</f>
        <v>7</v>
      </c>
    </row>
    <row r="21" customFormat="false" ht="15" hidden="false" customHeight="true" outlineLevel="0" collapsed="false">
      <c r="A21" s="16" t="n">
        <v>54</v>
      </c>
      <c r="B21" s="16" t="n">
        <f aca="false">COUNTIF(Quad_summary!$C$2:$C$331,A21)</f>
        <v>8</v>
      </c>
    </row>
    <row r="22" customFormat="false" ht="15" hidden="false" customHeight="true" outlineLevel="0" collapsed="false">
      <c r="A22" s="6" t="n">
        <v>55</v>
      </c>
      <c r="B22" s="6" t="n">
        <f aca="false">COUNTIF(Quad_summary!$C$2:$C$331,A22)</f>
        <v>6</v>
      </c>
    </row>
    <row r="23" customFormat="false" ht="15" hidden="false" customHeight="true" outlineLevel="0" collapsed="false">
      <c r="A23" s="6" t="n">
        <v>56</v>
      </c>
      <c r="B23" s="6" t="n">
        <f aca="false">COUNTIF(Quad_summary!$C$2:$C$331,A23)</f>
        <v>4</v>
      </c>
    </row>
    <row r="24" customFormat="false" ht="15" hidden="false" customHeight="true" outlineLevel="0" collapsed="false">
      <c r="A24" s="6" t="n">
        <v>57</v>
      </c>
      <c r="B24" s="6" t="n">
        <f aca="false">COUNTIF(Quad_summary!$C$2:$C$331,A24)</f>
        <v>13</v>
      </c>
    </row>
    <row r="25" customFormat="false" ht="15" hidden="false" customHeight="true" outlineLevel="0" collapsed="false">
      <c r="A25" s="6" t="n">
        <v>58</v>
      </c>
      <c r="B25" s="6" t="n">
        <f aca="false">COUNTIF(Quad_summary!$C$2:$C$331,A25)</f>
        <v>11</v>
      </c>
    </row>
    <row r="26" customFormat="false" ht="15" hidden="false" customHeight="true" outlineLevel="0" collapsed="false">
      <c r="A26" s="6" t="n">
        <v>59</v>
      </c>
      <c r="B26" s="6" t="n">
        <f aca="false">COUNTIF(Quad_summary!$C$2:$C$331,A26)</f>
        <v>12</v>
      </c>
    </row>
    <row r="27" customFormat="false" ht="15" hidden="false" customHeight="true" outlineLevel="0" collapsed="false">
      <c r="A27" s="6" t="n">
        <v>60</v>
      </c>
      <c r="B27" s="6" t="n">
        <f aca="false">COUNTIF(Quad_summary!$C$2:$C$331,A27)</f>
        <v>19</v>
      </c>
    </row>
    <row r="28" customFormat="false" ht="15" hidden="false" customHeight="true" outlineLevel="0" collapsed="false">
      <c r="A28" s="6" t="n">
        <v>61</v>
      </c>
      <c r="B28" s="6" t="n">
        <f aca="false">COUNTIF(Quad_summary!$C$2:$C$331,A28)</f>
        <v>11</v>
      </c>
    </row>
    <row r="29" customFormat="false" ht="15" hidden="false" customHeight="true" outlineLevel="0" collapsed="false">
      <c r="A29" s="6" t="n">
        <v>62</v>
      </c>
      <c r="B29" s="6" t="n">
        <f aca="false">COUNTIF(Quad_summary!$C$2:$C$331,A29)</f>
        <v>10</v>
      </c>
    </row>
    <row r="30" customFormat="false" ht="15" hidden="false" customHeight="true" outlineLevel="0" collapsed="false">
      <c r="A30" s="6" t="n">
        <v>63</v>
      </c>
      <c r="B30" s="6" t="n">
        <f aca="false">COUNTIF(Quad_summary!$C$2:$C$331,A30)</f>
        <v>8</v>
      </c>
    </row>
    <row r="31" customFormat="false" ht="15" hidden="false" customHeight="true" outlineLevel="0" collapsed="false">
      <c r="A31" s="6" t="n">
        <v>64</v>
      </c>
      <c r="B31" s="6" t="n">
        <f aca="false">COUNTIF(Quad_summary!$C$2:$C$331,A31)</f>
        <v>8</v>
      </c>
    </row>
    <row r="32" customFormat="false" ht="15" hidden="false" customHeight="true" outlineLevel="0" collapsed="false">
      <c r="A32" s="6" t="n">
        <v>65</v>
      </c>
      <c r="B32" s="6" t="n">
        <f aca="false">COUNTIF(Quad_summary!$C$2:$C$331,A32)</f>
        <v>8</v>
      </c>
    </row>
    <row r="33" customFormat="false" ht="15" hidden="false" customHeight="true" outlineLevel="0" collapsed="false">
      <c r="A33" s="6" t="n">
        <v>66</v>
      </c>
      <c r="B33" s="6" t="n">
        <f aca="false">COUNTIF(Quad_summary!$C$2:$C$331,A33)</f>
        <v>15</v>
      </c>
    </row>
    <row r="34" customFormat="false" ht="15" hidden="false" customHeight="true" outlineLevel="0" collapsed="false">
      <c r="A34" s="6" t="n">
        <v>67</v>
      </c>
      <c r="B34" s="6" t="n">
        <f aca="false">COUNTIF(Quad_summary!$C$2:$C$331,A34)</f>
        <v>28</v>
      </c>
    </row>
    <row r="35" customFormat="false" ht="15" hidden="false" customHeight="true" outlineLevel="0" collapsed="false">
      <c r="A35" s="6" t="n">
        <v>68</v>
      </c>
      <c r="B35" s="6" t="n">
        <f aca="false">COUNTIF(Quad_summary!$C$2:$C$331,A35)</f>
        <v>19</v>
      </c>
    </row>
    <row r="36" customFormat="false" ht="15" hidden="false" customHeight="true" outlineLevel="0" collapsed="false">
      <c r="A36" s="6" t="n">
        <v>69</v>
      </c>
      <c r="B36" s="6" t="n">
        <f aca="false">COUNTIF(Quad_summary!$C$2:$C$331,A36)</f>
        <v>8</v>
      </c>
    </row>
    <row r="37" customFormat="false" ht="15" hidden="false" customHeight="true" outlineLevel="0" collapsed="false">
      <c r="A37" s="6" t="n">
        <v>70</v>
      </c>
      <c r="B37" s="6" t="n">
        <f aca="false">COUNTIF(Quad_summary!$C$2:$C$331,A37)</f>
        <v>9</v>
      </c>
    </row>
    <row r="38" customFormat="false" ht="15" hidden="false" customHeight="true" outlineLevel="0" collapsed="false">
      <c r="A38" s="6" t="n">
        <v>71</v>
      </c>
      <c r="B38" s="6" t="n">
        <f aca="false">COUNTIF(Quad_summary!$C$2:$C$331,A38)</f>
        <v>9</v>
      </c>
    </row>
    <row r="39" customFormat="false" ht="15" hidden="false" customHeight="true" outlineLevel="0" collapsed="false">
      <c r="A39" s="16" t="n">
        <v>72</v>
      </c>
      <c r="B39" s="16" t="n">
        <f aca="false">COUNTIF(Quad_summary!$C$2:$C$331,A39)</f>
        <v>5</v>
      </c>
    </row>
    <row r="40" customFormat="false" ht="15" hidden="false" customHeight="true" outlineLevel="0" collapsed="false">
      <c r="A40" s="6" t="n">
        <v>73</v>
      </c>
      <c r="B40" s="6" t="n">
        <f aca="false">COUNTIF(Quad_summary!$C$2:$C$331,A40)</f>
        <v>9</v>
      </c>
    </row>
    <row r="41" customFormat="false" ht="15" hidden="false" customHeight="true" outlineLevel="0" collapsed="false">
      <c r="A41" s="6" t="n">
        <v>74</v>
      </c>
      <c r="B41" s="6" t="n">
        <f aca="false">COUNTIF(Quad_summary!$C$2:$C$331,A41)</f>
        <v>8</v>
      </c>
    </row>
    <row r="42" customFormat="false" ht="15" hidden="false" customHeight="true" outlineLevel="0" collapsed="false">
      <c r="A42" s="6" t="n">
        <v>75</v>
      </c>
      <c r="B42" s="6" t="n">
        <f aca="false">COUNTIF(Quad_summary!$C$2:$C$331,A42)</f>
        <v>7</v>
      </c>
    </row>
    <row r="43" customFormat="false" ht="15" hidden="false" customHeight="true" outlineLevel="0" collapsed="false">
      <c r="A43" s="6" t="n">
        <v>76</v>
      </c>
      <c r="B43" s="6" t="n">
        <f aca="false">COUNTIF(Quad_summary!$C$2:$C$331,A43)</f>
        <v>3</v>
      </c>
    </row>
    <row r="44" customFormat="false" ht="15" hidden="false" customHeight="true" outlineLevel="0" collapsed="false">
      <c r="A44" s="6" t="n">
        <v>77</v>
      </c>
      <c r="B44" s="6" t="n">
        <f aca="false">COUNTIF(Quad_summary!$C$2:$C$331,A44)</f>
        <v>6</v>
      </c>
    </row>
    <row r="45" customFormat="false" ht="15" hidden="false" customHeight="true" outlineLevel="0" collapsed="false">
      <c r="A45" s="6" t="n">
        <v>78</v>
      </c>
      <c r="B45" s="6" t="n">
        <f aca="false">COUNTIF(Quad_summary!$C$2:$C$331,A45)</f>
        <v>4</v>
      </c>
    </row>
    <row r="46" customFormat="false" ht="15" hidden="false" customHeight="true" outlineLevel="0" collapsed="false">
      <c r="A46" s="6" t="n">
        <v>79</v>
      </c>
      <c r="B46" s="6" t="n">
        <f aca="false">COUNTIF(Quad_summary!$C$2:$C$331,A46)</f>
        <v>4</v>
      </c>
    </row>
    <row r="47" customFormat="false" ht="15" hidden="false" customHeight="true" outlineLevel="0" collapsed="false">
      <c r="A47" s="6" t="n">
        <v>80</v>
      </c>
      <c r="B47" s="6" t="n">
        <f aca="false">COUNTIF(Quad_summary!$C$2:$C$331,A47)</f>
        <v>2</v>
      </c>
    </row>
    <row r="48" customFormat="false" ht="15" hidden="false" customHeight="true" outlineLevel="0" collapsed="false">
      <c r="A48" s="6" t="n">
        <v>81</v>
      </c>
      <c r="B48" s="6" t="n">
        <f aca="false">COUNTIF(Quad_summary!$C$2:$C$331,A48)</f>
        <v>2</v>
      </c>
    </row>
    <row r="49" customFormat="false" ht="15" hidden="false" customHeight="true" outlineLevel="0" collapsed="false">
      <c r="A49" s="6" t="n">
        <v>82</v>
      </c>
      <c r="B49" s="6" t="n">
        <f aca="false">COUNTIF(Quad_summary!$C$2:$C$331,A49)</f>
        <v>3</v>
      </c>
    </row>
    <row r="50" customFormat="false" ht="15" hidden="false" customHeight="true" outlineLevel="0" collapsed="false">
      <c r="A50" s="6" t="n">
        <v>83</v>
      </c>
      <c r="B50" s="6" t="n">
        <f aca="false">COUNTIF(Quad_summary!$C$2:$C$331,A50)</f>
        <v>0</v>
      </c>
    </row>
    <row r="51" customFormat="false" ht="15" hidden="false" customHeight="true" outlineLevel="0" collapsed="false">
      <c r="A51" s="6" t="n">
        <v>84</v>
      </c>
      <c r="B51" s="6" t="n">
        <f aca="false">COUNTIF(Quad_summary!$C$2:$C$331,A51)</f>
        <v>2</v>
      </c>
    </row>
    <row r="52" customFormat="false" ht="15" hidden="false" customHeight="true" outlineLevel="0" collapsed="false">
      <c r="A52" s="6" t="n">
        <v>85</v>
      </c>
      <c r="B52" s="6" t="n">
        <f aca="false">COUNTIF(Quad_summary!$C$2:$C$331,A52)</f>
        <v>1</v>
      </c>
    </row>
    <row r="53" customFormat="false" ht="15" hidden="false" customHeight="true" outlineLevel="0" collapsed="false">
      <c r="A53" s="6" t="n">
        <v>86</v>
      </c>
      <c r="B53" s="6" t="n">
        <f aca="false">COUNTIF(Quad_summary!$C$2:$C$331,A53)</f>
        <v>0</v>
      </c>
    </row>
    <row r="54" customFormat="false" ht="15" hidden="false" customHeight="true" outlineLevel="0" collapsed="false">
      <c r="A54" s="6" t="n">
        <v>87</v>
      </c>
      <c r="B54" s="6" t="n">
        <f aca="false">COUNTIF(Quad_summary!$C$2:$C$331,A54)</f>
        <v>0</v>
      </c>
    </row>
    <row r="55" customFormat="false" ht="15" hidden="false" customHeight="true" outlineLevel="0" collapsed="false">
      <c r="A55" s="6" t="n">
        <v>88</v>
      </c>
      <c r="B55" s="6" t="n">
        <f aca="false">COUNTIF(Quad_summary!$C$2:$C$331,A55)</f>
        <v>1</v>
      </c>
    </row>
    <row r="56" customFormat="false" ht="15" hidden="false" customHeight="true" outlineLevel="0" collapsed="false">
      <c r="A56" s="6" t="n">
        <v>89</v>
      </c>
      <c r="B56" s="6" t="n">
        <f aca="false">COUNTIF(Quad_summary!$C$2:$C$331,A56)</f>
        <v>2</v>
      </c>
    </row>
    <row r="57" customFormat="false" ht="15" hidden="false" customHeight="true" outlineLevel="0" collapsed="false">
      <c r="A57" s="6" t="n">
        <v>90</v>
      </c>
      <c r="B57" s="6" t="n">
        <f aca="false">COUNTIF(Quad_summary!$C$2:$C$331,A57)</f>
        <v>1</v>
      </c>
    </row>
    <row r="58" customFormat="false" ht="15" hidden="false" customHeight="true" outlineLevel="0" collapsed="false">
      <c r="A58" s="6" t="n">
        <v>91</v>
      </c>
      <c r="B58" s="6" t="n">
        <f aca="false">COUNTIF(Quad_summary!$C$2:$C$331,A58)</f>
        <v>0</v>
      </c>
    </row>
    <row r="60" customFormat="false" ht="15" hidden="false" customHeight="true" outlineLevel="0" collapsed="false">
      <c r="A60" s="15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"/>
  </cols>
  <sheetData>
    <row r="1" customFormat="false" ht="15" hidden="false" customHeight="true" outlineLevel="0" collapsed="false">
      <c r="A1" s="7" t="s">
        <v>587</v>
      </c>
    </row>
    <row r="2" customFormat="false" ht="15" hidden="false" customHeight="true" outlineLevel="0" collapsed="false">
      <c r="B2" s="7" t="s">
        <v>588</v>
      </c>
    </row>
    <row r="3" customFormat="false" ht="32.25" hidden="false" customHeight="true" outlineLevel="0" collapsed="false">
      <c r="A3" s="17" t="s">
        <v>58</v>
      </c>
      <c r="B3" s="17" t="s">
        <v>589</v>
      </c>
      <c r="C3" s="17" t="s">
        <v>590</v>
      </c>
      <c r="D3" s="17" t="s">
        <v>591</v>
      </c>
      <c r="E3" s="17" t="s">
        <v>592</v>
      </c>
      <c r="F3" s="17" t="s">
        <v>593</v>
      </c>
      <c r="G3" s="17" t="s">
        <v>594</v>
      </c>
      <c r="H3" s="17" t="s">
        <v>595</v>
      </c>
      <c r="I3" s="17" t="s">
        <v>596</v>
      </c>
      <c r="J3" s="17" t="s">
        <v>597</v>
      </c>
      <c r="K3" s="17" t="s">
        <v>598</v>
      </c>
      <c r="L3" s="17" t="s">
        <v>599</v>
      </c>
      <c r="M3" s="17" t="s">
        <v>600</v>
      </c>
      <c r="N3" s="17" t="s">
        <v>601</v>
      </c>
      <c r="O3" s="17" t="s">
        <v>602</v>
      </c>
      <c r="P3" s="17" t="s">
        <v>603</v>
      </c>
      <c r="Q3" s="17" t="s">
        <v>604</v>
      </c>
    </row>
    <row r="4" customFormat="false" ht="15" hidden="false" customHeight="true" outlineLevel="0" collapsed="false">
      <c r="A4" s="6" t="n">
        <v>1</v>
      </c>
      <c r="B4" s="6" t="s">
        <v>68</v>
      </c>
      <c r="C4" s="8" t="n">
        <v>1</v>
      </c>
      <c r="D4" s="8" t="n">
        <v>0</v>
      </c>
      <c r="E4" s="6" t="str">
        <f aca="false">IF(C4+D4=0,"rank&lt;4",IF(MIN(C4,D4)=0,IF(C4&gt;0,"Gr&gt;=0 (+)","Gr&gt;=0 (-)"),"mixed"))</f>
        <v>Gr&gt;=0 (+)</v>
      </c>
      <c r="F4" s="8" t="n">
        <v>1</v>
      </c>
      <c r="G4" s="8" t="n">
        <v>0</v>
      </c>
      <c r="H4" s="6" t="str">
        <f aca="false">IF(F4+G4=0,"rank&lt;4",IF(MIN(F4,G4)=0,IF(F4&gt;0,"Gr&gt;=0 (+)","Gr&gt;=0 (-)"),"mixed"))</f>
        <v>Gr&gt;=0 (+)</v>
      </c>
      <c r="I4" s="8" t="n">
        <v>8</v>
      </c>
      <c r="J4" s="8" t="n">
        <v>7</v>
      </c>
      <c r="K4" s="6" t="str">
        <f aca="false">IF(I4+J4=0,"rank&lt;4",IF(MIN(I4,J4)=0,IF(I4&gt;0,"Gr&gt;=0 (+)","Gr&gt;=0 (-)"),"mixed"))</f>
        <v>mixed</v>
      </c>
      <c r="L4" s="8" t="n">
        <v>66</v>
      </c>
      <c r="M4" s="8" t="n">
        <v>59</v>
      </c>
      <c r="N4" s="6" t="str">
        <f aca="false">IF(L4+M4=0,"rank&lt;4",IF(MIN(L4,M4)=0,IF(L4&gt;0,"Gr&gt;=0 (+)","Gr&gt;=0 (-)"),"mixed"))</f>
        <v>mixed</v>
      </c>
      <c r="O4" s="8" t="n">
        <v>182</v>
      </c>
      <c r="P4" s="8" t="n">
        <v>148</v>
      </c>
      <c r="Q4" s="6" t="str">
        <f aca="false">IF(O4+P4=0,"rank&lt;4",IF(MIN(O4,P4)=0,IF(O4&gt;0,"Gr&gt;=0 (+)","Gr&gt;=0 (-)"),"mixed"))</f>
        <v>mixed</v>
      </c>
    </row>
    <row r="5" customFormat="false" ht="15" hidden="false" customHeight="true" outlineLevel="0" collapsed="false">
      <c r="A5" s="6" t="n">
        <v>2</v>
      </c>
      <c r="B5" s="6" t="s">
        <v>69</v>
      </c>
      <c r="C5" s="8" t="n">
        <v>0</v>
      </c>
      <c r="D5" s="8" t="n">
        <v>0</v>
      </c>
      <c r="E5" s="6" t="str">
        <f aca="false">IF(C5+D5=0,"rank&lt;4",IF(MIN(C5,D5)=0,IF(C5&gt;0,"Gr&gt;=0 (+)","Gr&gt;=0 (-)"),"mixed"))</f>
        <v>rank&lt;4</v>
      </c>
      <c r="F5" s="8" t="n">
        <v>0</v>
      </c>
      <c r="G5" s="8" t="n">
        <v>0</v>
      </c>
      <c r="H5" s="6" t="str">
        <f aca="false">IF(F5+G5=0,"rank&lt;4",IF(MIN(F5,G5)=0,IF(F5&gt;0,"Gr&gt;=0 (+)","Gr&gt;=0 (-)"),"mixed"))</f>
        <v>rank&lt;4</v>
      </c>
      <c r="I5" s="8" t="n">
        <v>10</v>
      </c>
      <c r="J5" s="8" t="n">
        <v>5</v>
      </c>
      <c r="K5" s="6" t="str">
        <f aca="false">IF(I5+J5=0,"rank&lt;4",IF(MIN(I5,J5)=0,IF(I5&gt;0,"Gr&gt;=0 (+)","Gr&gt;=0 (-)"),"mixed"))</f>
        <v>mixed</v>
      </c>
      <c r="L5" s="8" t="n">
        <v>54</v>
      </c>
      <c r="M5" s="8" t="n">
        <v>51</v>
      </c>
      <c r="N5" s="6" t="str">
        <f aca="false">IF(L5+M5=0,"rank&lt;4",IF(MIN(L5,M5)=0,IF(L5&gt;0,"Gr&gt;=0 (+)","Gr&gt;=0 (-)"),"mixed"))</f>
        <v>mixed</v>
      </c>
      <c r="O5" s="8" t="n">
        <v>186</v>
      </c>
      <c r="P5" s="8" t="n">
        <v>144</v>
      </c>
      <c r="Q5" s="6" t="str">
        <f aca="false">IF(O5+P5=0,"rank&lt;4",IF(MIN(O5,P5)=0,IF(O5&gt;0,"Gr&gt;=0 (+)","Gr&gt;=0 (-)"),"mixed"))</f>
        <v>mixed</v>
      </c>
    </row>
    <row r="6" customFormat="false" ht="15" hidden="false" customHeight="true" outlineLevel="0" collapsed="false">
      <c r="A6" s="6" t="n">
        <v>3</v>
      </c>
      <c r="B6" s="6" t="s">
        <v>70</v>
      </c>
      <c r="C6" s="8" t="n">
        <v>0</v>
      </c>
      <c r="D6" s="8" t="n">
        <v>0</v>
      </c>
      <c r="E6" s="6" t="str">
        <f aca="false">IF(C6+D6=0,"rank&lt;4",IF(MIN(C6,D6)=0,IF(C6&gt;0,"Gr&gt;=0 (+)","Gr&gt;=0 (-)"),"mixed"))</f>
        <v>rank&lt;4</v>
      </c>
      <c r="F6" s="8" t="n">
        <v>0</v>
      </c>
      <c r="G6" s="8" t="n">
        <v>0</v>
      </c>
      <c r="H6" s="6" t="str">
        <f aca="false">IF(F6+G6=0,"rank&lt;4",IF(MIN(F6,G6)=0,IF(F6&gt;0,"Gr&gt;=0 (+)","Gr&gt;=0 (-)"),"mixed"))</f>
        <v>rank&lt;4</v>
      </c>
      <c r="I6" s="8" t="n">
        <v>7</v>
      </c>
      <c r="J6" s="8" t="n">
        <v>8</v>
      </c>
      <c r="K6" s="6" t="str">
        <f aca="false">IF(I6+J6=0,"rank&lt;4",IF(MIN(I6,J6)=0,IF(I6&gt;0,"Gr&gt;=0 (+)","Gr&gt;=0 (-)"),"mixed"))</f>
        <v>mixed</v>
      </c>
      <c r="L6" s="8" t="n">
        <v>52</v>
      </c>
      <c r="M6" s="8" t="n">
        <v>53</v>
      </c>
      <c r="N6" s="6" t="str">
        <f aca="false">IF(L6+M6=0,"rank&lt;4",IF(MIN(L6,M6)=0,IF(L6&gt;0,"Gr&gt;=0 (+)","Gr&gt;=0 (-)"),"mixed"))</f>
        <v>mixed</v>
      </c>
      <c r="O6" s="8" t="n">
        <v>183</v>
      </c>
      <c r="P6" s="8" t="n">
        <v>147</v>
      </c>
      <c r="Q6" s="6" t="str">
        <f aca="false">IF(O6+P6=0,"rank&lt;4",IF(MIN(O6,P6)=0,IF(O6&gt;0,"Gr&gt;=0 (+)","Gr&gt;=0 (-)"),"mixed"))</f>
        <v>mixed</v>
      </c>
    </row>
    <row r="7" customFormat="false" ht="15" hidden="false" customHeight="true" outlineLevel="0" collapsed="false">
      <c r="A7" s="6" t="n">
        <v>4</v>
      </c>
      <c r="B7" s="6" t="s">
        <v>71</v>
      </c>
      <c r="C7" s="8" t="n">
        <v>0</v>
      </c>
      <c r="D7" s="8" t="n">
        <v>0</v>
      </c>
      <c r="E7" s="6" t="str">
        <f aca="false">IF(C7+D7=0,"rank&lt;4",IF(MIN(C7,D7)=0,IF(C7&gt;0,"Gr&gt;=0 (+)","Gr&gt;=0 (-)"),"mixed"))</f>
        <v>rank&lt;4</v>
      </c>
      <c r="F7" s="8" t="n">
        <v>0</v>
      </c>
      <c r="G7" s="8" t="n">
        <v>0</v>
      </c>
      <c r="H7" s="6" t="str">
        <f aca="false">IF(F7+G7=0,"rank&lt;4",IF(MIN(F7,G7)=0,IF(F7&gt;0,"Gr&gt;=0 (+)","Gr&gt;=0 (-)"),"mixed"))</f>
        <v>rank&lt;4</v>
      </c>
      <c r="I7" s="8" t="n">
        <v>8</v>
      </c>
      <c r="J7" s="8" t="n">
        <v>7</v>
      </c>
      <c r="K7" s="6" t="str">
        <f aca="false">IF(I7+J7=0,"rank&lt;4",IF(MIN(I7,J7)=0,IF(I7&gt;0,"Gr&gt;=0 (+)","Gr&gt;=0 (-)"),"mixed"))</f>
        <v>mixed</v>
      </c>
      <c r="L7" s="8" t="n">
        <v>55</v>
      </c>
      <c r="M7" s="8" t="n">
        <v>50</v>
      </c>
      <c r="N7" s="6" t="str">
        <f aca="false">IF(L7+M7=0,"rank&lt;4",IF(MIN(L7,M7)=0,IF(L7&gt;0,"Gr&gt;=0 (+)","Gr&gt;=0 (-)"),"mixed"))</f>
        <v>mixed</v>
      </c>
      <c r="O7" s="8" t="n">
        <v>178</v>
      </c>
      <c r="P7" s="8" t="n">
        <v>152</v>
      </c>
      <c r="Q7" s="6" t="str">
        <f aca="false">IF(O7+P7=0,"rank&lt;4",IF(MIN(O7,P7)=0,IF(O7&gt;0,"Gr&gt;=0 (+)","Gr&gt;=0 (-)"),"mixed"))</f>
        <v>mixed</v>
      </c>
    </row>
    <row r="8" customFormat="false" ht="15" hidden="false" customHeight="true" outlineLevel="0" collapsed="false">
      <c r="A8" s="6" t="n">
        <v>5</v>
      </c>
      <c r="B8" s="6" t="s">
        <v>72</v>
      </c>
      <c r="C8" s="8" t="n">
        <v>0</v>
      </c>
      <c r="D8" s="8" t="n">
        <v>0</v>
      </c>
      <c r="E8" s="6" t="str">
        <f aca="false">IF(C8+D8=0,"rank&lt;4",IF(MIN(C8,D8)=0,IF(C8&gt;0,"Gr&gt;=0 (+)","Gr&gt;=0 (-)"),"mixed"))</f>
        <v>rank&lt;4</v>
      </c>
      <c r="F8" s="8" t="n">
        <v>0</v>
      </c>
      <c r="G8" s="8" t="n">
        <v>0</v>
      </c>
      <c r="H8" s="6" t="str">
        <f aca="false">IF(F8+G8=0,"rank&lt;4",IF(MIN(F8,G8)=0,IF(F8&gt;0,"Gr&gt;=0 (+)","Gr&gt;=0 (-)"),"mixed"))</f>
        <v>rank&lt;4</v>
      </c>
      <c r="I8" s="8" t="n">
        <v>8</v>
      </c>
      <c r="J8" s="8" t="n">
        <v>7</v>
      </c>
      <c r="K8" s="6" t="str">
        <f aca="false">IF(I8+J8=0,"rank&lt;4",IF(MIN(I8,J8)=0,IF(I8&gt;0,"Gr&gt;=0 (+)","Gr&gt;=0 (-)"),"mixed"))</f>
        <v>mixed</v>
      </c>
      <c r="L8" s="8" t="n">
        <v>53</v>
      </c>
      <c r="M8" s="8" t="n">
        <v>52</v>
      </c>
      <c r="N8" s="6" t="str">
        <f aca="false">IF(L8+M8=0,"rank&lt;4",IF(MIN(L8,M8)=0,IF(L8&gt;0,"Gr&gt;=0 (+)","Gr&gt;=0 (-)"),"mixed"))</f>
        <v>mixed</v>
      </c>
      <c r="O8" s="8" t="n">
        <v>180</v>
      </c>
      <c r="P8" s="8" t="n">
        <v>150</v>
      </c>
      <c r="Q8" s="6" t="str">
        <f aca="false">IF(O8+P8=0,"rank&lt;4",IF(MIN(O8,P8)=0,IF(O8&gt;0,"Gr&gt;=0 (+)","Gr&gt;=0 (-)"),"mixed"))</f>
        <v>mixed</v>
      </c>
    </row>
    <row r="9" customFormat="false" ht="15" hidden="false" customHeight="true" outlineLevel="0" collapsed="false">
      <c r="A9" s="6" t="n">
        <v>6</v>
      </c>
      <c r="B9" s="6" t="s">
        <v>73</v>
      </c>
      <c r="C9" s="8" t="n">
        <v>0</v>
      </c>
      <c r="D9" s="8" t="n">
        <v>4</v>
      </c>
      <c r="E9" s="6" t="str">
        <f aca="false">IF(C9+D9=0,"rank&lt;4",IF(MIN(C9,D9)=0,IF(C9&gt;0,"Gr&gt;=0 (+)","Gr&gt;=0 (-)"),"mixed"))</f>
        <v>Gr&gt;=0 (-)</v>
      </c>
      <c r="F9" s="8" t="n">
        <v>1</v>
      </c>
      <c r="G9" s="8" t="n">
        <v>4</v>
      </c>
      <c r="H9" s="6" t="str">
        <f aca="false">IF(F9+G9=0,"rank&lt;4",IF(MIN(F9,G9)=0,IF(F9&gt;0,"Gr&gt;=0 (+)","Gr&gt;=0 (-)"),"mixed"))</f>
        <v>mixed</v>
      </c>
      <c r="I9" s="8" t="n">
        <v>7</v>
      </c>
      <c r="J9" s="8" t="n">
        <v>8</v>
      </c>
      <c r="K9" s="6" t="str">
        <f aca="false">IF(I9+J9=0,"rank&lt;4",IF(MIN(I9,J9)=0,IF(I9&gt;0,"Gr&gt;=0 (+)","Gr&gt;=0 (-)"),"mixed"))</f>
        <v>mixed</v>
      </c>
      <c r="L9" s="8" t="n">
        <v>133</v>
      </c>
      <c r="M9" s="8" t="n">
        <v>142</v>
      </c>
      <c r="N9" s="6" t="str">
        <f aca="false">IF(L9+M9=0,"rank&lt;4",IF(MIN(L9,M9)=0,IF(L9&gt;0,"Gr&gt;=0 (+)","Gr&gt;=0 (-)"),"mixed"))</f>
        <v>mixed</v>
      </c>
      <c r="O9" s="8" t="n">
        <v>175</v>
      </c>
      <c r="P9" s="8" t="n">
        <v>155</v>
      </c>
      <c r="Q9" s="6" t="str">
        <f aca="false">IF(O9+P9=0,"rank&lt;4",IF(MIN(O9,P9)=0,IF(O9&gt;0,"Gr&gt;=0 (+)","Gr&gt;=0 (-)"),"mixed"))</f>
        <v>mixed</v>
      </c>
    </row>
    <row r="10" customFormat="false" ht="15" hidden="false" customHeight="true" outlineLevel="0" collapsed="false">
      <c r="A10" s="6" t="n">
        <v>7</v>
      </c>
      <c r="B10" s="6" t="s">
        <v>74</v>
      </c>
      <c r="C10" s="8" t="n">
        <v>0</v>
      </c>
      <c r="D10" s="8" t="n">
        <v>1</v>
      </c>
      <c r="E10" s="6" t="str">
        <f aca="false">IF(C10+D10=0,"rank&lt;4",IF(MIN(C10,D10)=0,IF(C10&gt;0,"Gr&gt;=0 (+)","Gr&gt;=0 (-)"),"mixed"))</f>
        <v>Gr&gt;=0 (-)</v>
      </c>
      <c r="F10" s="8" t="n">
        <v>0</v>
      </c>
      <c r="G10" s="8" t="n">
        <v>1</v>
      </c>
      <c r="H10" s="6" t="str">
        <f aca="false">IF(F10+G10=0,"rank&lt;4",IF(MIN(F10,G10)=0,IF(F10&gt;0,"Gr&gt;=0 (+)","Gr&gt;=0 (-)"),"mixed"))</f>
        <v>Gr&gt;=0 (-)</v>
      </c>
      <c r="I10" s="8" t="n">
        <v>7</v>
      </c>
      <c r="J10" s="8" t="n">
        <v>8</v>
      </c>
      <c r="K10" s="6" t="str">
        <f aca="false">IF(I10+J10=0,"rank&lt;4",IF(MIN(I10,J10)=0,IF(I10&gt;0,"Gr&gt;=0 (+)","Gr&gt;=0 (-)"),"mixed"))</f>
        <v>mixed</v>
      </c>
      <c r="L10" s="8" t="n">
        <v>68</v>
      </c>
      <c r="M10" s="8" t="n">
        <v>58</v>
      </c>
      <c r="N10" s="6" t="str">
        <f aca="false">IF(L10+M10=0,"rank&lt;4",IF(MIN(L10,M10)=0,IF(L10&gt;0,"Gr&gt;=0 (+)","Gr&gt;=0 (-)"),"mixed"))</f>
        <v>mixed</v>
      </c>
      <c r="O10" s="8" t="n">
        <v>148</v>
      </c>
      <c r="P10" s="8" t="n">
        <v>182</v>
      </c>
      <c r="Q10" s="6" t="str">
        <f aca="false">IF(O10+P10=0,"rank&lt;4",IF(MIN(O10,P10)=0,IF(O10&gt;0,"Gr&gt;=0 (+)","Gr&gt;=0 (-)"),"mixed"))</f>
        <v>mixed</v>
      </c>
    </row>
    <row r="11" customFormat="false" ht="15" hidden="false" customHeight="true" outlineLevel="0" collapsed="false">
      <c r="A11" s="6" t="n">
        <v>8</v>
      </c>
      <c r="B11" s="6" t="s">
        <v>75</v>
      </c>
      <c r="C11" s="8" t="n">
        <v>1</v>
      </c>
      <c r="D11" s="8" t="n">
        <v>0</v>
      </c>
      <c r="E11" s="6" t="str">
        <f aca="false">IF(C11+D11=0,"rank&lt;4",IF(MIN(C11,D11)=0,IF(C11&gt;0,"Gr&gt;=0 (+)","Gr&gt;=0 (-)"),"mixed"))</f>
        <v>Gr&gt;=0 (+)</v>
      </c>
      <c r="F11" s="8" t="n">
        <v>1</v>
      </c>
      <c r="G11" s="8" t="n">
        <v>0</v>
      </c>
      <c r="H11" s="6" t="str">
        <f aca="false">IF(F11+G11=0,"rank&lt;4",IF(MIN(F11,G11)=0,IF(F11&gt;0,"Gr&gt;=0 (+)","Gr&gt;=0 (-)"),"mixed"))</f>
        <v>Gr&gt;=0 (+)</v>
      </c>
      <c r="I11" s="8" t="n">
        <v>5</v>
      </c>
      <c r="J11" s="8" t="n">
        <v>10</v>
      </c>
      <c r="K11" s="6" t="str">
        <f aca="false">IF(I11+J11=0,"rank&lt;4",IF(MIN(I11,J11)=0,IF(I11&gt;0,"Gr&gt;=0 (+)","Gr&gt;=0 (-)"),"mixed"))</f>
        <v>mixed</v>
      </c>
      <c r="L11" s="8" t="n">
        <v>59</v>
      </c>
      <c r="M11" s="8" t="n">
        <v>67</v>
      </c>
      <c r="N11" s="6" t="str">
        <f aca="false">IF(L11+M11=0,"rank&lt;4",IF(MIN(L11,M11)=0,IF(L11&gt;0,"Gr&gt;=0 (+)","Gr&gt;=0 (-)"),"mixed"))</f>
        <v>mixed</v>
      </c>
      <c r="O11" s="8" t="n">
        <v>160</v>
      </c>
      <c r="P11" s="8" t="n">
        <v>170</v>
      </c>
      <c r="Q11" s="6" t="str">
        <f aca="false">IF(O11+P11=0,"rank&lt;4",IF(MIN(O11,P11)=0,IF(O11&gt;0,"Gr&gt;=0 (+)","Gr&gt;=0 (-)"),"mixed"))</f>
        <v>mixed</v>
      </c>
    </row>
    <row r="12" customFormat="false" ht="15" hidden="false" customHeight="true" outlineLevel="0" collapsed="false">
      <c r="A12" s="6" t="n">
        <v>9</v>
      </c>
      <c r="B12" s="6" t="s">
        <v>76</v>
      </c>
      <c r="C12" s="8" t="n">
        <v>0</v>
      </c>
      <c r="D12" s="8" t="n">
        <v>1</v>
      </c>
      <c r="E12" s="6" t="str">
        <f aca="false">IF(C12+D12=0,"rank&lt;4",IF(MIN(C12,D12)=0,IF(C12&gt;0,"Gr&gt;=0 (+)","Gr&gt;=0 (-)"),"mixed"))</f>
        <v>Gr&gt;=0 (-)</v>
      </c>
      <c r="F12" s="8" t="n">
        <v>0</v>
      </c>
      <c r="G12" s="8" t="n">
        <v>1</v>
      </c>
      <c r="H12" s="6" t="str">
        <f aca="false">IF(F12+G12=0,"rank&lt;4",IF(MIN(F12,G12)=0,IF(F12&gt;0,"Gr&gt;=0 (+)","Gr&gt;=0 (-)"),"mixed"))</f>
        <v>Gr&gt;=0 (-)</v>
      </c>
      <c r="I12" s="8" t="n">
        <v>9</v>
      </c>
      <c r="J12" s="8" t="n">
        <v>6</v>
      </c>
      <c r="K12" s="6" t="str">
        <f aca="false">IF(I12+J12=0,"rank&lt;4",IF(MIN(I12,J12)=0,IF(I12&gt;0,"Gr&gt;=0 (+)","Gr&gt;=0 (-)"),"mixed"))</f>
        <v>mixed</v>
      </c>
      <c r="L12" s="8" t="n">
        <v>66</v>
      </c>
      <c r="M12" s="8" t="n">
        <v>60</v>
      </c>
      <c r="N12" s="6" t="str">
        <f aca="false">IF(L12+M12=0,"rank&lt;4",IF(MIN(L12,M12)=0,IF(L12&gt;0,"Gr&gt;=0 (+)","Gr&gt;=0 (-)"),"mixed"))</f>
        <v>mixed</v>
      </c>
      <c r="O12" s="8" t="n">
        <v>172</v>
      </c>
      <c r="P12" s="8" t="n">
        <v>158</v>
      </c>
      <c r="Q12" s="6" t="str">
        <f aca="false">IF(O12+P12=0,"rank&lt;4",IF(MIN(O12,P12)=0,IF(O12&gt;0,"Gr&gt;=0 (+)","Gr&gt;=0 (-)"),"mixed"))</f>
        <v>mixed</v>
      </c>
    </row>
    <row r="13" customFormat="false" ht="15" hidden="false" customHeight="true" outlineLevel="0" collapsed="false">
      <c r="A13" s="6" t="n">
        <v>10</v>
      </c>
      <c r="B13" s="6" t="s">
        <v>77</v>
      </c>
      <c r="C13" s="8" t="n">
        <v>1</v>
      </c>
      <c r="D13" s="8" t="n">
        <v>0</v>
      </c>
      <c r="E13" s="6" t="str">
        <f aca="false">IF(C13+D13=0,"rank&lt;4",IF(MIN(C13,D13)=0,IF(C13&gt;0,"Gr&gt;=0 (+)","Gr&gt;=0 (-)"),"mixed"))</f>
        <v>Gr&gt;=0 (+)</v>
      </c>
      <c r="F13" s="8" t="n">
        <v>1</v>
      </c>
      <c r="G13" s="8" t="n">
        <v>0</v>
      </c>
      <c r="H13" s="6" t="str">
        <f aca="false">IF(F13+G13=0,"rank&lt;4",IF(MIN(F13,G13)=0,IF(F13&gt;0,"Gr&gt;=0 (+)","Gr&gt;=0 (-)"),"mixed"))</f>
        <v>Gr&gt;=0 (+)</v>
      </c>
      <c r="I13" s="8" t="n">
        <v>4</v>
      </c>
      <c r="J13" s="8" t="n">
        <v>11</v>
      </c>
      <c r="K13" s="6" t="str">
        <f aca="false">IF(I13+J13=0,"rank&lt;4",IF(MIN(I13,J13)=0,IF(I13&gt;0,"Gr&gt;=0 (+)","Gr&gt;=0 (-)"),"mixed"))</f>
        <v>mixed</v>
      </c>
      <c r="L13" s="8" t="n">
        <v>65</v>
      </c>
      <c r="M13" s="8" t="n">
        <v>61</v>
      </c>
      <c r="N13" s="6" t="str">
        <f aca="false">IF(L13+M13=0,"rank&lt;4",IF(MIN(L13,M13)=0,IF(L13&gt;0,"Gr&gt;=0 (+)","Gr&gt;=0 (-)"),"mixed"))</f>
        <v>mixed</v>
      </c>
      <c r="O13" s="8" t="n">
        <v>153</v>
      </c>
      <c r="P13" s="8" t="n">
        <v>177</v>
      </c>
      <c r="Q13" s="6" t="str">
        <f aca="false">IF(O13+P13=0,"rank&lt;4",IF(MIN(O13,P13)=0,IF(O13&gt;0,"Gr&gt;=0 (+)","Gr&gt;=0 (-)"),"mixed"))</f>
        <v>mixed</v>
      </c>
    </row>
    <row r="14" customFormat="false" ht="15" hidden="false" customHeight="true" outlineLevel="0" collapsed="false">
      <c r="A14" s="6" t="n">
        <v>11</v>
      </c>
      <c r="B14" s="6" t="s">
        <v>78</v>
      </c>
      <c r="C14" s="8" t="n">
        <v>3</v>
      </c>
      <c r="D14" s="8" t="n">
        <v>6</v>
      </c>
      <c r="E14" s="6" t="str">
        <f aca="false">IF(C14+D14=0,"rank&lt;4",IF(MIN(C14,D14)=0,IF(C14&gt;0,"Gr&gt;=0 (+)","Gr&gt;=0 (-)"),"mixed"))</f>
        <v>mixed</v>
      </c>
      <c r="F14" s="8" t="n">
        <v>4</v>
      </c>
      <c r="G14" s="8" t="n">
        <v>5</v>
      </c>
      <c r="H14" s="6" t="str">
        <f aca="false">IF(F14+G14=0,"rank&lt;4",IF(MIN(F14,G14)=0,IF(F14&gt;0,"Gr&gt;=0 (+)","Gr&gt;=0 (-)"),"mixed"))</f>
        <v>mixed</v>
      </c>
      <c r="I14" s="8" t="n">
        <v>6</v>
      </c>
      <c r="J14" s="8" t="n">
        <v>9</v>
      </c>
      <c r="K14" s="6" t="str">
        <f aca="false">IF(I14+J14=0,"rank&lt;4",IF(MIN(I14,J14)=0,IF(I14&gt;0,"Gr&gt;=0 (+)","Gr&gt;=0 (-)"),"mixed"))</f>
        <v>mixed</v>
      </c>
      <c r="L14" s="8" t="n">
        <v>139</v>
      </c>
      <c r="M14" s="8" t="n">
        <v>155</v>
      </c>
      <c r="N14" s="6" t="str">
        <f aca="false">IF(L14+M14=0,"rank&lt;4",IF(MIN(L14,M14)=0,IF(L14&gt;0,"Gr&gt;=0 (+)","Gr&gt;=0 (-)"),"mixed"))</f>
        <v>mixed</v>
      </c>
      <c r="O14" s="8" t="n">
        <v>147</v>
      </c>
      <c r="P14" s="8" t="n">
        <v>183</v>
      </c>
      <c r="Q14" s="6" t="str">
        <f aca="false">IF(O14+P14=0,"rank&lt;4",IF(MIN(O14,P14)=0,IF(O14&gt;0,"Gr&gt;=0 (+)","Gr&gt;=0 (-)"),"mixed"))</f>
        <v>mixed</v>
      </c>
    </row>
    <row r="15" customFormat="false" ht="15" hidden="false" customHeight="true" outlineLevel="0" collapsed="false">
      <c r="A15" s="6" t="n">
        <v>12</v>
      </c>
      <c r="B15" s="6" t="s">
        <v>79</v>
      </c>
      <c r="C15" s="8" t="n">
        <v>0</v>
      </c>
      <c r="D15" s="8" t="n">
        <v>0</v>
      </c>
      <c r="E15" s="6" t="str">
        <f aca="false">IF(C15+D15=0,"rank&lt;4",IF(MIN(C15,D15)=0,IF(C15&gt;0,"Gr&gt;=0 (+)","Gr&gt;=0 (-)"),"mixed"))</f>
        <v>rank&lt;4</v>
      </c>
      <c r="F15" s="8" t="n">
        <v>0</v>
      </c>
      <c r="G15" s="8" t="n">
        <v>0</v>
      </c>
      <c r="H15" s="6" t="str">
        <f aca="false">IF(F15+G15=0,"rank&lt;4",IF(MIN(F15,G15)=0,IF(F15&gt;0,"Gr&gt;=0 (+)","Gr&gt;=0 (-)"),"mixed"))</f>
        <v>rank&lt;4</v>
      </c>
      <c r="I15" s="8" t="n">
        <v>7</v>
      </c>
      <c r="J15" s="8" t="n">
        <v>8</v>
      </c>
      <c r="K15" s="6" t="str">
        <f aca="false">IF(I15+J15=0,"rank&lt;4",IF(MIN(I15,J15)=0,IF(I15&gt;0,"Gr&gt;=0 (+)","Gr&gt;=0 (-)"),"mixed"))</f>
        <v>mixed</v>
      </c>
      <c r="L15" s="8" t="n">
        <v>53</v>
      </c>
      <c r="M15" s="8" t="n">
        <v>52</v>
      </c>
      <c r="N15" s="6" t="str">
        <f aca="false">IF(L15+M15=0,"rank&lt;4",IF(MIN(L15,M15)=0,IF(L15&gt;0,"Gr&gt;=0 (+)","Gr&gt;=0 (-)"),"mixed"))</f>
        <v>mixed</v>
      </c>
      <c r="O15" s="8" t="n">
        <v>176</v>
      </c>
      <c r="P15" s="8" t="n">
        <v>154</v>
      </c>
      <c r="Q15" s="6" t="str">
        <f aca="false">IF(O15+P15=0,"rank&lt;4",IF(MIN(O15,P15)=0,IF(O15&gt;0,"Gr&gt;=0 (+)","Gr&gt;=0 (-)"),"mixed"))</f>
        <v>mixed</v>
      </c>
    </row>
    <row r="16" customFormat="false" ht="15" hidden="false" customHeight="true" outlineLevel="0" collapsed="false">
      <c r="A16" s="6" t="n">
        <v>13</v>
      </c>
      <c r="B16" s="6" t="s">
        <v>80</v>
      </c>
      <c r="C16" s="8" t="n">
        <v>0</v>
      </c>
      <c r="D16" s="8" t="n">
        <v>0</v>
      </c>
      <c r="E16" s="6" t="str">
        <f aca="false">IF(C16+D16=0,"rank&lt;4",IF(MIN(C16,D16)=0,IF(C16&gt;0,"Gr&gt;=0 (+)","Gr&gt;=0 (-)"),"mixed"))</f>
        <v>rank&lt;4</v>
      </c>
      <c r="F16" s="8" t="n">
        <v>0</v>
      </c>
      <c r="G16" s="8" t="n">
        <v>0</v>
      </c>
      <c r="H16" s="6" t="str">
        <f aca="false">IF(F16+G16=0,"rank&lt;4",IF(MIN(F16,G16)=0,IF(F16&gt;0,"Gr&gt;=0 (+)","Gr&gt;=0 (-)"),"mixed"))</f>
        <v>rank&lt;4</v>
      </c>
      <c r="I16" s="8" t="n">
        <v>8</v>
      </c>
      <c r="J16" s="8" t="n">
        <v>7</v>
      </c>
      <c r="K16" s="6" t="str">
        <f aca="false">IF(I16+J16=0,"rank&lt;4",IF(MIN(I16,J16)=0,IF(I16&gt;0,"Gr&gt;=0 (+)","Gr&gt;=0 (-)"),"mixed"))</f>
        <v>mixed</v>
      </c>
      <c r="L16" s="8" t="n">
        <v>45</v>
      </c>
      <c r="M16" s="8" t="n">
        <v>60</v>
      </c>
      <c r="N16" s="6" t="str">
        <f aca="false">IF(L16+M16=0,"rank&lt;4",IF(MIN(L16,M16)=0,IF(L16&gt;0,"Gr&gt;=0 (+)","Gr&gt;=0 (-)"),"mixed"))</f>
        <v>mixed</v>
      </c>
      <c r="O16" s="8" t="n">
        <v>176</v>
      </c>
      <c r="P16" s="8" t="n">
        <v>154</v>
      </c>
      <c r="Q16" s="6" t="str">
        <f aca="false">IF(O16+P16=0,"rank&lt;4",IF(MIN(O16,P16)=0,IF(O16&gt;0,"Gr&gt;=0 (+)","Gr&gt;=0 (-)"),"mixed"))</f>
        <v>mixed</v>
      </c>
    </row>
    <row r="17" customFormat="false" ht="15" hidden="false" customHeight="true" outlineLevel="0" collapsed="false">
      <c r="A17" s="6" t="n">
        <v>14</v>
      </c>
      <c r="B17" s="6" t="s">
        <v>81</v>
      </c>
      <c r="C17" s="8" t="n">
        <v>0</v>
      </c>
      <c r="D17" s="8" t="n">
        <v>0</v>
      </c>
      <c r="E17" s="6" t="str">
        <f aca="false">IF(C17+D17=0,"rank&lt;4",IF(MIN(C17,D17)=0,IF(C17&gt;0,"Gr&gt;=0 (+)","Gr&gt;=0 (-)"),"mixed"))</f>
        <v>rank&lt;4</v>
      </c>
      <c r="F17" s="8" t="n">
        <v>0</v>
      </c>
      <c r="G17" s="8" t="n">
        <v>0</v>
      </c>
      <c r="H17" s="6" t="str">
        <f aca="false">IF(F17+G17=0,"rank&lt;4",IF(MIN(F17,G17)=0,IF(F17&gt;0,"Gr&gt;=0 (+)","Gr&gt;=0 (-)"),"mixed"))</f>
        <v>rank&lt;4</v>
      </c>
      <c r="I17" s="8" t="n">
        <v>3</v>
      </c>
      <c r="J17" s="8" t="n">
        <v>12</v>
      </c>
      <c r="K17" s="6" t="str">
        <f aca="false">IF(I17+J17=0,"rank&lt;4",IF(MIN(I17,J17)=0,IF(I17&gt;0,"Gr&gt;=0 (+)","Gr&gt;=0 (-)"),"mixed"))</f>
        <v>mixed</v>
      </c>
      <c r="L17" s="8" t="n">
        <v>50</v>
      </c>
      <c r="M17" s="8" t="n">
        <v>55</v>
      </c>
      <c r="N17" s="6" t="str">
        <f aca="false">IF(L17+M17=0,"rank&lt;4",IF(MIN(L17,M17)=0,IF(L17&gt;0,"Gr&gt;=0 (+)","Gr&gt;=0 (-)"),"mixed"))</f>
        <v>mixed</v>
      </c>
      <c r="O17" s="8" t="n">
        <v>168</v>
      </c>
      <c r="P17" s="8" t="n">
        <v>162</v>
      </c>
      <c r="Q17" s="6" t="str">
        <f aca="false">IF(O17+P17=0,"rank&lt;4",IF(MIN(O17,P17)=0,IF(O17&gt;0,"Gr&gt;=0 (+)","Gr&gt;=0 (-)"),"mixed"))</f>
        <v>mixed</v>
      </c>
    </row>
    <row r="18" customFormat="false" ht="15" hidden="false" customHeight="true" outlineLevel="0" collapsed="false">
      <c r="A18" s="6" t="n">
        <v>15</v>
      </c>
      <c r="B18" s="6" t="s">
        <v>82</v>
      </c>
      <c r="C18" s="8" t="n">
        <v>0</v>
      </c>
      <c r="D18" s="8" t="n">
        <v>4</v>
      </c>
      <c r="E18" s="6" t="str">
        <f aca="false">IF(C18+D18=0,"rank&lt;4",IF(MIN(C18,D18)=0,IF(C18&gt;0,"Gr&gt;=0 (+)","Gr&gt;=0 (-)"),"mixed"))</f>
        <v>Gr&gt;=0 (-)</v>
      </c>
      <c r="F18" s="8" t="n">
        <v>1</v>
      </c>
      <c r="G18" s="8" t="n">
        <v>4</v>
      </c>
      <c r="H18" s="6" t="str">
        <f aca="false">IF(F18+G18=0,"rank&lt;4",IF(MIN(F18,G18)=0,IF(F18&gt;0,"Gr&gt;=0 (+)","Gr&gt;=0 (-)"),"mixed"))</f>
        <v>mixed</v>
      </c>
      <c r="I18" s="8" t="n">
        <v>4</v>
      </c>
      <c r="J18" s="8" t="n">
        <v>11</v>
      </c>
      <c r="K18" s="6" t="str">
        <f aca="false">IF(I18+J18=0,"rank&lt;4",IF(MIN(I18,J18)=0,IF(I18&gt;0,"Gr&gt;=0 (+)","Gr&gt;=0 (-)"),"mixed"))</f>
        <v>mixed</v>
      </c>
      <c r="L18" s="8" t="n">
        <v>136</v>
      </c>
      <c r="M18" s="8" t="n">
        <v>144</v>
      </c>
      <c r="N18" s="6" t="str">
        <f aca="false">IF(L18+M18=0,"rank&lt;4",IF(MIN(L18,M18)=0,IF(L18&gt;0,"Gr&gt;=0 (+)","Gr&gt;=0 (-)"),"mixed"))</f>
        <v>mixed</v>
      </c>
      <c r="O18" s="8" t="n">
        <v>149</v>
      </c>
      <c r="P18" s="8" t="n">
        <v>181</v>
      </c>
      <c r="Q18" s="6" t="str">
        <f aca="false">IF(O18+P18=0,"rank&lt;4",IF(MIN(O18,P18)=0,IF(O18&gt;0,"Gr&gt;=0 (+)","Gr&gt;=0 (-)"),"mixed"))</f>
        <v>mixed</v>
      </c>
    </row>
    <row r="19" customFormat="false" ht="15" hidden="false" customHeight="true" outlineLevel="0" collapsed="false">
      <c r="A19" s="6" t="n">
        <v>16</v>
      </c>
      <c r="B19" s="6" t="s">
        <v>83</v>
      </c>
      <c r="C19" s="8" t="n">
        <v>0</v>
      </c>
      <c r="D19" s="8" t="n">
        <v>0</v>
      </c>
      <c r="E19" s="6" t="str">
        <f aca="false">IF(C19+D19=0,"rank&lt;4",IF(MIN(C19,D19)=0,IF(C19&gt;0,"Gr&gt;=0 (+)","Gr&gt;=0 (-)"),"mixed"))</f>
        <v>rank&lt;4</v>
      </c>
      <c r="F19" s="8" t="n">
        <v>0</v>
      </c>
      <c r="G19" s="8" t="n">
        <v>0</v>
      </c>
      <c r="H19" s="6" t="str">
        <f aca="false">IF(F19+G19=0,"rank&lt;4",IF(MIN(F19,G19)=0,IF(F19&gt;0,"Gr&gt;=0 (+)","Gr&gt;=0 (-)"),"mixed"))</f>
        <v>rank&lt;4</v>
      </c>
      <c r="I19" s="8" t="n">
        <v>8</v>
      </c>
      <c r="J19" s="8" t="n">
        <v>7</v>
      </c>
      <c r="K19" s="6" t="str">
        <f aca="false">IF(I19+J19=0,"rank&lt;4",IF(MIN(I19,J19)=0,IF(I19&gt;0,"Gr&gt;=0 (+)","Gr&gt;=0 (-)"),"mixed"))</f>
        <v>mixed</v>
      </c>
      <c r="L19" s="8" t="n">
        <v>49</v>
      </c>
      <c r="M19" s="8" t="n">
        <v>56</v>
      </c>
      <c r="N19" s="6" t="str">
        <f aca="false">IF(L19+M19=0,"rank&lt;4",IF(MIN(L19,M19)=0,IF(L19&gt;0,"Gr&gt;=0 (+)","Gr&gt;=0 (-)"),"mixed"))</f>
        <v>mixed</v>
      </c>
      <c r="O19" s="8" t="n">
        <v>176</v>
      </c>
      <c r="P19" s="8" t="n">
        <v>154</v>
      </c>
      <c r="Q19" s="6" t="str">
        <f aca="false">IF(O19+P19=0,"rank&lt;4",IF(MIN(O19,P19)=0,IF(O19&gt;0,"Gr&gt;=0 (+)","Gr&gt;=0 (-)"),"mixed"))</f>
        <v>mixed</v>
      </c>
    </row>
    <row r="20" customFormat="false" ht="15" hidden="false" customHeight="true" outlineLevel="0" collapsed="false">
      <c r="A20" s="6" t="n">
        <v>17</v>
      </c>
      <c r="B20" s="6" t="s">
        <v>84</v>
      </c>
      <c r="C20" s="8" t="n">
        <v>0</v>
      </c>
      <c r="D20" s="8" t="n">
        <v>0</v>
      </c>
      <c r="E20" s="6" t="str">
        <f aca="false">IF(C20+D20=0,"rank&lt;4",IF(MIN(C20,D20)=0,IF(C20&gt;0,"Gr&gt;=0 (+)","Gr&gt;=0 (-)"),"mixed"))</f>
        <v>rank&lt;4</v>
      </c>
      <c r="F20" s="8" t="n">
        <v>0</v>
      </c>
      <c r="G20" s="8" t="n">
        <v>0</v>
      </c>
      <c r="H20" s="6" t="str">
        <f aca="false">IF(F20+G20=0,"rank&lt;4",IF(MIN(F20,G20)=0,IF(F20&gt;0,"Gr&gt;=0 (+)","Gr&gt;=0 (-)"),"mixed"))</f>
        <v>rank&lt;4</v>
      </c>
      <c r="I20" s="8" t="n">
        <v>6</v>
      </c>
      <c r="J20" s="8" t="n">
        <v>9</v>
      </c>
      <c r="K20" s="6" t="str">
        <f aca="false">IF(I20+J20=0,"rank&lt;4",IF(MIN(I20,J20)=0,IF(I20&gt;0,"Gr&gt;=0 (+)","Gr&gt;=0 (-)"),"mixed"))</f>
        <v>mixed</v>
      </c>
      <c r="L20" s="8" t="n">
        <v>44</v>
      </c>
      <c r="M20" s="8" t="n">
        <v>61</v>
      </c>
      <c r="N20" s="6" t="str">
        <f aca="false">IF(L20+M20=0,"rank&lt;4",IF(MIN(L20,M20)=0,IF(L20&gt;0,"Gr&gt;=0 (+)","Gr&gt;=0 (-)"),"mixed"))</f>
        <v>mixed</v>
      </c>
      <c r="O20" s="8" t="n">
        <v>151</v>
      </c>
      <c r="P20" s="8" t="n">
        <v>179</v>
      </c>
      <c r="Q20" s="6" t="str">
        <f aca="false">IF(O20+P20=0,"rank&lt;4",IF(MIN(O20,P20)=0,IF(O20&gt;0,"Gr&gt;=0 (+)","Gr&gt;=0 (-)"),"mixed"))</f>
        <v>mixed</v>
      </c>
    </row>
    <row r="21" customFormat="false" ht="15" hidden="false" customHeight="true" outlineLevel="0" collapsed="false">
      <c r="A21" s="6" t="n">
        <v>18</v>
      </c>
      <c r="B21" s="6" t="s">
        <v>85</v>
      </c>
      <c r="C21" s="8" t="n">
        <v>4</v>
      </c>
      <c r="D21" s="8" t="n">
        <v>0</v>
      </c>
      <c r="E21" s="6" t="str">
        <f aca="false">IF(C21+D21=0,"rank&lt;4",IF(MIN(C21,D21)=0,IF(C21&gt;0,"Gr&gt;=0 (+)","Gr&gt;=0 (-)"),"mixed"))</f>
        <v>Gr&gt;=0 (+)</v>
      </c>
      <c r="F21" s="8" t="n">
        <v>4</v>
      </c>
      <c r="G21" s="8" t="n">
        <v>1</v>
      </c>
      <c r="H21" s="6" t="str">
        <f aca="false">IF(F21+G21=0,"rank&lt;4",IF(MIN(F21,G21)=0,IF(F21&gt;0,"Gr&gt;=0 (+)","Gr&gt;=0 (-)"),"mixed"))</f>
        <v>mixed</v>
      </c>
      <c r="I21" s="8" t="n">
        <v>8</v>
      </c>
      <c r="J21" s="8" t="n">
        <v>7</v>
      </c>
      <c r="K21" s="6" t="str">
        <f aca="false">IF(I21+J21=0,"rank&lt;4",IF(MIN(I21,J21)=0,IF(I21&gt;0,"Gr&gt;=0 (+)","Gr&gt;=0 (-)"),"mixed"))</f>
        <v>mixed</v>
      </c>
      <c r="L21" s="8" t="n">
        <v>128</v>
      </c>
      <c r="M21" s="8" t="n">
        <v>152</v>
      </c>
      <c r="N21" s="6" t="str">
        <f aca="false">IF(L21+M21=0,"rank&lt;4",IF(MIN(L21,M21)=0,IF(L21&gt;0,"Gr&gt;=0 (+)","Gr&gt;=0 (-)"),"mixed"))</f>
        <v>mixed</v>
      </c>
      <c r="O21" s="8" t="n">
        <v>151</v>
      </c>
      <c r="P21" s="8" t="n">
        <v>179</v>
      </c>
      <c r="Q21" s="6" t="str">
        <f aca="false">IF(O21+P21=0,"rank&lt;4",IF(MIN(O21,P21)=0,IF(O21&gt;0,"Gr&gt;=0 (+)","Gr&gt;=0 (-)"),"mixed"))</f>
        <v>mixed</v>
      </c>
    </row>
    <row r="22" customFormat="false" ht="15" hidden="false" customHeight="true" outlineLevel="0" collapsed="false">
      <c r="A22" s="6" t="n">
        <v>19</v>
      </c>
      <c r="B22" s="6" t="s">
        <v>86</v>
      </c>
      <c r="C22" s="8" t="n">
        <v>0</v>
      </c>
      <c r="D22" s="8" t="n">
        <v>0</v>
      </c>
      <c r="E22" s="6" t="str">
        <f aca="false">IF(C22+D22=0,"rank&lt;4",IF(MIN(C22,D22)=0,IF(C22&gt;0,"Gr&gt;=0 (+)","Gr&gt;=0 (-)"),"mixed"))</f>
        <v>rank&lt;4</v>
      </c>
      <c r="F22" s="8" t="n">
        <v>0</v>
      </c>
      <c r="G22" s="8" t="n">
        <v>0</v>
      </c>
      <c r="H22" s="6" t="str">
        <f aca="false">IF(F22+G22=0,"rank&lt;4",IF(MIN(F22,G22)=0,IF(F22&gt;0,"Gr&gt;=0 (+)","Gr&gt;=0 (-)"),"mixed"))</f>
        <v>rank&lt;4</v>
      </c>
      <c r="I22" s="8" t="n">
        <v>6</v>
      </c>
      <c r="J22" s="8" t="n">
        <v>9</v>
      </c>
      <c r="K22" s="6" t="str">
        <f aca="false">IF(I22+J22=0,"rank&lt;4",IF(MIN(I22,J22)=0,IF(I22&gt;0,"Gr&gt;=0 (+)","Gr&gt;=0 (-)"),"mixed"))</f>
        <v>mixed</v>
      </c>
      <c r="L22" s="8" t="n">
        <v>58</v>
      </c>
      <c r="M22" s="8" t="n">
        <v>47</v>
      </c>
      <c r="N22" s="6" t="str">
        <f aca="false">IF(L22+M22=0,"rank&lt;4",IF(MIN(L22,M22)=0,IF(L22&gt;0,"Gr&gt;=0 (+)","Gr&gt;=0 (-)"),"mixed"))</f>
        <v>mixed</v>
      </c>
      <c r="O22" s="8" t="n">
        <v>152</v>
      </c>
      <c r="P22" s="8" t="n">
        <v>178</v>
      </c>
      <c r="Q22" s="6" t="str">
        <f aca="false">IF(O22+P22=0,"rank&lt;4",IF(MIN(O22,P22)=0,IF(O22&gt;0,"Gr&gt;=0 (+)","Gr&gt;=0 (-)"),"mixed"))</f>
        <v>mixed</v>
      </c>
    </row>
    <row r="23" customFormat="false" ht="15" hidden="false" customHeight="true" outlineLevel="0" collapsed="false">
      <c r="A23" s="6" t="n">
        <v>20</v>
      </c>
      <c r="B23" s="6" t="s">
        <v>87</v>
      </c>
      <c r="C23" s="8" t="n">
        <v>0</v>
      </c>
      <c r="D23" s="8" t="n">
        <v>4</v>
      </c>
      <c r="E23" s="6" t="str">
        <f aca="false">IF(C23+D23=0,"rank&lt;4",IF(MIN(C23,D23)=0,IF(C23&gt;0,"Gr&gt;=0 (+)","Gr&gt;=0 (-)"),"mixed"))</f>
        <v>Gr&gt;=0 (-)</v>
      </c>
      <c r="F23" s="8" t="n">
        <v>1</v>
      </c>
      <c r="G23" s="8" t="n">
        <v>4</v>
      </c>
      <c r="H23" s="6" t="str">
        <f aca="false">IF(F23+G23=0,"rank&lt;4",IF(MIN(F23,G23)=0,IF(F23&gt;0,"Gr&gt;=0 (+)","Gr&gt;=0 (-)"),"mixed"))</f>
        <v>mixed</v>
      </c>
      <c r="I23" s="8" t="n">
        <v>6</v>
      </c>
      <c r="J23" s="8" t="n">
        <v>9</v>
      </c>
      <c r="K23" s="6" t="str">
        <f aca="false">IF(I23+J23=0,"rank&lt;4",IF(MIN(I23,J23)=0,IF(I23&gt;0,"Gr&gt;=0 (+)","Gr&gt;=0 (-)"),"mixed"))</f>
        <v>mixed</v>
      </c>
      <c r="L23" s="8" t="n">
        <v>137</v>
      </c>
      <c r="M23" s="8" t="n">
        <v>143</v>
      </c>
      <c r="N23" s="6" t="str">
        <f aca="false">IF(L23+M23=0,"rank&lt;4",IF(MIN(L23,M23)=0,IF(L23&gt;0,"Gr&gt;=0 (+)","Gr&gt;=0 (-)"),"mixed"))</f>
        <v>mixed</v>
      </c>
      <c r="O23" s="8" t="n">
        <v>152</v>
      </c>
      <c r="P23" s="8" t="n">
        <v>178</v>
      </c>
      <c r="Q23" s="6" t="str">
        <f aca="false">IF(O23+P23=0,"rank&lt;4",IF(MIN(O23,P23)=0,IF(O23&gt;0,"Gr&gt;=0 (+)","Gr&gt;=0 (-)"),"mixed"))</f>
        <v>mixed</v>
      </c>
    </row>
    <row r="24" customFormat="false" ht="15" hidden="false" customHeight="true" outlineLevel="0" collapsed="false">
      <c r="A24" s="6" t="n">
        <v>21</v>
      </c>
      <c r="B24" s="6" t="s">
        <v>88</v>
      </c>
      <c r="C24" s="8" t="n">
        <v>4</v>
      </c>
      <c r="D24" s="8" t="n">
        <v>0</v>
      </c>
      <c r="E24" s="6" t="str">
        <f aca="false">IF(C24+D24=0,"rank&lt;4",IF(MIN(C24,D24)=0,IF(C24&gt;0,"Gr&gt;=0 (+)","Gr&gt;=0 (-)"),"mixed"))</f>
        <v>Gr&gt;=0 (+)</v>
      </c>
      <c r="F24" s="8" t="n">
        <v>4</v>
      </c>
      <c r="G24" s="8" t="n">
        <v>1</v>
      </c>
      <c r="H24" s="6" t="str">
        <f aca="false">IF(F24+G24=0,"rank&lt;4",IF(MIN(F24,G24)=0,IF(F24&gt;0,"Gr&gt;=0 (+)","Gr&gt;=0 (-)"),"mixed"))</f>
        <v>mixed</v>
      </c>
      <c r="I24" s="8" t="n">
        <v>12</v>
      </c>
      <c r="J24" s="8" t="n">
        <v>3</v>
      </c>
      <c r="K24" s="6" t="str">
        <f aca="false">IF(I24+J24=0,"rank&lt;4",IF(MIN(I24,J24)=0,IF(I24&gt;0,"Gr&gt;=0 (+)","Gr&gt;=0 (-)"),"mixed"))</f>
        <v>mixed</v>
      </c>
      <c r="L24" s="8" t="n">
        <v>131</v>
      </c>
      <c r="M24" s="8" t="n">
        <v>149</v>
      </c>
      <c r="N24" s="6" t="str">
        <f aca="false">IF(L24+M24=0,"rank&lt;4",IF(MIN(L24,M24)=0,IF(L24&gt;0,"Gr&gt;=0 (+)","Gr&gt;=0 (-)"),"mixed"))</f>
        <v>mixed</v>
      </c>
      <c r="O24" s="8" t="n">
        <v>166</v>
      </c>
      <c r="P24" s="8" t="n">
        <v>164</v>
      </c>
      <c r="Q24" s="6" t="str">
        <f aca="false">IF(O24+P24=0,"rank&lt;4",IF(MIN(O24,P24)=0,IF(O24&gt;0,"Gr&gt;=0 (+)","Gr&gt;=0 (-)"),"mixed"))</f>
        <v>mixed</v>
      </c>
    </row>
    <row r="25" customFormat="false" ht="15" hidden="false" customHeight="true" outlineLevel="0" collapsed="false">
      <c r="A25" s="6" t="n">
        <v>22</v>
      </c>
      <c r="B25" s="6" t="s">
        <v>89</v>
      </c>
      <c r="C25" s="8" t="n">
        <v>0</v>
      </c>
      <c r="D25" s="8" t="n">
        <v>0</v>
      </c>
      <c r="E25" s="6" t="str">
        <f aca="false">IF(C25+D25=0,"rank&lt;4",IF(MIN(C25,D25)=0,IF(C25&gt;0,"Gr&gt;=0 (+)","Gr&gt;=0 (-)"),"mixed"))</f>
        <v>rank&lt;4</v>
      </c>
      <c r="F25" s="8" t="n">
        <v>0</v>
      </c>
      <c r="G25" s="8" t="n">
        <v>0</v>
      </c>
      <c r="H25" s="6" t="str">
        <f aca="false">IF(F25+G25=0,"rank&lt;4",IF(MIN(F25,G25)=0,IF(F25&gt;0,"Gr&gt;=0 (+)","Gr&gt;=0 (-)"),"mixed"))</f>
        <v>rank&lt;4</v>
      </c>
      <c r="I25" s="8" t="n">
        <v>10</v>
      </c>
      <c r="J25" s="8" t="n">
        <v>5</v>
      </c>
      <c r="K25" s="6" t="str">
        <f aca="false">IF(I25+J25=0,"rank&lt;4",IF(MIN(I25,J25)=0,IF(I25&gt;0,"Gr&gt;=0 (+)","Gr&gt;=0 (-)"),"mixed"))</f>
        <v>mixed</v>
      </c>
      <c r="L25" s="8" t="n">
        <v>32</v>
      </c>
      <c r="M25" s="8" t="n">
        <v>38</v>
      </c>
      <c r="N25" s="6" t="str">
        <f aca="false">IF(L25+M25=0,"rank&lt;4",IF(MIN(L25,M25)=0,IF(L25&gt;0,"Gr&gt;=0 (+)","Gr&gt;=0 (-)"),"mixed"))</f>
        <v>mixed</v>
      </c>
      <c r="O25" s="8" t="n">
        <v>176</v>
      </c>
      <c r="P25" s="8" t="n">
        <v>154</v>
      </c>
      <c r="Q25" s="6" t="str">
        <f aca="false">IF(O25+P25=0,"rank&lt;4",IF(MIN(O25,P25)=0,IF(O25&gt;0,"Gr&gt;=0 (+)","Gr&gt;=0 (-)"),"mixed"))</f>
        <v>mixed</v>
      </c>
    </row>
    <row r="26" customFormat="false" ht="15" hidden="false" customHeight="true" outlineLevel="0" collapsed="false">
      <c r="A26" s="6" t="n">
        <v>23</v>
      </c>
      <c r="B26" s="6" t="s">
        <v>90</v>
      </c>
      <c r="C26" s="8" t="n">
        <v>1</v>
      </c>
      <c r="D26" s="8" t="n">
        <v>0</v>
      </c>
      <c r="E26" s="6" t="str">
        <f aca="false">IF(C26+D26=0,"rank&lt;4",IF(MIN(C26,D26)=0,IF(C26&gt;0,"Gr&gt;=0 (+)","Gr&gt;=0 (-)"),"mixed"))</f>
        <v>Gr&gt;=0 (+)</v>
      </c>
      <c r="F26" s="8" t="n">
        <v>1</v>
      </c>
      <c r="G26" s="8" t="n">
        <v>0</v>
      </c>
      <c r="H26" s="6" t="str">
        <f aca="false">IF(F26+G26=0,"rank&lt;4",IF(MIN(F26,G26)=0,IF(F26&gt;0,"Gr&gt;=0 (+)","Gr&gt;=0 (-)"),"mixed"))</f>
        <v>Gr&gt;=0 (+)</v>
      </c>
      <c r="I26" s="8" t="n">
        <v>7</v>
      </c>
      <c r="J26" s="8" t="n">
        <v>8</v>
      </c>
      <c r="K26" s="6" t="str">
        <f aca="false">IF(I26+J26=0,"rank&lt;4",IF(MIN(I26,J26)=0,IF(I26&gt;0,"Gr&gt;=0 (+)","Gr&gt;=0 (-)"),"mixed"))</f>
        <v>mixed</v>
      </c>
      <c r="L26" s="8" t="n">
        <v>62</v>
      </c>
      <c r="M26" s="8" t="n">
        <v>64</v>
      </c>
      <c r="N26" s="6" t="str">
        <f aca="false">IF(L26+M26=0,"rank&lt;4",IF(MIN(L26,M26)=0,IF(L26&gt;0,"Gr&gt;=0 (+)","Gr&gt;=0 (-)"),"mixed"))</f>
        <v>mixed</v>
      </c>
      <c r="O26" s="8" t="n">
        <v>174</v>
      </c>
      <c r="P26" s="8" t="n">
        <v>156</v>
      </c>
      <c r="Q26" s="6" t="str">
        <f aca="false">IF(O26+P26=0,"rank&lt;4",IF(MIN(O26,P26)=0,IF(O26&gt;0,"Gr&gt;=0 (+)","Gr&gt;=0 (-)"),"mixed"))</f>
        <v>mixed</v>
      </c>
    </row>
    <row r="27" customFormat="false" ht="15" hidden="false" customHeight="true" outlineLevel="0" collapsed="false">
      <c r="A27" s="6" t="n">
        <v>24</v>
      </c>
      <c r="B27" s="6" t="s">
        <v>91</v>
      </c>
      <c r="C27" s="8" t="n">
        <v>0</v>
      </c>
      <c r="D27" s="8" t="n">
        <v>0</v>
      </c>
      <c r="E27" s="6" t="str">
        <f aca="false">IF(C27+D27=0,"rank&lt;4",IF(MIN(C27,D27)=0,IF(C27&gt;0,"Gr&gt;=0 (+)","Gr&gt;=0 (-)"),"mixed"))</f>
        <v>rank&lt;4</v>
      </c>
      <c r="F27" s="8" t="n">
        <v>0</v>
      </c>
      <c r="G27" s="8" t="n">
        <v>0</v>
      </c>
      <c r="H27" s="6" t="str">
        <f aca="false">IF(F27+G27=0,"rank&lt;4",IF(MIN(F27,G27)=0,IF(F27&gt;0,"Gr&gt;=0 (+)","Gr&gt;=0 (-)"),"mixed"))</f>
        <v>rank&lt;4</v>
      </c>
      <c r="I27" s="8" t="n">
        <v>6</v>
      </c>
      <c r="J27" s="8" t="n">
        <v>9</v>
      </c>
      <c r="K27" s="6" t="str">
        <f aca="false">IF(I27+J27=0,"rank&lt;4",IF(MIN(I27,J27)=0,IF(I27&gt;0,"Gr&gt;=0 (+)","Gr&gt;=0 (-)"),"mixed"))</f>
        <v>mixed</v>
      </c>
      <c r="L27" s="8" t="n">
        <v>34</v>
      </c>
      <c r="M27" s="8" t="n">
        <v>36</v>
      </c>
      <c r="N27" s="6" t="str">
        <f aca="false">IF(L27+M27=0,"rank&lt;4",IF(MIN(L27,M27)=0,IF(L27&gt;0,"Gr&gt;=0 (+)","Gr&gt;=0 (-)"),"mixed"))</f>
        <v>mixed</v>
      </c>
      <c r="O27" s="8" t="n">
        <v>164</v>
      </c>
      <c r="P27" s="8" t="n">
        <v>166</v>
      </c>
      <c r="Q27" s="6" t="str">
        <f aca="false">IF(O27+P27=0,"rank&lt;4",IF(MIN(O27,P27)=0,IF(O27&gt;0,"Gr&gt;=0 (+)","Gr&gt;=0 (-)"),"mixed"))</f>
        <v>mixed</v>
      </c>
    </row>
    <row r="28" customFormat="false" ht="15" hidden="false" customHeight="true" outlineLevel="0" collapsed="false">
      <c r="A28" s="6" t="n">
        <v>25</v>
      </c>
      <c r="B28" s="6" t="s">
        <v>92</v>
      </c>
      <c r="C28" s="8" t="n">
        <v>1</v>
      </c>
      <c r="D28" s="8" t="n">
        <v>0</v>
      </c>
      <c r="E28" s="6" t="str">
        <f aca="false">IF(C28+D28=0,"rank&lt;4",IF(MIN(C28,D28)=0,IF(C28&gt;0,"Gr&gt;=0 (+)","Gr&gt;=0 (-)"),"mixed"))</f>
        <v>Gr&gt;=0 (+)</v>
      </c>
      <c r="F28" s="8" t="n">
        <v>1</v>
      </c>
      <c r="G28" s="8" t="n">
        <v>0</v>
      </c>
      <c r="H28" s="6" t="str">
        <f aca="false">IF(F28+G28=0,"rank&lt;4",IF(MIN(F28,G28)=0,IF(F28&gt;0,"Gr&gt;=0 (+)","Gr&gt;=0 (-)"),"mixed"))</f>
        <v>Gr&gt;=0 (+)</v>
      </c>
      <c r="I28" s="8" t="n">
        <v>5</v>
      </c>
      <c r="J28" s="8" t="n">
        <v>10</v>
      </c>
      <c r="K28" s="6" t="str">
        <f aca="false">IF(I28+J28=0,"rank&lt;4",IF(MIN(I28,J28)=0,IF(I28&gt;0,"Gr&gt;=0 (+)","Gr&gt;=0 (-)"),"mixed"))</f>
        <v>mixed</v>
      </c>
      <c r="L28" s="8" t="n">
        <v>62</v>
      </c>
      <c r="M28" s="8" t="n">
        <v>64</v>
      </c>
      <c r="N28" s="6" t="str">
        <f aca="false">IF(L28+M28=0,"rank&lt;4",IF(MIN(L28,M28)=0,IF(L28&gt;0,"Gr&gt;=0 (+)","Gr&gt;=0 (-)"),"mixed"))</f>
        <v>mixed</v>
      </c>
      <c r="O28" s="8" t="n">
        <v>156</v>
      </c>
      <c r="P28" s="8" t="n">
        <v>174</v>
      </c>
      <c r="Q28" s="6" t="str">
        <f aca="false">IF(O28+P28=0,"rank&lt;4",IF(MIN(O28,P28)=0,IF(O28&gt;0,"Gr&gt;=0 (+)","Gr&gt;=0 (-)"),"mixed"))</f>
        <v>mixed</v>
      </c>
    </row>
    <row r="29" customFormat="false" ht="15" hidden="false" customHeight="true" outlineLevel="0" collapsed="false">
      <c r="A29" s="6" t="n">
        <v>26</v>
      </c>
      <c r="B29" s="6" t="s">
        <v>93</v>
      </c>
      <c r="C29" s="8" t="n">
        <v>2</v>
      </c>
      <c r="D29" s="8" t="n">
        <v>0</v>
      </c>
      <c r="E29" s="6" t="str">
        <f aca="false">IF(C29+D29=0,"rank&lt;4",IF(MIN(C29,D29)=0,IF(C29&gt;0,"Gr&gt;=0 (+)","Gr&gt;=0 (-)"),"mixed"))</f>
        <v>Gr&gt;=0 (+)</v>
      </c>
      <c r="F29" s="8" t="n">
        <v>2</v>
      </c>
      <c r="G29" s="8" t="n">
        <v>0</v>
      </c>
      <c r="H29" s="6" t="str">
        <f aca="false">IF(F29+G29=0,"rank&lt;4",IF(MIN(F29,G29)=0,IF(F29&gt;0,"Gr&gt;=0 (+)","Gr&gt;=0 (-)"),"mixed"))</f>
        <v>Gr&gt;=0 (+)</v>
      </c>
      <c r="I29" s="8" t="n">
        <v>8</v>
      </c>
      <c r="J29" s="8" t="n">
        <v>7</v>
      </c>
      <c r="K29" s="6" t="str">
        <f aca="false">IF(I29+J29=0,"rank&lt;4",IF(MIN(I29,J29)=0,IF(I29&gt;0,"Gr&gt;=0 (+)","Gr&gt;=0 (-)"),"mixed"))</f>
        <v>mixed</v>
      </c>
      <c r="L29" s="8" t="n">
        <v>93</v>
      </c>
      <c r="M29" s="8" t="n">
        <v>89</v>
      </c>
      <c r="N29" s="6" t="str">
        <f aca="false">IF(L29+M29=0,"rank&lt;4",IF(MIN(L29,M29)=0,IF(L29&gt;0,"Gr&gt;=0 (+)","Gr&gt;=0 (-)"),"mixed"))</f>
        <v>mixed</v>
      </c>
      <c r="O29" s="8" t="n">
        <v>158</v>
      </c>
      <c r="P29" s="8" t="n">
        <v>172</v>
      </c>
      <c r="Q29" s="6" t="str">
        <f aca="false">IF(O29+P29=0,"rank&lt;4",IF(MIN(O29,P29)=0,IF(O29&gt;0,"Gr&gt;=0 (+)","Gr&gt;=0 (-)"),"mixed"))</f>
        <v>mixed</v>
      </c>
    </row>
    <row r="30" customFormat="false" ht="15" hidden="false" customHeight="true" outlineLevel="0" collapsed="false">
      <c r="A30" s="6" t="n">
        <v>27</v>
      </c>
      <c r="B30" s="6" t="s">
        <v>94</v>
      </c>
      <c r="C30" s="8" t="n">
        <v>0</v>
      </c>
      <c r="D30" s="8" t="n">
        <v>0</v>
      </c>
      <c r="E30" s="6" t="str">
        <f aca="false">IF(C30+D30=0,"rank&lt;4",IF(MIN(C30,D30)=0,IF(C30&gt;0,"Gr&gt;=0 (+)","Gr&gt;=0 (-)"),"mixed"))</f>
        <v>rank&lt;4</v>
      </c>
      <c r="F30" s="8" t="n">
        <v>0</v>
      </c>
      <c r="G30" s="8" t="n">
        <v>0</v>
      </c>
      <c r="H30" s="6" t="str">
        <f aca="false">IF(F30+G30=0,"rank&lt;4",IF(MIN(F30,G30)=0,IF(F30&gt;0,"Gr&gt;=0 (+)","Gr&gt;=0 (-)"),"mixed"))</f>
        <v>rank&lt;4</v>
      </c>
      <c r="I30" s="8" t="n">
        <v>9</v>
      </c>
      <c r="J30" s="8" t="n">
        <v>6</v>
      </c>
      <c r="K30" s="6" t="str">
        <f aca="false">IF(I30+J30=0,"rank&lt;4",IF(MIN(I30,J30)=0,IF(I30&gt;0,"Gr&gt;=0 (+)","Gr&gt;=0 (-)"),"mixed"))</f>
        <v>mixed</v>
      </c>
      <c r="L30" s="8" t="n">
        <v>56</v>
      </c>
      <c r="M30" s="8" t="n">
        <v>49</v>
      </c>
      <c r="N30" s="6" t="str">
        <f aca="false">IF(L30+M30=0,"rank&lt;4",IF(MIN(L30,M30)=0,IF(L30&gt;0,"Gr&gt;=0 (+)","Gr&gt;=0 (-)"),"mixed"))</f>
        <v>mixed</v>
      </c>
      <c r="O30" s="8" t="n">
        <v>160</v>
      </c>
      <c r="P30" s="8" t="n">
        <v>170</v>
      </c>
      <c r="Q30" s="6" t="str">
        <f aca="false">IF(O30+P30=0,"rank&lt;4",IF(MIN(O30,P30)=0,IF(O30&gt;0,"Gr&gt;=0 (+)","Gr&gt;=0 (-)"),"mixed"))</f>
        <v>mixed</v>
      </c>
    </row>
    <row r="31" customFormat="false" ht="15" hidden="false" customHeight="true" outlineLevel="0" collapsed="false">
      <c r="A31" s="6" t="n">
        <v>28</v>
      </c>
      <c r="B31" s="6" t="s">
        <v>95</v>
      </c>
      <c r="C31" s="8" t="n">
        <v>0</v>
      </c>
      <c r="D31" s="8" t="n">
        <v>0</v>
      </c>
      <c r="E31" s="6" t="str">
        <f aca="false">IF(C31+D31=0,"rank&lt;4",IF(MIN(C31,D31)=0,IF(C31&gt;0,"Gr&gt;=0 (+)","Gr&gt;=0 (-)"),"mixed"))</f>
        <v>rank&lt;4</v>
      </c>
      <c r="F31" s="8" t="n">
        <v>0</v>
      </c>
      <c r="G31" s="8" t="n">
        <v>0</v>
      </c>
      <c r="H31" s="6" t="str">
        <f aca="false">IF(F31+G31=0,"rank&lt;4",IF(MIN(F31,G31)=0,IF(F31&gt;0,"Gr&gt;=0 (+)","Gr&gt;=0 (-)"),"mixed"))</f>
        <v>rank&lt;4</v>
      </c>
      <c r="I31" s="8" t="n">
        <v>10</v>
      </c>
      <c r="J31" s="8" t="n">
        <v>5</v>
      </c>
      <c r="K31" s="6" t="str">
        <f aca="false">IF(I31+J31=0,"rank&lt;4",IF(MIN(I31,J31)=0,IF(I31&gt;0,"Gr&gt;=0 (+)","Gr&gt;=0 (-)"),"mixed"))</f>
        <v>mixed</v>
      </c>
      <c r="L31" s="8" t="n">
        <v>24</v>
      </c>
      <c r="M31" s="8" t="n">
        <v>31</v>
      </c>
      <c r="N31" s="6" t="str">
        <f aca="false">IF(L31+M31=0,"rank&lt;4",IF(MIN(L31,M31)=0,IF(L31&gt;0,"Gr&gt;=0 (+)","Gr&gt;=0 (-)"),"mixed"))</f>
        <v>mixed</v>
      </c>
      <c r="O31" s="8" t="n">
        <v>167</v>
      </c>
      <c r="P31" s="8" t="n">
        <v>163</v>
      </c>
      <c r="Q31" s="6" t="str">
        <f aca="false">IF(O31+P31=0,"rank&lt;4",IF(MIN(O31,P31)=0,IF(O31&gt;0,"Gr&gt;=0 (+)","Gr&gt;=0 (-)"),"mixed"))</f>
        <v>mixed</v>
      </c>
    </row>
    <row r="32" customFormat="false" ht="15" hidden="false" customHeight="true" outlineLevel="0" collapsed="false">
      <c r="A32" s="6" t="n">
        <v>29</v>
      </c>
      <c r="B32" s="6" t="s">
        <v>96</v>
      </c>
      <c r="C32" s="8" t="n">
        <v>0</v>
      </c>
      <c r="D32" s="8" t="n">
        <v>0</v>
      </c>
      <c r="E32" s="6" t="str">
        <f aca="false">IF(C32+D32=0,"rank&lt;4",IF(MIN(C32,D32)=0,IF(C32&gt;0,"Gr&gt;=0 (+)","Gr&gt;=0 (-)"),"mixed"))</f>
        <v>rank&lt;4</v>
      </c>
      <c r="F32" s="8" t="n">
        <v>0</v>
      </c>
      <c r="G32" s="8" t="n">
        <v>0</v>
      </c>
      <c r="H32" s="6" t="str">
        <f aca="false">IF(F32+G32=0,"rank&lt;4",IF(MIN(F32,G32)=0,IF(F32&gt;0,"Gr&gt;=0 (+)","Gr&gt;=0 (-)"),"mixed"))</f>
        <v>rank&lt;4</v>
      </c>
      <c r="I32" s="8" t="n">
        <v>4</v>
      </c>
      <c r="J32" s="8" t="n">
        <v>11</v>
      </c>
      <c r="K32" s="6" t="str">
        <f aca="false">IF(I32+J32=0,"rank&lt;4",IF(MIN(I32,J32)=0,IF(I32&gt;0,"Gr&gt;=0 (+)","Gr&gt;=0 (-)"),"mixed"))</f>
        <v>mixed</v>
      </c>
      <c r="L32" s="8" t="n">
        <v>55</v>
      </c>
      <c r="M32" s="8" t="n">
        <v>50</v>
      </c>
      <c r="N32" s="6" t="str">
        <f aca="false">IF(L32+M32=0,"rank&lt;4",IF(MIN(L32,M32)=0,IF(L32&gt;0,"Gr&gt;=0 (+)","Gr&gt;=0 (-)"),"mixed"))</f>
        <v>mixed</v>
      </c>
      <c r="O32" s="8" t="n">
        <v>153</v>
      </c>
      <c r="P32" s="8" t="n">
        <v>177</v>
      </c>
      <c r="Q32" s="6" t="str">
        <f aca="false">IF(O32+P32=0,"rank&lt;4",IF(MIN(O32,P32)=0,IF(O32&gt;0,"Gr&gt;=0 (+)","Gr&gt;=0 (-)"),"mixed"))</f>
        <v>mixed</v>
      </c>
    </row>
    <row r="33" customFormat="false" ht="15" hidden="false" customHeight="true" outlineLevel="0" collapsed="false">
      <c r="A33" s="6" t="n">
        <v>30</v>
      </c>
      <c r="B33" s="6" t="s">
        <v>97</v>
      </c>
      <c r="C33" s="8" t="n">
        <v>0</v>
      </c>
      <c r="D33" s="8" t="n">
        <v>0</v>
      </c>
      <c r="E33" s="6" t="str">
        <f aca="false">IF(C33+D33=0,"rank&lt;4",IF(MIN(C33,D33)=0,IF(C33&gt;0,"Gr&gt;=0 (+)","Gr&gt;=0 (-)"),"mixed"))</f>
        <v>rank&lt;4</v>
      </c>
      <c r="F33" s="8" t="n">
        <v>0</v>
      </c>
      <c r="G33" s="8" t="n">
        <v>0</v>
      </c>
      <c r="H33" s="6" t="str">
        <f aca="false">IF(F33+G33=0,"rank&lt;4",IF(MIN(F33,G33)=0,IF(F33&gt;0,"Gr&gt;=0 (+)","Gr&gt;=0 (-)"),"mixed"))</f>
        <v>rank&lt;4</v>
      </c>
      <c r="I33" s="8" t="n">
        <v>6</v>
      </c>
      <c r="J33" s="8" t="n">
        <v>9</v>
      </c>
      <c r="K33" s="6" t="str">
        <f aca="false">IF(I33+J33=0,"rank&lt;4",IF(MIN(I33,J33)=0,IF(I33&gt;0,"Gr&gt;=0 (+)","Gr&gt;=0 (-)"),"mixed"))</f>
        <v>mixed</v>
      </c>
      <c r="L33" s="8" t="n">
        <v>88</v>
      </c>
      <c r="M33" s="8" t="n">
        <v>82</v>
      </c>
      <c r="N33" s="6" t="str">
        <f aca="false">IF(L33+M33=0,"rank&lt;4",IF(MIN(L33,M33)=0,IF(L33&gt;0,"Gr&gt;=0 (+)","Gr&gt;=0 (-)"),"mixed"))</f>
        <v>mixed</v>
      </c>
      <c r="O33" s="8" t="n">
        <v>155</v>
      </c>
      <c r="P33" s="8" t="n">
        <v>175</v>
      </c>
      <c r="Q33" s="6" t="str">
        <f aca="false">IF(O33+P33=0,"rank&lt;4",IF(MIN(O33,P33)=0,IF(O33&gt;0,"Gr&gt;=0 (+)","Gr&gt;=0 (-)"),"mixed"))</f>
        <v>mixed</v>
      </c>
    </row>
    <row r="34" customFormat="false" ht="15" hidden="false" customHeight="true" outlineLevel="0" collapsed="false">
      <c r="A34" s="6" t="n">
        <v>31</v>
      </c>
      <c r="B34" s="6" t="s">
        <v>98</v>
      </c>
      <c r="C34" s="8" t="n">
        <v>0</v>
      </c>
      <c r="D34" s="8" t="n">
        <v>0</v>
      </c>
      <c r="E34" s="6" t="str">
        <f aca="false">IF(C34+D34=0,"rank&lt;4",IF(MIN(C34,D34)=0,IF(C34&gt;0,"Gr&gt;=0 (+)","Gr&gt;=0 (-)"),"mixed"))</f>
        <v>rank&lt;4</v>
      </c>
      <c r="F34" s="8" t="n">
        <v>0</v>
      </c>
      <c r="G34" s="8" t="n">
        <v>0</v>
      </c>
      <c r="H34" s="6" t="str">
        <f aca="false">IF(F34+G34=0,"rank&lt;4",IF(MIN(F34,G34)=0,IF(F34&gt;0,"Gr&gt;=0 (+)","Gr&gt;=0 (-)"),"mixed"))</f>
        <v>rank&lt;4</v>
      </c>
      <c r="I34" s="8" t="n">
        <v>7</v>
      </c>
      <c r="J34" s="8" t="n">
        <v>8</v>
      </c>
      <c r="K34" s="6" t="str">
        <f aca="false">IF(I34+J34=0,"rank&lt;4",IF(MIN(I34,J34)=0,IF(I34&gt;0,"Gr&gt;=0 (+)","Gr&gt;=0 (-)"),"mixed"))</f>
        <v>mixed</v>
      </c>
      <c r="L34" s="8" t="n">
        <v>50</v>
      </c>
      <c r="M34" s="8" t="n">
        <v>55</v>
      </c>
      <c r="N34" s="6" t="str">
        <f aca="false">IF(L34+M34=0,"rank&lt;4",IF(MIN(L34,M34)=0,IF(L34&gt;0,"Gr&gt;=0 (+)","Gr&gt;=0 (-)"),"mixed"))</f>
        <v>mixed</v>
      </c>
      <c r="O34" s="8" t="n">
        <v>162</v>
      </c>
      <c r="P34" s="8" t="n">
        <v>168</v>
      </c>
      <c r="Q34" s="6" t="str">
        <f aca="false">IF(O34+P34=0,"rank&lt;4",IF(MIN(O34,P34)=0,IF(O34&gt;0,"Gr&gt;=0 (+)","Gr&gt;=0 (-)"),"mixed"))</f>
        <v>mixed</v>
      </c>
    </row>
    <row r="35" customFormat="false" ht="15" hidden="false" customHeight="true" outlineLevel="0" collapsed="false">
      <c r="A35" s="6" t="n">
        <v>32</v>
      </c>
      <c r="B35" s="6" t="s">
        <v>99</v>
      </c>
      <c r="C35" s="8" t="n">
        <v>0</v>
      </c>
      <c r="D35" s="8" t="n">
        <v>0</v>
      </c>
      <c r="E35" s="6" t="str">
        <f aca="false">IF(C35+D35=0,"rank&lt;4",IF(MIN(C35,D35)=0,IF(C35&gt;0,"Gr&gt;=0 (+)","Gr&gt;=0 (-)"),"mixed"))</f>
        <v>rank&lt;4</v>
      </c>
      <c r="F35" s="8" t="n">
        <v>0</v>
      </c>
      <c r="G35" s="8" t="n">
        <v>0</v>
      </c>
      <c r="H35" s="6" t="str">
        <f aca="false">IF(F35+G35=0,"rank&lt;4",IF(MIN(F35,G35)=0,IF(F35&gt;0,"Gr&gt;=0 (+)","Gr&gt;=0 (-)"),"mixed"))</f>
        <v>rank&lt;4</v>
      </c>
      <c r="I35" s="8" t="n">
        <v>5</v>
      </c>
      <c r="J35" s="8" t="n">
        <v>10</v>
      </c>
      <c r="K35" s="6" t="str">
        <f aca="false">IF(I35+J35=0,"rank&lt;4",IF(MIN(I35,J35)=0,IF(I35&gt;0,"Gr&gt;=0 (+)","Gr&gt;=0 (-)"),"mixed"))</f>
        <v>mixed</v>
      </c>
      <c r="L35" s="8" t="n">
        <v>51</v>
      </c>
      <c r="M35" s="8" t="n">
        <v>54</v>
      </c>
      <c r="N35" s="6" t="str">
        <f aca="false">IF(L35+M35=0,"rank&lt;4",IF(MIN(L35,M35)=0,IF(L35&gt;0,"Gr&gt;=0 (+)","Gr&gt;=0 (-)"),"mixed"))</f>
        <v>mixed</v>
      </c>
      <c r="O35" s="8" t="n">
        <v>148</v>
      </c>
      <c r="P35" s="8" t="n">
        <v>182</v>
      </c>
      <c r="Q35" s="6" t="str">
        <f aca="false">IF(O35+P35=0,"rank&lt;4",IF(MIN(O35,P35)=0,IF(O35&gt;0,"Gr&gt;=0 (+)","Gr&gt;=0 (-)"),"mixed"))</f>
        <v>mixed</v>
      </c>
    </row>
    <row r="36" customFormat="false" ht="15" hidden="false" customHeight="true" outlineLevel="0" collapsed="false">
      <c r="A36" s="6" t="n">
        <v>33</v>
      </c>
      <c r="B36" s="6" t="s">
        <v>100</v>
      </c>
      <c r="C36" s="8" t="n">
        <v>4</v>
      </c>
      <c r="D36" s="8" t="n">
        <v>0</v>
      </c>
      <c r="E36" s="6" t="str">
        <f aca="false">IF(C36+D36=0,"rank&lt;4",IF(MIN(C36,D36)=0,IF(C36&gt;0,"Gr&gt;=0 (+)","Gr&gt;=0 (-)"),"mixed"))</f>
        <v>Gr&gt;=0 (+)</v>
      </c>
      <c r="F36" s="8" t="n">
        <v>4</v>
      </c>
      <c r="G36" s="8" t="n">
        <v>1</v>
      </c>
      <c r="H36" s="6" t="str">
        <f aca="false">IF(F36+G36=0,"rank&lt;4",IF(MIN(F36,G36)=0,IF(F36&gt;0,"Gr&gt;=0 (+)","Gr&gt;=0 (-)"),"mixed"))</f>
        <v>mixed</v>
      </c>
      <c r="I36" s="8" t="n">
        <v>8</v>
      </c>
      <c r="J36" s="8" t="n">
        <v>7</v>
      </c>
      <c r="K36" s="6" t="str">
        <f aca="false">IF(I36+J36=0,"rank&lt;4",IF(MIN(I36,J36)=0,IF(I36&gt;0,"Gr&gt;=0 (+)","Gr&gt;=0 (-)"),"mixed"))</f>
        <v>mixed</v>
      </c>
      <c r="L36" s="8" t="n">
        <v>139</v>
      </c>
      <c r="M36" s="8" t="n">
        <v>141</v>
      </c>
      <c r="N36" s="6" t="str">
        <f aca="false">IF(L36+M36=0,"rank&lt;4",IF(MIN(L36,M36)=0,IF(L36&gt;0,"Gr&gt;=0 (+)","Gr&gt;=0 (-)"),"mixed"))</f>
        <v>mixed</v>
      </c>
      <c r="O36" s="8" t="n">
        <v>151</v>
      </c>
      <c r="P36" s="8" t="n">
        <v>179</v>
      </c>
      <c r="Q36" s="6" t="str">
        <f aca="false">IF(O36+P36=0,"rank&lt;4",IF(MIN(O36,P36)=0,IF(O36&gt;0,"Gr&gt;=0 (+)","Gr&gt;=0 (-)"),"mixed"))</f>
        <v>mixed</v>
      </c>
    </row>
    <row r="37" customFormat="false" ht="15" hidden="false" customHeight="true" outlineLevel="0" collapsed="false">
      <c r="A37" s="6" t="n">
        <v>34</v>
      </c>
      <c r="B37" s="6" t="s">
        <v>101</v>
      </c>
      <c r="C37" s="8" t="n">
        <v>0</v>
      </c>
      <c r="D37" s="8" t="n">
        <v>0</v>
      </c>
      <c r="E37" s="6" t="str">
        <f aca="false">IF(C37+D37=0,"rank&lt;4",IF(MIN(C37,D37)=0,IF(C37&gt;0,"Gr&gt;=0 (+)","Gr&gt;=0 (-)"),"mixed"))</f>
        <v>rank&lt;4</v>
      </c>
      <c r="F37" s="8" t="n">
        <v>0</v>
      </c>
      <c r="G37" s="8" t="n">
        <v>0</v>
      </c>
      <c r="H37" s="6" t="str">
        <f aca="false">IF(F37+G37=0,"rank&lt;4",IF(MIN(F37,G37)=0,IF(F37&gt;0,"Gr&gt;=0 (+)","Gr&gt;=0 (-)"),"mixed"))</f>
        <v>rank&lt;4</v>
      </c>
      <c r="I37" s="8" t="n">
        <v>8</v>
      </c>
      <c r="J37" s="8" t="n">
        <v>7</v>
      </c>
      <c r="K37" s="6" t="str">
        <f aca="false">IF(I37+J37=0,"rank&lt;4",IF(MIN(I37,J37)=0,IF(I37&gt;0,"Gr&gt;=0 (+)","Gr&gt;=0 (-)"),"mixed"))</f>
        <v>mixed</v>
      </c>
      <c r="L37" s="8" t="n">
        <v>52</v>
      </c>
      <c r="M37" s="8" t="n">
        <v>53</v>
      </c>
      <c r="N37" s="6" t="str">
        <f aca="false">IF(L37+M37=0,"rank&lt;4",IF(MIN(L37,M37)=0,IF(L37&gt;0,"Gr&gt;=0 (+)","Gr&gt;=0 (-)"),"mixed"))</f>
        <v>mixed</v>
      </c>
      <c r="O37" s="8" t="n">
        <v>147</v>
      </c>
      <c r="P37" s="8" t="n">
        <v>183</v>
      </c>
      <c r="Q37" s="6" t="str">
        <f aca="false">IF(O37+P37=0,"rank&lt;4",IF(MIN(O37,P37)=0,IF(O37&gt;0,"Gr&gt;=0 (+)","Gr&gt;=0 (-)"),"mixed"))</f>
        <v>mixed</v>
      </c>
    </row>
    <row r="38" customFormat="false" ht="15" hidden="false" customHeight="true" outlineLevel="0" collapsed="false">
      <c r="A38" s="6" t="n">
        <v>35</v>
      </c>
      <c r="B38" s="6" t="s">
        <v>102</v>
      </c>
      <c r="C38" s="8" t="n">
        <v>0</v>
      </c>
      <c r="D38" s="8" t="n">
        <v>0</v>
      </c>
      <c r="E38" s="6" t="str">
        <f aca="false">IF(C38+D38=0,"rank&lt;4",IF(MIN(C38,D38)=0,IF(C38&gt;0,"Gr&gt;=0 (+)","Gr&gt;=0 (-)"),"mixed"))</f>
        <v>rank&lt;4</v>
      </c>
      <c r="F38" s="8" t="n">
        <v>0</v>
      </c>
      <c r="G38" s="8" t="n">
        <v>0</v>
      </c>
      <c r="H38" s="6" t="str">
        <f aca="false">IF(F38+G38=0,"rank&lt;4",IF(MIN(F38,G38)=0,IF(F38&gt;0,"Gr&gt;=0 (+)","Gr&gt;=0 (-)"),"mixed"))</f>
        <v>rank&lt;4</v>
      </c>
      <c r="I38" s="8" t="n">
        <v>8</v>
      </c>
      <c r="J38" s="8" t="n">
        <v>7</v>
      </c>
      <c r="K38" s="6" t="str">
        <f aca="false">IF(I38+J38=0,"rank&lt;4",IF(MIN(I38,J38)=0,IF(I38&gt;0,"Gr&gt;=0 (+)","Gr&gt;=0 (-)"),"mixed"))</f>
        <v>mixed</v>
      </c>
      <c r="L38" s="8" t="n">
        <v>89</v>
      </c>
      <c r="M38" s="8" t="n">
        <v>81</v>
      </c>
      <c r="N38" s="6" t="str">
        <f aca="false">IF(L38+M38=0,"rank&lt;4",IF(MIN(L38,M38)=0,IF(L38&gt;0,"Gr&gt;=0 (+)","Gr&gt;=0 (-)"),"mixed"))</f>
        <v>mixed</v>
      </c>
      <c r="O38" s="8" t="n">
        <v>157</v>
      </c>
      <c r="P38" s="8" t="n">
        <v>173</v>
      </c>
      <c r="Q38" s="6" t="str">
        <f aca="false">IF(O38+P38=0,"rank&lt;4",IF(MIN(O38,P38)=0,IF(O38&gt;0,"Gr&gt;=0 (+)","Gr&gt;=0 (-)"),"mixed"))</f>
        <v>mixed</v>
      </c>
    </row>
    <row r="39" customFormat="false" ht="15" hidden="false" customHeight="true" outlineLevel="0" collapsed="false">
      <c r="A39" s="6" t="n">
        <v>36</v>
      </c>
      <c r="B39" s="6" t="s">
        <v>103</v>
      </c>
      <c r="C39" s="8" t="n">
        <v>4</v>
      </c>
      <c r="D39" s="8" t="n">
        <v>0</v>
      </c>
      <c r="E39" s="6" t="str">
        <f aca="false">IF(C39+D39=0,"rank&lt;4",IF(MIN(C39,D39)=0,IF(C39&gt;0,"Gr&gt;=0 (+)","Gr&gt;=0 (-)"),"mixed"))</f>
        <v>Gr&gt;=0 (+)</v>
      </c>
      <c r="F39" s="8" t="n">
        <v>4</v>
      </c>
      <c r="G39" s="8" t="n">
        <v>1</v>
      </c>
      <c r="H39" s="6" t="str">
        <f aca="false">IF(F39+G39=0,"rank&lt;4",IF(MIN(F39,G39)=0,IF(F39&gt;0,"Gr&gt;=0 (+)","Gr&gt;=0 (-)"),"mixed"))</f>
        <v>mixed</v>
      </c>
      <c r="I39" s="8" t="n">
        <v>10</v>
      </c>
      <c r="J39" s="8" t="n">
        <v>5</v>
      </c>
      <c r="K39" s="6" t="str">
        <f aca="false">IF(I39+J39=0,"rank&lt;4",IF(MIN(I39,J39)=0,IF(I39&gt;0,"Gr&gt;=0 (+)","Gr&gt;=0 (-)"),"mixed"))</f>
        <v>mixed</v>
      </c>
      <c r="L39" s="8" t="n">
        <v>136</v>
      </c>
      <c r="M39" s="8" t="n">
        <v>144</v>
      </c>
      <c r="N39" s="6" t="str">
        <f aca="false">IF(L39+M39=0,"rank&lt;4",IF(MIN(L39,M39)=0,IF(L39&gt;0,"Gr&gt;=0 (+)","Gr&gt;=0 (-)"),"mixed"))</f>
        <v>mixed</v>
      </c>
      <c r="O39" s="8" t="n">
        <v>169</v>
      </c>
      <c r="P39" s="8" t="n">
        <v>161</v>
      </c>
      <c r="Q39" s="6" t="str">
        <f aca="false">IF(O39+P39=0,"rank&lt;4",IF(MIN(O39,P39)=0,IF(O39&gt;0,"Gr&gt;=0 (+)","Gr&gt;=0 (-)"),"mixed"))</f>
        <v>mixed</v>
      </c>
    </row>
    <row r="40" customFormat="false" ht="15" hidden="false" customHeight="true" outlineLevel="0" collapsed="false">
      <c r="A40" s="6" t="n">
        <v>37</v>
      </c>
      <c r="B40" s="6" t="s">
        <v>104</v>
      </c>
      <c r="C40" s="8" t="n">
        <v>0</v>
      </c>
      <c r="D40" s="8" t="n">
        <v>1</v>
      </c>
      <c r="E40" s="6" t="str">
        <f aca="false">IF(C40+D40=0,"rank&lt;4",IF(MIN(C40,D40)=0,IF(C40&gt;0,"Gr&gt;=0 (+)","Gr&gt;=0 (-)"),"mixed"))</f>
        <v>Gr&gt;=0 (-)</v>
      </c>
      <c r="F40" s="8" t="n">
        <v>0</v>
      </c>
      <c r="G40" s="8" t="n">
        <v>1</v>
      </c>
      <c r="H40" s="6" t="str">
        <f aca="false">IF(F40+G40=0,"rank&lt;4",IF(MIN(F40,G40)=0,IF(F40&gt;0,"Gr&gt;=0 (+)","Gr&gt;=0 (-)"),"mixed"))</f>
        <v>Gr&gt;=0 (-)</v>
      </c>
      <c r="I40" s="8" t="n">
        <v>8</v>
      </c>
      <c r="J40" s="8" t="n">
        <v>7</v>
      </c>
      <c r="K40" s="6" t="str">
        <f aca="false">IF(I40+J40=0,"rank&lt;4",IF(MIN(I40,J40)=0,IF(I40&gt;0,"Gr&gt;=0 (+)","Gr&gt;=0 (-)"),"mixed"))</f>
        <v>mixed</v>
      </c>
      <c r="L40" s="8" t="n">
        <v>67</v>
      </c>
      <c r="M40" s="8" t="n">
        <v>59</v>
      </c>
      <c r="N40" s="6" t="str">
        <f aca="false">IF(L40+M40=0,"rank&lt;4",IF(MIN(L40,M40)=0,IF(L40&gt;0,"Gr&gt;=0 (+)","Gr&gt;=0 (-)"),"mixed"))</f>
        <v>mixed</v>
      </c>
      <c r="O40" s="8" t="n">
        <v>157</v>
      </c>
      <c r="P40" s="8" t="n">
        <v>173</v>
      </c>
      <c r="Q40" s="6" t="str">
        <f aca="false">IF(O40+P40=0,"rank&lt;4",IF(MIN(O40,P40)=0,IF(O40&gt;0,"Gr&gt;=0 (+)","Gr&gt;=0 (-)"),"mixed"))</f>
        <v>mixed</v>
      </c>
    </row>
    <row r="41" customFormat="false" ht="15" hidden="false" customHeight="true" outlineLevel="0" collapsed="false">
      <c r="A41" s="6" t="n">
        <v>38</v>
      </c>
      <c r="B41" s="6" t="s">
        <v>105</v>
      </c>
      <c r="C41" s="8" t="n">
        <v>0</v>
      </c>
      <c r="D41" s="8" t="n">
        <v>0</v>
      </c>
      <c r="E41" s="6" t="str">
        <f aca="false">IF(C41+D41=0,"rank&lt;4",IF(MIN(C41,D41)=0,IF(C41&gt;0,"Gr&gt;=0 (+)","Gr&gt;=0 (-)"),"mixed"))</f>
        <v>rank&lt;4</v>
      </c>
      <c r="F41" s="8" t="n">
        <v>0</v>
      </c>
      <c r="G41" s="8" t="n">
        <v>0</v>
      </c>
      <c r="H41" s="6" t="str">
        <f aca="false">IF(F41+G41=0,"rank&lt;4",IF(MIN(F41,G41)=0,IF(F41&gt;0,"Gr&gt;=0 (+)","Gr&gt;=0 (-)"),"mixed"))</f>
        <v>rank&lt;4</v>
      </c>
      <c r="I41" s="8" t="n">
        <v>10</v>
      </c>
      <c r="J41" s="8" t="n">
        <v>5</v>
      </c>
      <c r="K41" s="6" t="str">
        <f aca="false">IF(I41+J41=0,"rank&lt;4",IF(MIN(I41,J41)=0,IF(I41&gt;0,"Gr&gt;=0 (+)","Gr&gt;=0 (-)"),"mixed"))</f>
        <v>mixed</v>
      </c>
      <c r="L41" s="8" t="n">
        <v>31</v>
      </c>
      <c r="M41" s="8" t="n">
        <v>39</v>
      </c>
      <c r="N41" s="6" t="str">
        <f aca="false">IF(L41+M41=0,"rank&lt;4",IF(MIN(L41,M41)=0,IF(L41&gt;0,"Gr&gt;=0 (+)","Gr&gt;=0 (-)"),"mixed"))</f>
        <v>mixed</v>
      </c>
      <c r="O41" s="8" t="n">
        <v>160</v>
      </c>
      <c r="P41" s="8" t="n">
        <v>170</v>
      </c>
      <c r="Q41" s="6" t="str">
        <f aca="false">IF(O41+P41=0,"rank&lt;4",IF(MIN(O41,P41)=0,IF(O41&gt;0,"Gr&gt;=0 (+)","Gr&gt;=0 (-)"),"mixed"))</f>
        <v>mixed</v>
      </c>
    </row>
    <row r="42" customFormat="false" ht="15" hidden="false" customHeight="true" outlineLevel="0" collapsed="false">
      <c r="A42" s="6" t="n">
        <v>39</v>
      </c>
      <c r="B42" s="6" t="s">
        <v>106</v>
      </c>
      <c r="C42" s="8" t="n">
        <v>0</v>
      </c>
      <c r="D42" s="8" t="n">
        <v>1</v>
      </c>
      <c r="E42" s="6" t="str">
        <f aca="false">IF(C42+D42=0,"rank&lt;4",IF(MIN(C42,D42)=0,IF(C42&gt;0,"Gr&gt;=0 (+)","Gr&gt;=0 (-)"),"mixed"))</f>
        <v>Gr&gt;=0 (-)</v>
      </c>
      <c r="F42" s="8" t="n">
        <v>0</v>
      </c>
      <c r="G42" s="8" t="n">
        <v>1</v>
      </c>
      <c r="H42" s="6" t="str">
        <f aca="false">IF(F42+G42=0,"rank&lt;4",IF(MIN(F42,G42)=0,IF(F42&gt;0,"Gr&gt;=0 (+)","Gr&gt;=0 (-)"),"mixed"))</f>
        <v>Gr&gt;=0 (-)</v>
      </c>
      <c r="I42" s="8" t="n">
        <v>11</v>
      </c>
      <c r="J42" s="8" t="n">
        <v>4</v>
      </c>
      <c r="K42" s="6" t="str">
        <f aca="false">IF(I42+J42=0,"rank&lt;4",IF(MIN(I42,J42)=0,IF(I42&gt;0,"Gr&gt;=0 (+)","Gr&gt;=0 (-)"),"mixed"))</f>
        <v>mixed</v>
      </c>
      <c r="L42" s="8" t="n">
        <v>62</v>
      </c>
      <c r="M42" s="8" t="n">
        <v>64</v>
      </c>
      <c r="N42" s="6" t="str">
        <f aca="false">IF(L42+M42=0,"rank&lt;4",IF(MIN(L42,M42)=0,IF(L42&gt;0,"Gr&gt;=0 (+)","Gr&gt;=0 (-)"),"mixed"))</f>
        <v>mixed</v>
      </c>
      <c r="O42" s="8" t="n">
        <v>177</v>
      </c>
      <c r="P42" s="8" t="n">
        <v>153</v>
      </c>
      <c r="Q42" s="6" t="str">
        <f aca="false">IF(O42+P42=0,"rank&lt;4",IF(MIN(O42,P42)=0,IF(O42&gt;0,"Gr&gt;=0 (+)","Gr&gt;=0 (-)"),"mixed"))</f>
        <v>mixed</v>
      </c>
    </row>
    <row r="43" customFormat="false" ht="15" hidden="false" customHeight="true" outlineLevel="0" collapsed="false">
      <c r="A43" s="6" t="n">
        <v>40</v>
      </c>
      <c r="B43" s="6" t="s">
        <v>107</v>
      </c>
      <c r="C43" s="8" t="n">
        <v>0</v>
      </c>
      <c r="D43" s="8" t="n">
        <v>2</v>
      </c>
      <c r="E43" s="6" t="str">
        <f aca="false">IF(C43+D43=0,"rank&lt;4",IF(MIN(C43,D43)=0,IF(C43&gt;0,"Gr&gt;=0 (+)","Gr&gt;=0 (-)"),"mixed"))</f>
        <v>Gr&gt;=0 (-)</v>
      </c>
      <c r="F43" s="8" t="n">
        <v>0</v>
      </c>
      <c r="G43" s="8" t="n">
        <v>2</v>
      </c>
      <c r="H43" s="6" t="str">
        <f aca="false">IF(F43+G43=0,"rank&lt;4",IF(MIN(F43,G43)=0,IF(F43&gt;0,"Gr&gt;=0 (+)","Gr&gt;=0 (-)"),"mixed"))</f>
        <v>Gr&gt;=0 (-)</v>
      </c>
      <c r="I43" s="8" t="n">
        <v>7</v>
      </c>
      <c r="J43" s="8" t="n">
        <v>8</v>
      </c>
      <c r="K43" s="6" t="str">
        <f aca="false">IF(I43+J43=0,"rank&lt;4",IF(MIN(I43,J43)=0,IF(I43&gt;0,"Gr&gt;=0 (+)","Gr&gt;=0 (-)"),"mixed"))</f>
        <v>mixed</v>
      </c>
      <c r="L43" s="8" t="n">
        <v>86</v>
      </c>
      <c r="M43" s="8" t="n">
        <v>96</v>
      </c>
      <c r="N43" s="6" t="str">
        <f aca="false">IF(L43+M43=0,"rank&lt;4",IF(MIN(L43,M43)=0,IF(L43&gt;0,"Gr&gt;=0 (+)","Gr&gt;=0 (-)"),"mixed"))</f>
        <v>mixed</v>
      </c>
      <c r="O43" s="8" t="n">
        <v>178</v>
      </c>
      <c r="P43" s="8" t="n">
        <v>152</v>
      </c>
      <c r="Q43" s="6" t="str">
        <f aca="false">IF(O43+P43=0,"rank&lt;4",IF(MIN(O43,P43)=0,IF(O43&gt;0,"Gr&gt;=0 (+)","Gr&gt;=0 (-)"),"mixed"))</f>
        <v>mixed</v>
      </c>
    </row>
    <row r="44" customFormat="false" ht="15" hidden="false" customHeight="true" outlineLevel="0" collapsed="false">
      <c r="A44" s="6" t="n">
        <v>41</v>
      </c>
      <c r="B44" s="6" t="s">
        <v>108</v>
      </c>
      <c r="C44" s="8" t="n">
        <v>1</v>
      </c>
      <c r="D44" s="8" t="n">
        <v>0</v>
      </c>
      <c r="E44" s="6" t="str">
        <f aca="false">IF(C44+D44=0,"rank&lt;4",IF(MIN(C44,D44)=0,IF(C44&gt;0,"Gr&gt;=0 (+)","Gr&gt;=0 (-)"),"mixed"))</f>
        <v>Gr&gt;=0 (+)</v>
      </c>
      <c r="F44" s="8" t="n">
        <v>1</v>
      </c>
      <c r="G44" s="8" t="n">
        <v>0</v>
      </c>
      <c r="H44" s="6" t="str">
        <f aca="false">IF(F44+G44=0,"rank&lt;4",IF(MIN(F44,G44)=0,IF(F44&gt;0,"Gr&gt;=0 (+)","Gr&gt;=0 (-)"),"mixed"))</f>
        <v>Gr&gt;=0 (+)</v>
      </c>
      <c r="I44" s="8" t="n">
        <v>7</v>
      </c>
      <c r="J44" s="8" t="n">
        <v>8</v>
      </c>
      <c r="K44" s="6" t="str">
        <f aca="false">IF(I44+J44=0,"rank&lt;4",IF(MIN(I44,J44)=0,IF(I44&gt;0,"Gr&gt;=0 (+)","Gr&gt;=0 (-)"),"mixed"))</f>
        <v>mixed</v>
      </c>
      <c r="L44" s="8" t="n">
        <v>62</v>
      </c>
      <c r="M44" s="8" t="n">
        <v>63</v>
      </c>
      <c r="N44" s="6" t="str">
        <f aca="false">IF(L44+M44=0,"rank&lt;4",IF(MIN(L44,M44)=0,IF(L44&gt;0,"Gr&gt;=0 (+)","Gr&gt;=0 (-)"),"mixed"))</f>
        <v>mixed</v>
      </c>
      <c r="O44" s="8" t="n">
        <v>151</v>
      </c>
      <c r="P44" s="8" t="n">
        <v>179</v>
      </c>
      <c r="Q44" s="6" t="str">
        <f aca="false">IF(O44+P44=0,"rank&lt;4",IF(MIN(O44,P44)=0,IF(O44&gt;0,"Gr&gt;=0 (+)","Gr&gt;=0 (-)"),"mixed"))</f>
        <v>mixed</v>
      </c>
    </row>
    <row r="45" customFormat="false" ht="15" hidden="false" customHeight="true" outlineLevel="0" collapsed="false">
      <c r="A45" s="6" t="n">
        <v>42</v>
      </c>
      <c r="B45" s="6" t="s">
        <v>109</v>
      </c>
      <c r="C45" s="8" t="n">
        <v>0</v>
      </c>
      <c r="D45" s="8" t="n">
        <v>1</v>
      </c>
      <c r="E45" s="6" t="str">
        <f aca="false">IF(C45+D45=0,"rank&lt;4",IF(MIN(C45,D45)=0,IF(C45&gt;0,"Gr&gt;=0 (+)","Gr&gt;=0 (-)"),"mixed"))</f>
        <v>Gr&gt;=0 (-)</v>
      </c>
      <c r="F45" s="8" t="n">
        <v>0</v>
      </c>
      <c r="G45" s="8" t="n">
        <v>1</v>
      </c>
      <c r="H45" s="6" t="str">
        <f aca="false">IF(F45+G45=0,"rank&lt;4",IF(MIN(F45,G45)=0,IF(F45&gt;0,"Gr&gt;=0 (+)","Gr&gt;=0 (-)"),"mixed"))</f>
        <v>Gr&gt;=0 (-)</v>
      </c>
      <c r="I45" s="8" t="n">
        <v>9</v>
      </c>
      <c r="J45" s="8" t="n">
        <v>6</v>
      </c>
      <c r="K45" s="6" t="str">
        <f aca="false">IF(I45+J45=0,"rank&lt;4",IF(MIN(I45,J45)=0,IF(I45&gt;0,"Gr&gt;=0 (+)","Gr&gt;=0 (-)"),"mixed"))</f>
        <v>mixed</v>
      </c>
      <c r="L45" s="8" t="n">
        <v>67</v>
      </c>
      <c r="M45" s="8" t="n">
        <v>59</v>
      </c>
      <c r="N45" s="6" t="str">
        <f aca="false">IF(L45+M45=0,"rank&lt;4",IF(MIN(L45,M45)=0,IF(L45&gt;0,"Gr&gt;=0 (+)","Gr&gt;=0 (-)"),"mixed"))</f>
        <v>mixed</v>
      </c>
      <c r="O45" s="8" t="n">
        <v>183</v>
      </c>
      <c r="P45" s="8" t="n">
        <v>147</v>
      </c>
      <c r="Q45" s="6" t="str">
        <f aca="false">IF(O45+P45=0,"rank&lt;4",IF(MIN(O45,P45)=0,IF(O45&gt;0,"Gr&gt;=0 (+)","Gr&gt;=0 (-)"),"mixed"))</f>
        <v>mixed</v>
      </c>
    </row>
    <row r="46" customFormat="false" ht="15" hidden="false" customHeight="true" outlineLevel="0" collapsed="false">
      <c r="A46" s="6" t="n">
        <v>43</v>
      </c>
      <c r="B46" s="6" t="s">
        <v>110</v>
      </c>
      <c r="C46" s="8" t="n">
        <v>6</v>
      </c>
      <c r="D46" s="8" t="n">
        <v>3</v>
      </c>
      <c r="E46" s="6" t="str">
        <f aca="false">IF(C46+D46=0,"rank&lt;4",IF(MIN(C46,D46)=0,IF(C46&gt;0,"Gr&gt;=0 (+)","Gr&gt;=0 (-)"),"mixed"))</f>
        <v>mixed</v>
      </c>
      <c r="F46" s="8" t="n">
        <v>5</v>
      </c>
      <c r="G46" s="8" t="n">
        <v>4</v>
      </c>
      <c r="H46" s="6" t="str">
        <f aca="false">IF(F46+G46=0,"rank&lt;4",IF(MIN(F46,G46)=0,IF(F46&gt;0,"Gr&gt;=0 (+)","Gr&gt;=0 (-)"),"mixed"))</f>
        <v>mixed</v>
      </c>
      <c r="I46" s="8" t="n">
        <v>10</v>
      </c>
      <c r="J46" s="8" t="n">
        <v>5</v>
      </c>
      <c r="K46" s="6" t="str">
        <f aca="false">IF(I46+J46=0,"rank&lt;4",IF(MIN(I46,J46)=0,IF(I46&gt;0,"Gr&gt;=0 (+)","Gr&gt;=0 (-)"),"mixed"))</f>
        <v>mixed</v>
      </c>
      <c r="L46" s="8" t="n">
        <v>159</v>
      </c>
      <c r="M46" s="8" t="n">
        <v>135</v>
      </c>
      <c r="N46" s="6" t="str">
        <f aca="false">IF(L46+M46=0,"rank&lt;4",IF(MIN(L46,M46)=0,IF(L46&gt;0,"Gr&gt;=0 (+)","Gr&gt;=0 (-)"),"mixed"))</f>
        <v>mixed</v>
      </c>
      <c r="O46" s="8" t="n">
        <v>193</v>
      </c>
      <c r="P46" s="8" t="n">
        <v>137</v>
      </c>
      <c r="Q46" s="6" t="str">
        <f aca="false">IF(O46+P46=0,"rank&lt;4",IF(MIN(O46,P46)=0,IF(O46&gt;0,"Gr&gt;=0 (+)","Gr&gt;=0 (-)"),"mixed"))</f>
        <v>mixed</v>
      </c>
    </row>
    <row r="47" customFormat="false" ht="15" hidden="false" customHeight="true" outlineLevel="0" collapsed="false">
      <c r="A47" s="6" t="n">
        <v>44</v>
      </c>
      <c r="B47" s="6" t="s">
        <v>111</v>
      </c>
      <c r="C47" s="8" t="n">
        <v>0</v>
      </c>
      <c r="D47" s="8" t="n">
        <v>1</v>
      </c>
      <c r="E47" s="6" t="str">
        <f aca="false">IF(C47+D47=0,"rank&lt;4",IF(MIN(C47,D47)=0,IF(C47&gt;0,"Gr&gt;=0 (+)","Gr&gt;=0 (-)"),"mixed"))</f>
        <v>Gr&gt;=0 (-)</v>
      </c>
      <c r="F47" s="8" t="n">
        <v>0</v>
      </c>
      <c r="G47" s="8" t="n">
        <v>1</v>
      </c>
      <c r="H47" s="6" t="str">
        <f aca="false">IF(F47+G47=0,"rank&lt;4",IF(MIN(F47,G47)=0,IF(F47&gt;0,"Gr&gt;=0 (+)","Gr&gt;=0 (-)"),"mixed"))</f>
        <v>Gr&gt;=0 (-)</v>
      </c>
      <c r="I47" s="8" t="n">
        <v>11</v>
      </c>
      <c r="J47" s="8" t="n">
        <v>4</v>
      </c>
      <c r="K47" s="6" t="str">
        <f aca="false">IF(I47+J47=0,"rank&lt;4",IF(MIN(I47,J47)=0,IF(I47&gt;0,"Gr&gt;=0 (+)","Gr&gt;=0 (-)"),"mixed"))</f>
        <v>mixed</v>
      </c>
      <c r="L47" s="8" t="n">
        <v>72</v>
      </c>
      <c r="M47" s="8" t="n">
        <v>54</v>
      </c>
      <c r="N47" s="6" t="str">
        <f aca="false">IF(L47+M47=0,"rank&lt;4",IF(MIN(L47,M47)=0,IF(L47&gt;0,"Gr&gt;=0 (+)","Gr&gt;=0 (-)"),"mixed"))</f>
        <v>mixed</v>
      </c>
      <c r="O47" s="8" t="n">
        <v>168</v>
      </c>
      <c r="P47" s="8" t="n">
        <v>162</v>
      </c>
      <c r="Q47" s="6" t="str">
        <f aca="false">IF(O47+P47=0,"rank&lt;4",IF(MIN(O47,P47)=0,IF(O47&gt;0,"Gr&gt;=0 (+)","Gr&gt;=0 (-)"),"mixed"))</f>
        <v>mixed</v>
      </c>
    </row>
    <row r="48" customFormat="false" ht="15" hidden="false" customHeight="true" outlineLevel="0" collapsed="false">
      <c r="A48" s="6" t="n">
        <v>45</v>
      </c>
      <c r="B48" s="6" t="s">
        <v>112</v>
      </c>
      <c r="C48" s="8" t="n">
        <v>0</v>
      </c>
      <c r="D48" s="8" t="n">
        <v>2</v>
      </c>
      <c r="E48" s="6" t="str">
        <f aca="false">IF(C48+D48=0,"rank&lt;4",IF(MIN(C48,D48)=0,IF(C48&gt;0,"Gr&gt;=0 (+)","Gr&gt;=0 (-)"),"mixed"))</f>
        <v>Gr&gt;=0 (-)</v>
      </c>
      <c r="F48" s="8" t="n">
        <v>0</v>
      </c>
      <c r="G48" s="8" t="n">
        <v>2</v>
      </c>
      <c r="H48" s="6" t="str">
        <f aca="false">IF(F48+G48=0,"rank&lt;4",IF(MIN(F48,G48)=0,IF(F48&gt;0,"Gr&gt;=0 (+)","Gr&gt;=0 (-)"),"mixed"))</f>
        <v>Gr&gt;=0 (-)</v>
      </c>
      <c r="I48" s="8" t="n">
        <v>9</v>
      </c>
      <c r="J48" s="8" t="n">
        <v>6</v>
      </c>
      <c r="K48" s="6" t="str">
        <f aca="false">IF(I48+J48=0,"rank&lt;4",IF(MIN(I48,J48)=0,IF(I48&gt;0,"Gr&gt;=0 (+)","Gr&gt;=0 (-)"),"mixed"))</f>
        <v>mixed</v>
      </c>
      <c r="L48" s="8" t="n">
        <v>87</v>
      </c>
      <c r="M48" s="8" t="n">
        <v>95</v>
      </c>
      <c r="N48" s="6" t="str">
        <f aca="false">IF(L48+M48=0,"rank&lt;4",IF(MIN(L48,M48)=0,IF(L48&gt;0,"Gr&gt;=0 (+)","Gr&gt;=0 (-)"),"mixed"))</f>
        <v>mixed</v>
      </c>
      <c r="O48" s="8" t="n">
        <v>172</v>
      </c>
      <c r="P48" s="8" t="n">
        <v>158</v>
      </c>
      <c r="Q48" s="6" t="str">
        <f aca="false">IF(O48+P48=0,"rank&lt;4",IF(MIN(O48,P48)=0,IF(O48&gt;0,"Gr&gt;=0 (+)","Gr&gt;=0 (-)"),"mixed"))</f>
        <v>mixed</v>
      </c>
    </row>
    <row r="49" customFormat="false" ht="15" hidden="false" customHeight="true" outlineLevel="0" collapsed="false">
      <c r="A49" s="6" t="n">
        <v>46</v>
      </c>
      <c r="B49" s="6" t="s">
        <v>113</v>
      </c>
      <c r="C49" s="8" t="n">
        <v>6</v>
      </c>
      <c r="D49" s="8" t="n">
        <v>3</v>
      </c>
      <c r="E49" s="6" t="str">
        <f aca="false">IF(C49+D49=0,"rank&lt;4",IF(MIN(C49,D49)=0,IF(C49&gt;0,"Gr&gt;=0 (+)","Gr&gt;=0 (-)"),"mixed"))</f>
        <v>mixed</v>
      </c>
      <c r="F49" s="8" t="n">
        <v>5</v>
      </c>
      <c r="G49" s="8" t="n">
        <v>4</v>
      </c>
      <c r="H49" s="6" t="str">
        <f aca="false">IF(F49+G49=0,"rank&lt;4",IF(MIN(F49,G49)=0,IF(F49&gt;0,"Gr&gt;=0 (+)","Gr&gt;=0 (-)"),"mixed"))</f>
        <v>mixed</v>
      </c>
      <c r="I49" s="8" t="n">
        <v>9</v>
      </c>
      <c r="J49" s="8" t="n">
        <v>6</v>
      </c>
      <c r="K49" s="6" t="str">
        <f aca="false">IF(I49+J49=0,"rank&lt;4",IF(MIN(I49,J49)=0,IF(I49&gt;0,"Gr&gt;=0 (+)","Gr&gt;=0 (-)"),"mixed"))</f>
        <v>mixed</v>
      </c>
      <c r="L49" s="8" t="n">
        <v>143</v>
      </c>
      <c r="M49" s="8" t="n">
        <v>151</v>
      </c>
      <c r="N49" s="6" t="str">
        <f aca="false">IF(L49+M49=0,"rank&lt;4",IF(MIN(L49,M49)=0,IF(L49&gt;0,"Gr&gt;=0 (+)","Gr&gt;=0 (-)"),"mixed"))</f>
        <v>mixed</v>
      </c>
      <c r="O49" s="8" t="n">
        <v>165</v>
      </c>
      <c r="P49" s="8" t="n">
        <v>165</v>
      </c>
      <c r="Q49" s="6" t="str">
        <f aca="false">IF(O49+P49=0,"rank&lt;4",IF(MIN(O49,P49)=0,IF(O49&gt;0,"Gr&gt;=0 (+)","Gr&gt;=0 (-)"),"mixed"))</f>
        <v>mixed</v>
      </c>
    </row>
    <row r="50" customFormat="false" ht="15" hidden="false" customHeight="true" outlineLevel="0" collapsed="false">
      <c r="A50" s="6" t="n">
        <v>47</v>
      </c>
      <c r="B50" s="6" t="s">
        <v>114</v>
      </c>
      <c r="C50" s="8" t="n">
        <v>0</v>
      </c>
      <c r="D50" s="8" t="n">
        <v>0</v>
      </c>
      <c r="E50" s="6" t="str">
        <f aca="false">IF(C50+D50=0,"rank&lt;4",IF(MIN(C50,D50)=0,IF(C50&gt;0,"Gr&gt;=0 (+)","Gr&gt;=0 (-)"),"mixed"))</f>
        <v>rank&lt;4</v>
      </c>
      <c r="F50" s="8" t="n">
        <v>0</v>
      </c>
      <c r="G50" s="8" t="n">
        <v>0</v>
      </c>
      <c r="H50" s="6" t="str">
        <f aca="false">IF(F50+G50=0,"rank&lt;4",IF(MIN(F50,G50)=0,IF(F50&gt;0,"Gr&gt;=0 (+)","Gr&gt;=0 (-)"),"mixed"))</f>
        <v>rank&lt;4</v>
      </c>
      <c r="I50" s="8" t="n">
        <v>6</v>
      </c>
      <c r="J50" s="8" t="n">
        <v>9</v>
      </c>
      <c r="K50" s="6" t="str">
        <f aca="false">IF(I50+J50=0,"rank&lt;4",IF(MIN(I50,J50)=0,IF(I50&gt;0,"Gr&gt;=0 (+)","Gr&gt;=0 (-)"),"mixed"))</f>
        <v>mixed</v>
      </c>
      <c r="L50" s="8" t="n">
        <v>57</v>
      </c>
      <c r="M50" s="8" t="n">
        <v>48</v>
      </c>
      <c r="N50" s="6" t="str">
        <f aca="false">IF(L50+M50=0,"rank&lt;4",IF(MIN(L50,M50)=0,IF(L50&gt;0,"Gr&gt;=0 (+)","Gr&gt;=0 (-)"),"mixed"))</f>
        <v>mixed</v>
      </c>
      <c r="O50" s="8" t="n">
        <v>152</v>
      </c>
      <c r="P50" s="8" t="n">
        <v>178</v>
      </c>
      <c r="Q50" s="6" t="str">
        <f aca="false">IF(O50+P50=0,"rank&lt;4",IF(MIN(O50,P50)=0,IF(O50&gt;0,"Gr&gt;=0 (+)","Gr&gt;=0 (-)"),"mixed"))</f>
        <v>mixed</v>
      </c>
    </row>
    <row r="51" customFormat="false" ht="15" hidden="false" customHeight="true" outlineLevel="0" collapsed="false">
      <c r="A51" s="6" t="n">
        <v>48</v>
      </c>
      <c r="B51" s="6" t="s">
        <v>115</v>
      </c>
      <c r="C51" s="8" t="n">
        <v>0</v>
      </c>
      <c r="D51" s="8" t="n">
        <v>0</v>
      </c>
      <c r="E51" s="6" t="str">
        <f aca="false">IF(C51+D51=0,"rank&lt;4",IF(MIN(C51,D51)=0,IF(C51&gt;0,"Gr&gt;=0 (+)","Gr&gt;=0 (-)"),"mixed"))</f>
        <v>rank&lt;4</v>
      </c>
      <c r="F51" s="8" t="n">
        <v>0</v>
      </c>
      <c r="G51" s="8" t="n">
        <v>0</v>
      </c>
      <c r="H51" s="6" t="str">
        <f aca="false">IF(F51+G51=0,"rank&lt;4",IF(MIN(F51,G51)=0,IF(F51&gt;0,"Gr&gt;=0 (+)","Gr&gt;=0 (-)"),"mixed"))</f>
        <v>rank&lt;4</v>
      </c>
      <c r="I51" s="8" t="n">
        <v>7</v>
      </c>
      <c r="J51" s="8" t="n">
        <v>8</v>
      </c>
      <c r="K51" s="6" t="str">
        <f aca="false">IF(I51+J51=0,"rank&lt;4",IF(MIN(I51,J51)=0,IF(I51&gt;0,"Gr&gt;=0 (+)","Gr&gt;=0 (-)"),"mixed"))</f>
        <v>mixed</v>
      </c>
      <c r="L51" s="8" t="n">
        <v>53</v>
      </c>
      <c r="M51" s="8" t="n">
        <v>52</v>
      </c>
      <c r="N51" s="6" t="str">
        <f aca="false">IF(L51+M51=0,"rank&lt;4",IF(MIN(L51,M51)=0,IF(L51&gt;0,"Gr&gt;=0 (+)","Gr&gt;=0 (-)"),"mixed"))</f>
        <v>mixed</v>
      </c>
      <c r="O51" s="8" t="n">
        <v>157</v>
      </c>
      <c r="P51" s="8" t="n">
        <v>173</v>
      </c>
      <c r="Q51" s="6" t="str">
        <f aca="false">IF(O51+P51=0,"rank&lt;4",IF(MIN(O51,P51)=0,IF(O51&gt;0,"Gr&gt;=0 (+)","Gr&gt;=0 (-)"),"mixed"))</f>
        <v>mixed</v>
      </c>
    </row>
    <row r="52" customFormat="false" ht="15" hidden="false" customHeight="true" outlineLevel="0" collapsed="false">
      <c r="A52" s="6" t="n">
        <v>49</v>
      </c>
      <c r="B52" s="6" t="s">
        <v>116</v>
      </c>
      <c r="C52" s="8" t="n">
        <v>4</v>
      </c>
      <c r="D52" s="8" t="n">
        <v>0</v>
      </c>
      <c r="E52" s="6" t="str">
        <f aca="false">IF(C52+D52=0,"rank&lt;4",IF(MIN(C52,D52)=0,IF(C52&gt;0,"Gr&gt;=0 (+)","Gr&gt;=0 (-)"),"mixed"))</f>
        <v>Gr&gt;=0 (+)</v>
      </c>
      <c r="F52" s="8" t="n">
        <v>4</v>
      </c>
      <c r="G52" s="8" t="n">
        <v>1</v>
      </c>
      <c r="H52" s="6" t="str">
        <f aca="false">IF(F52+G52=0,"rank&lt;4",IF(MIN(F52,G52)=0,IF(F52&gt;0,"Gr&gt;=0 (+)","Gr&gt;=0 (-)"),"mixed"))</f>
        <v>mixed</v>
      </c>
      <c r="I52" s="8" t="n">
        <v>7</v>
      </c>
      <c r="J52" s="8" t="n">
        <v>8</v>
      </c>
      <c r="K52" s="6" t="str">
        <f aca="false">IF(I52+J52=0,"rank&lt;4",IF(MIN(I52,J52)=0,IF(I52&gt;0,"Gr&gt;=0 (+)","Gr&gt;=0 (-)"),"mixed"))</f>
        <v>mixed</v>
      </c>
      <c r="L52" s="8" t="n">
        <v>146</v>
      </c>
      <c r="M52" s="8" t="n">
        <v>134</v>
      </c>
      <c r="N52" s="6" t="str">
        <f aca="false">IF(L52+M52=0,"rank&lt;4",IF(MIN(L52,M52)=0,IF(L52&gt;0,"Gr&gt;=0 (+)","Gr&gt;=0 (-)"),"mixed"))</f>
        <v>mixed</v>
      </c>
      <c r="O52" s="8" t="n">
        <v>150</v>
      </c>
      <c r="P52" s="8" t="n">
        <v>180</v>
      </c>
      <c r="Q52" s="6" t="str">
        <f aca="false">IF(O52+P52=0,"rank&lt;4",IF(MIN(O52,P52)=0,IF(O52&gt;0,"Gr&gt;=0 (+)","Gr&gt;=0 (-)"),"mixed"))</f>
        <v>mixed</v>
      </c>
    </row>
    <row r="53" customFormat="false" ht="15" hidden="false" customHeight="true" outlineLevel="0" collapsed="false">
      <c r="A53" s="6" t="n">
        <v>50</v>
      </c>
      <c r="B53" s="6" t="s">
        <v>117</v>
      </c>
      <c r="C53" s="8" t="n">
        <v>0</v>
      </c>
      <c r="D53" s="8" t="n">
        <v>0</v>
      </c>
      <c r="E53" s="6" t="str">
        <f aca="false">IF(C53+D53=0,"rank&lt;4",IF(MIN(C53,D53)=0,IF(C53&gt;0,"Gr&gt;=0 (+)","Gr&gt;=0 (-)"),"mixed"))</f>
        <v>rank&lt;4</v>
      </c>
      <c r="F53" s="8" t="n">
        <v>0</v>
      </c>
      <c r="G53" s="8" t="n">
        <v>0</v>
      </c>
      <c r="H53" s="6" t="str">
        <f aca="false">IF(F53+G53=0,"rank&lt;4",IF(MIN(F53,G53)=0,IF(F53&gt;0,"Gr&gt;=0 (+)","Gr&gt;=0 (-)"),"mixed"))</f>
        <v>rank&lt;4</v>
      </c>
      <c r="I53" s="8" t="n">
        <v>13</v>
      </c>
      <c r="J53" s="8" t="n">
        <v>2</v>
      </c>
      <c r="K53" s="6" t="str">
        <f aca="false">IF(I53+J53=0,"rank&lt;4",IF(MIN(I53,J53)=0,IF(I53&gt;0,"Gr&gt;=0 (+)","Gr&gt;=0 (-)"),"mixed"))</f>
        <v>mixed</v>
      </c>
      <c r="L53" s="8" t="n">
        <v>59</v>
      </c>
      <c r="M53" s="8" t="n">
        <v>46</v>
      </c>
      <c r="N53" s="6" t="str">
        <f aca="false">IF(L53+M53=0,"rank&lt;4",IF(MIN(L53,M53)=0,IF(L53&gt;0,"Gr&gt;=0 (+)","Gr&gt;=0 (-)"),"mixed"))</f>
        <v>mixed</v>
      </c>
      <c r="O53" s="8" t="n">
        <v>152</v>
      </c>
      <c r="P53" s="8" t="n">
        <v>178</v>
      </c>
      <c r="Q53" s="6" t="str">
        <f aca="false">IF(O53+P53=0,"rank&lt;4",IF(MIN(O53,P53)=0,IF(O53&gt;0,"Gr&gt;=0 (+)","Gr&gt;=0 (-)"),"mixed"))</f>
        <v>mixed</v>
      </c>
    </row>
    <row r="54" customFormat="false" ht="15" hidden="false" customHeight="true" outlineLevel="0" collapsed="false">
      <c r="A54" s="6" t="n">
        <v>51</v>
      </c>
      <c r="B54" s="6" t="s">
        <v>118</v>
      </c>
      <c r="C54" s="8" t="n">
        <v>0</v>
      </c>
      <c r="D54" s="8" t="n">
        <v>0</v>
      </c>
      <c r="E54" s="6" t="str">
        <f aca="false">IF(C54+D54=0,"rank&lt;4",IF(MIN(C54,D54)=0,IF(C54&gt;0,"Gr&gt;=0 (+)","Gr&gt;=0 (-)"),"mixed"))</f>
        <v>rank&lt;4</v>
      </c>
      <c r="F54" s="8" t="n">
        <v>0</v>
      </c>
      <c r="G54" s="8" t="n">
        <v>0</v>
      </c>
      <c r="H54" s="6" t="str">
        <f aca="false">IF(F54+G54=0,"rank&lt;4",IF(MIN(F54,G54)=0,IF(F54&gt;0,"Gr&gt;=0 (+)","Gr&gt;=0 (-)"),"mixed"))</f>
        <v>rank&lt;4</v>
      </c>
      <c r="I54" s="8" t="n">
        <v>13</v>
      </c>
      <c r="J54" s="8" t="n">
        <v>2</v>
      </c>
      <c r="K54" s="6" t="str">
        <f aca="false">IF(I54+J54=0,"rank&lt;4",IF(MIN(I54,J54)=0,IF(I54&gt;0,"Gr&gt;=0 (+)","Gr&gt;=0 (-)"),"mixed"))</f>
        <v>mixed</v>
      </c>
      <c r="L54" s="8" t="n">
        <v>80</v>
      </c>
      <c r="M54" s="8" t="n">
        <v>90</v>
      </c>
      <c r="N54" s="6" t="str">
        <f aca="false">IF(L54+M54=0,"rank&lt;4",IF(MIN(L54,M54)=0,IF(L54&gt;0,"Gr&gt;=0 (+)","Gr&gt;=0 (-)"),"mixed"))</f>
        <v>mixed</v>
      </c>
      <c r="O54" s="8" t="n">
        <v>169</v>
      </c>
      <c r="P54" s="8" t="n">
        <v>161</v>
      </c>
      <c r="Q54" s="6" t="str">
        <f aca="false">IF(O54+P54=0,"rank&lt;4",IF(MIN(O54,P54)=0,IF(O54&gt;0,"Gr&gt;=0 (+)","Gr&gt;=0 (-)"),"mixed"))</f>
        <v>mixed</v>
      </c>
    </row>
    <row r="55" customFormat="false" ht="15" hidden="false" customHeight="true" outlineLevel="0" collapsed="false">
      <c r="A55" s="6" t="n">
        <v>52</v>
      </c>
      <c r="B55" s="6" t="s">
        <v>119</v>
      </c>
      <c r="C55" s="8" t="n">
        <v>4</v>
      </c>
      <c r="D55" s="8" t="n">
        <v>0</v>
      </c>
      <c r="E55" s="6" t="str">
        <f aca="false">IF(C55+D55=0,"rank&lt;4",IF(MIN(C55,D55)=0,IF(C55&gt;0,"Gr&gt;=0 (+)","Gr&gt;=0 (-)"),"mixed"))</f>
        <v>Gr&gt;=0 (+)</v>
      </c>
      <c r="F55" s="8" t="n">
        <v>4</v>
      </c>
      <c r="G55" s="8" t="n">
        <v>1</v>
      </c>
      <c r="H55" s="6" t="str">
        <f aca="false">IF(F55+G55=0,"rank&lt;4",IF(MIN(F55,G55)=0,IF(F55&gt;0,"Gr&gt;=0 (+)","Gr&gt;=0 (-)"),"mixed"))</f>
        <v>mixed</v>
      </c>
      <c r="I55" s="8" t="n">
        <v>12</v>
      </c>
      <c r="J55" s="8" t="n">
        <v>3</v>
      </c>
      <c r="K55" s="6" t="str">
        <f aca="false">IF(I55+J55=0,"rank&lt;4",IF(MIN(I55,J55)=0,IF(I55&gt;0,"Gr&gt;=0 (+)","Gr&gt;=0 (-)"),"mixed"))</f>
        <v>mixed</v>
      </c>
      <c r="L55" s="8" t="n">
        <v>130</v>
      </c>
      <c r="M55" s="8" t="n">
        <v>148</v>
      </c>
      <c r="N55" s="6" t="str">
        <f aca="false">IF(L55+M55=0,"rank&lt;4",IF(MIN(L55,M55)=0,IF(L55&gt;0,"Gr&gt;=0 (+)","Gr&gt;=0 (-)"),"mixed"))</f>
        <v>mixed</v>
      </c>
      <c r="O55" s="8" t="n">
        <v>163</v>
      </c>
      <c r="P55" s="8" t="n">
        <v>167</v>
      </c>
      <c r="Q55" s="6" t="str">
        <f aca="false">IF(O55+P55=0,"rank&lt;4",IF(MIN(O55,P55)=0,IF(O55&gt;0,"Gr&gt;=0 (+)","Gr&gt;=0 (-)"),"mixed"))</f>
        <v>mixed</v>
      </c>
    </row>
    <row r="56" customFormat="false" ht="15" hidden="false" customHeight="true" outlineLevel="0" collapsed="false">
      <c r="A56" s="6" t="n">
        <v>53</v>
      </c>
      <c r="B56" s="6" t="s">
        <v>120</v>
      </c>
      <c r="C56" s="8" t="n">
        <v>0</v>
      </c>
      <c r="D56" s="8" t="n">
        <v>0</v>
      </c>
      <c r="E56" s="6" t="str">
        <f aca="false">IF(C56+D56=0,"rank&lt;4",IF(MIN(C56,D56)=0,IF(C56&gt;0,"Gr&gt;=0 (+)","Gr&gt;=0 (-)"),"mixed"))</f>
        <v>rank&lt;4</v>
      </c>
      <c r="F56" s="8" t="n">
        <v>0</v>
      </c>
      <c r="G56" s="8" t="n">
        <v>0</v>
      </c>
      <c r="H56" s="6" t="str">
        <f aca="false">IF(F56+G56=0,"rank&lt;4",IF(MIN(F56,G56)=0,IF(F56&gt;0,"Gr&gt;=0 (+)","Gr&gt;=0 (-)"),"mixed"))</f>
        <v>rank&lt;4</v>
      </c>
      <c r="I56" s="8" t="n">
        <v>8</v>
      </c>
      <c r="J56" s="8" t="n">
        <v>7</v>
      </c>
      <c r="K56" s="6" t="str">
        <f aca="false">IF(I56+J56=0,"rank&lt;4",IF(MIN(I56,J56)=0,IF(I56&gt;0,"Gr&gt;=0 (+)","Gr&gt;=0 (-)"),"mixed"))</f>
        <v>mixed</v>
      </c>
      <c r="L56" s="8" t="n">
        <v>58</v>
      </c>
      <c r="M56" s="8" t="n">
        <v>47</v>
      </c>
      <c r="N56" s="6" t="str">
        <f aca="false">IF(L56+M56=0,"rank&lt;4",IF(MIN(L56,M56)=0,IF(L56&gt;0,"Gr&gt;=0 (+)","Gr&gt;=0 (-)"),"mixed"))</f>
        <v>mixed</v>
      </c>
      <c r="O56" s="8" t="n">
        <v>155</v>
      </c>
      <c r="P56" s="8" t="n">
        <v>175</v>
      </c>
      <c r="Q56" s="6" t="str">
        <f aca="false">IF(O56+P56=0,"rank&lt;4",IF(MIN(O56,P56)=0,IF(O56&gt;0,"Gr&gt;=0 (+)","Gr&gt;=0 (-)"),"mixed"))</f>
        <v>mixed</v>
      </c>
    </row>
    <row r="57" customFormat="false" ht="15" hidden="false" customHeight="true" outlineLevel="0" collapsed="false">
      <c r="A57" s="6" t="n">
        <v>54</v>
      </c>
      <c r="B57" s="6" t="s">
        <v>121</v>
      </c>
      <c r="C57" s="8" t="n">
        <v>0</v>
      </c>
      <c r="D57" s="8" t="n">
        <v>4</v>
      </c>
      <c r="E57" s="6" t="str">
        <f aca="false">IF(C57+D57=0,"rank&lt;4",IF(MIN(C57,D57)=0,IF(C57&gt;0,"Gr&gt;=0 (+)","Gr&gt;=0 (-)"),"mixed"))</f>
        <v>Gr&gt;=0 (-)</v>
      </c>
      <c r="F57" s="8" t="n">
        <v>1</v>
      </c>
      <c r="G57" s="8" t="n">
        <v>4</v>
      </c>
      <c r="H57" s="6" t="str">
        <f aca="false">IF(F57+G57=0,"rank&lt;4",IF(MIN(F57,G57)=0,IF(F57&gt;0,"Gr&gt;=0 (+)","Gr&gt;=0 (-)"),"mixed"))</f>
        <v>mixed</v>
      </c>
      <c r="I57" s="8" t="n">
        <v>8</v>
      </c>
      <c r="J57" s="8" t="n">
        <v>7</v>
      </c>
      <c r="K57" s="6" t="str">
        <f aca="false">IF(I57+J57=0,"rank&lt;4",IF(MIN(I57,J57)=0,IF(I57&gt;0,"Gr&gt;=0 (+)","Gr&gt;=0 (-)"),"mixed"))</f>
        <v>mixed</v>
      </c>
      <c r="L57" s="8" t="n">
        <v>126</v>
      </c>
      <c r="M57" s="8" t="n">
        <v>149</v>
      </c>
      <c r="N57" s="6" t="str">
        <f aca="false">IF(L57+M57=0,"rank&lt;4",IF(MIN(L57,M57)=0,IF(L57&gt;0,"Gr&gt;=0 (+)","Gr&gt;=0 (-)"),"mixed"))</f>
        <v>mixed</v>
      </c>
      <c r="O57" s="8" t="n">
        <v>156</v>
      </c>
      <c r="P57" s="8" t="n">
        <v>174</v>
      </c>
      <c r="Q57" s="6" t="str">
        <f aca="false">IF(O57+P57=0,"rank&lt;4",IF(MIN(O57,P57)=0,IF(O57&gt;0,"Gr&gt;=0 (+)","Gr&gt;=0 (-)"),"mixed"))</f>
        <v>mixed</v>
      </c>
    </row>
    <row r="58" customFormat="false" ht="15" hidden="false" customHeight="true" outlineLevel="0" collapsed="false">
      <c r="A58" s="6" t="n">
        <v>55</v>
      </c>
      <c r="B58" s="6" t="s">
        <v>122</v>
      </c>
      <c r="C58" s="8" t="n">
        <v>4</v>
      </c>
      <c r="D58" s="8" t="n">
        <v>0</v>
      </c>
      <c r="E58" s="6" t="str">
        <f aca="false">IF(C58+D58=0,"rank&lt;4",IF(MIN(C58,D58)=0,IF(C58&gt;0,"Gr&gt;=0 (+)","Gr&gt;=0 (-)"),"mixed"))</f>
        <v>Gr&gt;=0 (+)</v>
      </c>
      <c r="F58" s="8" t="n">
        <v>4</v>
      </c>
      <c r="G58" s="8" t="n">
        <v>1</v>
      </c>
      <c r="H58" s="6" t="str">
        <f aca="false">IF(F58+G58=0,"rank&lt;4",IF(MIN(F58,G58)=0,IF(F58&gt;0,"Gr&gt;=0 (+)","Gr&gt;=0 (-)"),"mixed"))</f>
        <v>mixed</v>
      </c>
      <c r="I58" s="8" t="n">
        <v>10</v>
      </c>
      <c r="J58" s="8" t="n">
        <v>5</v>
      </c>
      <c r="K58" s="6" t="str">
        <f aca="false">IF(I58+J58=0,"rank&lt;4",IF(MIN(I58,J58)=0,IF(I58&gt;0,"Gr&gt;=0 (+)","Gr&gt;=0 (-)"),"mixed"))</f>
        <v>mixed</v>
      </c>
      <c r="L58" s="8" t="n">
        <v>136</v>
      </c>
      <c r="M58" s="8" t="n">
        <v>144</v>
      </c>
      <c r="N58" s="6" t="str">
        <f aca="false">IF(L58+M58=0,"rank&lt;4",IF(MIN(L58,M58)=0,IF(L58&gt;0,"Gr&gt;=0 (+)","Gr&gt;=0 (-)"),"mixed"))</f>
        <v>mixed</v>
      </c>
      <c r="O58" s="8" t="n">
        <v>171</v>
      </c>
      <c r="P58" s="8" t="n">
        <v>159</v>
      </c>
      <c r="Q58" s="6" t="str">
        <f aca="false">IF(O58+P58=0,"rank&lt;4",IF(MIN(O58,P58)=0,IF(O58&gt;0,"Gr&gt;=0 (+)","Gr&gt;=0 (-)"),"mixed"))</f>
        <v>mixed</v>
      </c>
    </row>
    <row r="59" customFormat="false" ht="15" hidden="false" customHeight="true" outlineLevel="0" collapsed="false">
      <c r="A59" s="6" t="n">
        <v>56</v>
      </c>
      <c r="B59" s="6" t="s">
        <v>123</v>
      </c>
      <c r="C59" s="8" t="n">
        <v>4</v>
      </c>
      <c r="D59" s="8" t="n">
        <v>0</v>
      </c>
      <c r="E59" s="6" t="str">
        <f aca="false">IF(C59+D59=0,"rank&lt;4",IF(MIN(C59,D59)=0,IF(C59&gt;0,"Gr&gt;=0 (+)","Gr&gt;=0 (-)"),"mixed"))</f>
        <v>Gr&gt;=0 (+)</v>
      </c>
      <c r="F59" s="8" t="n">
        <v>4</v>
      </c>
      <c r="G59" s="8" t="n">
        <v>1</v>
      </c>
      <c r="H59" s="6" t="str">
        <f aca="false">IF(F59+G59=0,"rank&lt;4",IF(MIN(F59,G59)=0,IF(F59&gt;0,"Gr&gt;=0 (+)","Gr&gt;=0 (-)"),"mixed"))</f>
        <v>mixed</v>
      </c>
      <c r="I59" s="8" t="n">
        <v>11</v>
      </c>
      <c r="J59" s="8" t="n">
        <v>4</v>
      </c>
      <c r="K59" s="6" t="str">
        <f aca="false">IF(I59+J59=0,"rank&lt;4",IF(MIN(I59,J59)=0,IF(I59&gt;0,"Gr&gt;=0 (+)","Gr&gt;=0 (-)"),"mixed"))</f>
        <v>mixed</v>
      </c>
      <c r="L59" s="8" t="n">
        <v>127</v>
      </c>
      <c r="M59" s="8" t="n">
        <v>153</v>
      </c>
      <c r="N59" s="6" t="str">
        <f aca="false">IF(L59+M59=0,"rank&lt;4",IF(MIN(L59,M59)=0,IF(L59&gt;0,"Gr&gt;=0 (+)","Gr&gt;=0 (-)"),"mixed"))</f>
        <v>mixed</v>
      </c>
      <c r="O59" s="8" t="n">
        <v>163</v>
      </c>
      <c r="P59" s="8" t="n">
        <v>167</v>
      </c>
      <c r="Q59" s="6" t="str">
        <f aca="false">IF(O59+P59=0,"rank&lt;4",IF(MIN(O59,P59)=0,IF(O59&gt;0,"Gr&gt;=0 (+)","Gr&gt;=0 (-)"),"mixed"))</f>
        <v>mixed</v>
      </c>
    </row>
    <row r="60" customFormat="false" ht="15" hidden="false" customHeight="true" outlineLevel="0" collapsed="false">
      <c r="A60" s="6" t="n">
        <v>57</v>
      </c>
      <c r="B60" s="6" t="s">
        <v>124</v>
      </c>
      <c r="C60" s="8" t="n">
        <v>0</v>
      </c>
      <c r="D60" s="8" t="n">
        <v>0</v>
      </c>
      <c r="E60" s="6" t="str">
        <f aca="false">IF(C60+D60=0,"rank&lt;4",IF(MIN(C60,D60)=0,IF(C60&gt;0,"Gr&gt;=0 (+)","Gr&gt;=0 (-)"),"mixed"))</f>
        <v>rank&lt;4</v>
      </c>
      <c r="F60" s="8" t="n">
        <v>0</v>
      </c>
      <c r="G60" s="8" t="n">
        <v>0</v>
      </c>
      <c r="H60" s="6" t="str">
        <f aca="false">IF(F60+G60=0,"rank&lt;4",IF(MIN(F60,G60)=0,IF(F60&gt;0,"Gr&gt;=0 (+)","Gr&gt;=0 (-)"),"mixed"))</f>
        <v>rank&lt;4</v>
      </c>
      <c r="I60" s="8" t="n">
        <v>9</v>
      </c>
      <c r="J60" s="8" t="n">
        <v>6</v>
      </c>
      <c r="K60" s="6" t="str">
        <f aca="false">IF(I60+J60=0,"rank&lt;4",IF(MIN(I60,J60)=0,IF(I60&gt;0,"Gr&gt;=0 (+)","Gr&gt;=0 (-)"),"mixed"))</f>
        <v>mixed</v>
      </c>
      <c r="L60" s="8" t="n">
        <v>35</v>
      </c>
      <c r="M60" s="8" t="n">
        <v>35</v>
      </c>
      <c r="N60" s="6" t="str">
        <f aca="false">IF(L60+M60=0,"rank&lt;4",IF(MIN(L60,M60)=0,IF(L60&gt;0,"Gr&gt;=0 (+)","Gr&gt;=0 (-)"),"mixed"))</f>
        <v>mixed</v>
      </c>
      <c r="O60" s="8" t="n">
        <v>187</v>
      </c>
      <c r="P60" s="8" t="n">
        <v>143</v>
      </c>
      <c r="Q60" s="6" t="str">
        <f aca="false">IF(O60+P60=0,"rank&lt;4",IF(MIN(O60,P60)=0,IF(O60&gt;0,"Gr&gt;=0 (+)","Gr&gt;=0 (-)"),"mixed"))</f>
        <v>mixed</v>
      </c>
    </row>
    <row r="61" customFormat="false" ht="15" hidden="false" customHeight="true" outlineLevel="0" collapsed="false">
      <c r="A61" s="6" t="n">
        <v>58</v>
      </c>
      <c r="B61" s="6" t="s">
        <v>125</v>
      </c>
      <c r="C61" s="8" t="n">
        <v>0</v>
      </c>
      <c r="D61" s="8" t="n">
        <v>0</v>
      </c>
      <c r="E61" s="6" t="str">
        <f aca="false">IF(C61+D61=0,"rank&lt;4",IF(MIN(C61,D61)=0,IF(C61&gt;0,"Gr&gt;=0 (+)","Gr&gt;=0 (-)"),"mixed"))</f>
        <v>rank&lt;4</v>
      </c>
      <c r="F61" s="8" t="n">
        <v>0</v>
      </c>
      <c r="G61" s="8" t="n">
        <v>0</v>
      </c>
      <c r="H61" s="6" t="str">
        <f aca="false">IF(F61+G61=0,"rank&lt;4",IF(MIN(F61,G61)=0,IF(F61&gt;0,"Gr&gt;=0 (+)","Gr&gt;=0 (-)"),"mixed"))</f>
        <v>rank&lt;4</v>
      </c>
      <c r="I61" s="8" t="n">
        <v>8</v>
      </c>
      <c r="J61" s="8" t="n">
        <v>7</v>
      </c>
      <c r="K61" s="6" t="str">
        <f aca="false">IF(I61+J61=0,"rank&lt;4",IF(MIN(I61,J61)=0,IF(I61&gt;0,"Gr&gt;=0 (+)","Gr&gt;=0 (-)"),"mixed"))</f>
        <v>mixed</v>
      </c>
      <c r="L61" s="8" t="n">
        <v>36</v>
      </c>
      <c r="M61" s="8" t="n">
        <v>34</v>
      </c>
      <c r="N61" s="6" t="str">
        <f aca="false">IF(L61+M61=0,"rank&lt;4",IF(MIN(L61,M61)=0,IF(L61&gt;0,"Gr&gt;=0 (+)","Gr&gt;=0 (-)"),"mixed"))</f>
        <v>mixed</v>
      </c>
      <c r="O61" s="8" t="n">
        <v>184</v>
      </c>
      <c r="P61" s="8" t="n">
        <v>146</v>
      </c>
      <c r="Q61" s="6" t="str">
        <f aca="false">IF(O61+P61=0,"rank&lt;4",IF(MIN(O61,P61)=0,IF(O61&gt;0,"Gr&gt;=0 (+)","Gr&gt;=0 (-)"),"mixed"))</f>
        <v>mixed</v>
      </c>
    </row>
    <row r="62" customFormat="false" ht="15" hidden="false" customHeight="true" outlineLevel="0" collapsed="false">
      <c r="A62" s="6" t="n">
        <v>59</v>
      </c>
      <c r="B62" s="6" t="s">
        <v>126</v>
      </c>
      <c r="C62" s="8" t="n">
        <v>0</v>
      </c>
      <c r="D62" s="8" t="n">
        <v>0</v>
      </c>
      <c r="E62" s="6" t="str">
        <f aca="false">IF(C62+D62=0,"rank&lt;4",IF(MIN(C62,D62)=0,IF(C62&gt;0,"Gr&gt;=0 (+)","Gr&gt;=0 (-)"),"mixed"))</f>
        <v>rank&lt;4</v>
      </c>
      <c r="F62" s="8" t="n">
        <v>0</v>
      </c>
      <c r="G62" s="8" t="n">
        <v>0</v>
      </c>
      <c r="H62" s="6" t="str">
        <f aca="false">IF(F62+G62=0,"rank&lt;4",IF(MIN(F62,G62)=0,IF(F62&gt;0,"Gr&gt;=0 (+)","Gr&gt;=0 (-)"),"mixed"))</f>
        <v>rank&lt;4</v>
      </c>
      <c r="I62" s="8" t="n">
        <v>7</v>
      </c>
      <c r="J62" s="8" t="n">
        <v>8</v>
      </c>
      <c r="K62" s="6" t="str">
        <f aca="false">IF(I62+J62=0,"rank&lt;4",IF(MIN(I62,J62)=0,IF(I62&gt;0,"Gr&gt;=0 (+)","Gr&gt;=0 (-)"),"mixed"))</f>
        <v>mixed</v>
      </c>
      <c r="L62" s="8" t="n">
        <v>36</v>
      </c>
      <c r="M62" s="8" t="n">
        <v>34</v>
      </c>
      <c r="N62" s="6" t="str">
        <f aca="false">IF(L62+M62=0,"rank&lt;4",IF(MIN(L62,M62)=0,IF(L62&gt;0,"Gr&gt;=0 (+)","Gr&gt;=0 (-)"),"mixed"))</f>
        <v>mixed</v>
      </c>
      <c r="O62" s="8" t="n">
        <v>161</v>
      </c>
      <c r="P62" s="8" t="n">
        <v>169</v>
      </c>
      <c r="Q62" s="6" t="str">
        <f aca="false">IF(O62+P62=0,"rank&lt;4",IF(MIN(O62,P62)=0,IF(O62&gt;0,"Gr&gt;=0 (+)","Gr&gt;=0 (-)"),"mixed"))</f>
        <v>mixed</v>
      </c>
    </row>
    <row r="63" customFormat="false" ht="15" hidden="false" customHeight="true" outlineLevel="0" collapsed="false">
      <c r="A63" s="6" t="n">
        <v>60</v>
      </c>
      <c r="B63" s="6" t="s">
        <v>127</v>
      </c>
      <c r="C63" s="8" t="n">
        <v>0</v>
      </c>
      <c r="D63" s="8" t="n">
        <v>0</v>
      </c>
      <c r="E63" s="6" t="str">
        <f aca="false">IF(C63+D63=0,"rank&lt;4",IF(MIN(C63,D63)=0,IF(C63&gt;0,"Gr&gt;=0 (+)","Gr&gt;=0 (-)"),"mixed"))</f>
        <v>rank&lt;4</v>
      </c>
      <c r="F63" s="8" t="n">
        <v>0</v>
      </c>
      <c r="G63" s="8" t="n">
        <v>0</v>
      </c>
      <c r="H63" s="6" t="str">
        <f aca="false">IF(F63+G63=0,"rank&lt;4",IF(MIN(F63,G63)=0,IF(F63&gt;0,"Gr&gt;=0 (+)","Gr&gt;=0 (-)"),"mixed"))</f>
        <v>rank&lt;4</v>
      </c>
      <c r="I63" s="8" t="n">
        <v>9</v>
      </c>
      <c r="J63" s="8" t="n">
        <v>6</v>
      </c>
      <c r="K63" s="6" t="str">
        <f aca="false">IF(I63+J63=0,"rank&lt;4",IF(MIN(I63,J63)=0,IF(I63&gt;0,"Gr&gt;=0 (+)","Gr&gt;=0 (-)"),"mixed"))</f>
        <v>mixed</v>
      </c>
      <c r="L63" s="8" t="n">
        <v>36</v>
      </c>
      <c r="M63" s="8" t="n">
        <v>34</v>
      </c>
      <c r="N63" s="6" t="str">
        <f aca="false">IF(L63+M63=0,"rank&lt;4",IF(MIN(L63,M63)=0,IF(L63&gt;0,"Gr&gt;=0 (+)","Gr&gt;=0 (-)"),"mixed"))</f>
        <v>mixed</v>
      </c>
      <c r="O63" s="8" t="n">
        <v>177</v>
      </c>
      <c r="P63" s="8" t="n">
        <v>153</v>
      </c>
      <c r="Q63" s="6" t="str">
        <f aca="false">IF(O63+P63=0,"rank&lt;4",IF(MIN(O63,P63)=0,IF(O63&gt;0,"Gr&gt;=0 (+)","Gr&gt;=0 (-)"),"mixed"))</f>
        <v>mixed</v>
      </c>
    </row>
    <row r="64" customFormat="false" ht="15" hidden="false" customHeight="true" outlineLevel="0" collapsed="false">
      <c r="A64" s="6" t="n">
        <v>61</v>
      </c>
      <c r="B64" s="6" t="s">
        <v>128</v>
      </c>
      <c r="C64" s="8" t="n">
        <v>0</v>
      </c>
      <c r="D64" s="8" t="n">
        <v>2</v>
      </c>
      <c r="E64" s="6" t="str">
        <f aca="false">IF(C64+D64=0,"rank&lt;4",IF(MIN(C64,D64)=0,IF(C64&gt;0,"Gr&gt;=0 (+)","Gr&gt;=0 (-)"),"mixed"))</f>
        <v>Gr&gt;=0 (-)</v>
      </c>
      <c r="F64" s="8" t="n">
        <v>0</v>
      </c>
      <c r="G64" s="8" t="n">
        <v>2</v>
      </c>
      <c r="H64" s="6" t="str">
        <f aca="false">IF(F64+G64=0,"rank&lt;4",IF(MIN(F64,G64)=0,IF(F64&gt;0,"Gr&gt;=0 (+)","Gr&gt;=0 (-)"),"mixed"))</f>
        <v>Gr&gt;=0 (-)</v>
      </c>
      <c r="I64" s="8" t="n">
        <v>7</v>
      </c>
      <c r="J64" s="8" t="n">
        <v>8</v>
      </c>
      <c r="K64" s="6" t="str">
        <f aca="false">IF(I64+J64=0,"rank&lt;4",IF(MIN(I64,J64)=0,IF(I64&gt;0,"Gr&gt;=0 (+)","Gr&gt;=0 (-)"),"mixed"))</f>
        <v>mixed</v>
      </c>
      <c r="L64" s="8" t="n">
        <v>91</v>
      </c>
      <c r="M64" s="8" t="n">
        <v>89</v>
      </c>
      <c r="N64" s="6" t="str">
        <f aca="false">IF(L64+M64=0,"rank&lt;4",IF(MIN(L64,M64)=0,IF(L64&gt;0,"Gr&gt;=0 (+)","Gr&gt;=0 (-)"),"mixed"))</f>
        <v>mixed</v>
      </c>
      <c r="O64" s="8" t="n">
        <v>182</v>
      </c>
      <c r="P64" s="8" t="n">
        <v>148</v>
      </c>
      <c r="Q64" s="6" t="str">
        <f aca="false">IF(O64+P64=0,"rank&lt;4",IF(MIN(O64,P64)=0,IF(O64&gt;0,"Gr&gt;=0 (+)","Gr&gt;=0 (-)"),"mixed"))</f>
        <v>mixed</v>
      </c>
    </row>
    <row r="65" customFormat="false" ht="15" hidden="false" customHeight="true" outlineLevel="0" collapsed="false">
      <c r="A65" s="6" t="n">
        <v>62</v>
      </c>
      <c r="B65" s="6" t="s">
        <v>129</v>
      </c>
      <c r="C65" s="8" t="n">
        <v>0</v>
      </c>
      <c r="D65" s="8" t="n">
        <v>0</v>
      </c>
      <c r="E65" s="6" t="str">
        <f aca="false">IF(C65+D65=0,"rank&lt;4",IF(MIN(C65,D65)=0,IF(C65&gt;0,"Gr&gt;=0 (+)","Gr&gt;=0 (-)"),"mixed"))</f>
        <v>rank&lt;4</v>
      </c>
      <c r="F65" s="8" t="n">
        <v>0</v>
      </c>
      <c r="G65" s="8" t="n">
        <v>0</v>
      </c>
      <c r="H65" s="6" t="str">
        <f aca="false">IF(F65+G65=0,"rank&lt;4",IF(MIN(F65,G65)=0,IF(F65&gt;0,"Gr&gt;=0 (+)","Gr&gt;=0 (-)"),"mixed"))</f>
        <v>rank&lt;4</v>
      </c>
      <c r="I65" s="8" t="n">
        <v>6</v>
      </c>
      <c r="J65" s="8" t="n">
        <v>9</v>
      </c>
      <c r="K65" s="6" t="str">
        <f aca="false">IF(I65+J65=0,"rank&lt;4",IF(MIN(I65,J65)=0,IF(I65&gt;0,"Gr&gt;=0 (+)","Gr&gt;=0 (-)"),"mixed"))</f>
        <v>mixed</v>
      </c>
      <c r="L65" s="8" t="n">
        <v>21</v>
      </c>
      <c r="M65" s="8" t="n">
        <v>14</v>
      </c>
      <c r="N65" s="6" t="str">
        <f aca="false">IF(L65+M65=0,"rank&lt;4",IF(MIN(L65,M65)=0,IF(L65&gt;0,"Gr&gt;=0 (+)","Gr&gt;=0 (-)"),"mixed"))</f>
        <v>mixed</v>
      </c>
      <c r="O65" s="8" t="n">
        <v>145</v>
      </c>
      <c r="P65" s="8" t="n">
        <v>185</v>
      </c>
      <c r="Q65" s="6" t="str">
        <f aca="false">IF(O65+P65=0,"rank&lt;4",IF(MIN(O65,P65)=0,IF(O65&gt;0,"Gr&gt;=0 (+)","Gr&gt;=0 (-)"),"mixed"))</f>
        <v>mixed</v>
      </c>
    </row>
    <row r="66" customFormat="false" ht="15" hidden="false" customHeight="true" outlineLevel="0" collapsed="false">
      <c r="A66" s="6" t="n">
        <v>63</v>
      </c>
      <c r="B66" s="6" t="s">
        <v>130</v>
      </c>
      <c r="C66" s="8" t="n">
        <v>0</v>
      </c>
      <c r="D66" s="8" t="n">
        <v>0</v>
      </c>
      <c r="E66" s="6" t="str">
        <f aca="false">IF(C66+D66=0,"rank&lt;4",IF(MIN(C66,D66)=0,IF(C66&gt;0,"Gr&gt;=0 (+)","Gr&gt;=0 (-)"),"mixed"))</f>
        <v>rank&lt;4</v>
      </c>
      <c r="F66" s="8" t="n">
        <v>0</v>
      </c>
      <c r="G66" s="8" t="n">
        <v>0</v>
      </c>
      <c r="H66" s="6" t="str">
        <f aca="false">IF(F66+G66=0,"rank&lt;4",IF(MIN(F66,G66)=0,IF(F66&gt;0,"Gr&gt;=0 (+)","Gr&gt;=0 (-)"),"mixed"))</f>
        <v>rank&lt;4</v>
      </c>
      <c r="I66" s="8" t="n">
        <v>5</v>
      </c>
      <c r="J66" s="8" t="n">
        <v>10</v>
      </c>
      <c r="K66" s="6" t="str">
        <f aca="false">IF(I66+J66=0,"rank&lt;4",IF(MIN(I66,J66)=0,IF(I66&gt;0,"Gr&gt;=0 (+)","Gr&gt;=0 (-)"),"mixed"))</f>
        <v>mixed</v>
      </c>
      <c r="L66" s="8" t="n">
        <v>22</v>
      </c>
      <c r="M66" s="8" t="n">
        <v>13</v>
      </c>
      <c r="N66" s="6" t="str">
        <f aca="false">IF(L66+M66=0,"rank&lt;4",IF(MIN(L66,M66)=0,IF(L66&gt;0,"Gr&gt;=0 (+)","Gr&gt;=0 (-)"),"mixed"))</f>
        <v>mixed</v>
      </c>
      <c r="O66" s="8" t="n">
        <v>144</v>
      </c>
      <c r="P66" s="8" t="n">
        <v>186</v>
      </c>
      <c r="Q66" s="6" t="str">
        <f aca="false">IF(O66+P66=0,"rank&lt;4",IF(MIN(O66,P66)=0,IF(O66&gt;0,"Gr&gt;=0 (+)","Gr&gt;=0 (-)"),"mixed"))</f>
        <v>mixed</v>
      </c>
    </row>
    <row r="67" customFormat="false" ht="15" hidden="false" customHeight="true" outlineLevel="0" collapsed="false">
      <c r="A67" s="6" t="n">
        <v>64</v>
      </c>
      <c r="B67" s="6" t="s">
        <v>131</v>
      </c>
      <c r="C67" s="8" t="n">
        <v>0</v>
      </c>
      <c r="D67" s="8" t="n">
        <v>0</v>
      </c>
      <c r="E67" s="6" t="str">
        <f aca="false">IF(C67+D67=0,"rank&lt;4",IF(MIN(C67,D67)=0,IF(C67&gt;0,"Gr&gt;=0 (+)","Gr&gt;=0 (-)"),"mixed"))</f>
        <v>rank&lt;4</v>
      </c>
      <c r="F67" s="8" t="n">
        <v>0</v>
      </c>
      <c r="G67" s="8" t="n">
        <v>0</v>
      </c>
      <c r="H67" s="6" t="str">
        <f aca="false">IF(F67+G67=0,"rank&lt;4",IF(MIN(F67,G67)=0,IF(F67&gt;0,"Gr&gt;=0 (+)","Gr&gt;=0 (-)"),"mixed"))</f>
        <v>rank&lt;4</v>
      </c>
      <c r="I67" s="8" t="n">
        <v>7</v>
      </c>
      <c r="J67" s="8" t="n">
        <v>8</v>
      </c>
      <c r="K67" s="6" t="str">
        <f aca="false">IF(I67+J67=0,"rank&lt;4",IF(MIN(I67,J67)=0,IF(I67&gt;0,"Gr&gt;=0 (+)","Gr&gt;=0 (-)"),"mixed"))</f>
        <v>mixed</v>
      </c>
      <c r="L67" s="8" t="n">
        <v>17</v>
      </c>
      <c r="M67" s="8" t="n">
        <v>18</v>
      </c>
      <c r="N67" s="6" t="str">
        <f aca="false">IF(L67+M67=0,"rank&lt;4",IF(MIN(L67,M67)=0,IF(L67&gt;0,"Gr&gt;=0 (+)","Gr&gt;=0 (-)"),"mixed"))</f>
        <v>mixed</v>
      </c>
      <c r="O67" s="8" t="n">
        <v>151</v>
      </c>
      <c r="P67" s="8" t="n">
        <v>179</v>
      </c>
      <c r="Q67" s="6" t="str">
        <f aca="false">IF(O67+P67=0,"rank&lt;4",IF(MIN(O67,P67)=0,IF(O67&gt;0,"Gr&gt;=0 (+)","Gr&gt;=0 (-)"),"mixed"))</f>
        <v>mixed</v>
      </c>
    </row>
    <row r="68" customFormat="false" ht="15" hidden="false" customHeight="true" outlineLevel="0" collapsed="false">
      <c r="A68" s="6" t="n">
        <v>65</v>
      </c>
      <c r="B68" s="6" t="s">
        <v>132</v>
      </c>
      <c r="C68" s="8" t="n">
        <v>0</v>
      </c>
      <c r="D68" s="8" t="n">
        <v>0</v>
      </c>
      <c r="E68" s="6" t="str">
        <f aca="false">IF(C68+D68=0,"rank&lt;4",IF(MIN(C68,D68)=0,IF(C68&gt;0,"Gr&gt;=0 (+)","Gr&gt;=0 (-)"),"mixed"))</f>
        <v>rank&lt;4</v>
      </c>
      <c r="F68" s="8" t="n">
        <v>0</v>
      </c>
      <c r="G68" s="8" t="n">
        <v>0</v>
      </c>
      <c r="H68" s="6" t="str">
        <f aca="false">IF(F68+G68=0,"rank&lt;4",IF(MIN(F68,G68)=0,IF(F68&gt;0,"Gr&gt;=0 (+)","Gr&gt;=0 (-)"),"mixed"))</f>
        <v>rank&lt;4</v>
      </c>
      <c r="I68" s="8" t="n">
        <v>9</v>
      </c>
      <c r="J68" s="8" t="n">
        <v>6</v>
      </c>
      <c r="K68" s="6" t="str">
        <f aca="false">IF(I68+J68=0,"rank&lt;4",IF(MIN(I68,J68)=0,IF(I68&gt;0,"Gr&gt;=0 (+)","Gr&gt;=0 (-)"),"mixed"))</f>
        <v>mixed</v>
      </c>
      <c r="L68" s="8" t="n">
        <v>75</v>
      </c>
      <c r="M68" s="8" t="n">
        <v>65</v>
      </c>
      <c r="N68" s="6" t="str">
        <f aca="false">IF(L68+M68=0,"rank&lt;4",IF(MIN(L68,M68)=0,IF(L68&gt;0,"Gr&gt;=0 (+)","Gr&gt;=0 (-)"),"mixed"))</f>
        <v>mixed</v>
      </c>
      <c r="O68" s="8" t="n">
        <v>175</v>
      </c>
      <c r="P68" s="8" t="n">
        <v>155</v>
      </c>
      <c r="Q68" s="6" t="str">
        <f aca="false">IF(O68+P68=0,"rank&lt;4",IF(MIN(O68,P68)=0,IF(O68&gt;0,"Gr&gt;=0 (+)","Gr&gt;=0 (-)"),"mixed"))</f>
        <v>mixed</v>
      </c>
    </row>
    <row r="69" customFormat="false" ht="15" hidden="false" customHeight="true" outlineLevel="0" collapsed="false">
      <c r="A69" s="6" t="n">
        <v>66</v>
      </c>
      <c r="B69" s="6" t="s">
        <v>133</v>
      </c>
      <c r="C69" s="8" t="n">
        <v>0</v>
      </c>
      <c r="D69" s="8" t="n">
        <v>0</v>
      </c>
      <c r="E69" s="6" t="str">
        <f aca="false">IF(C69+D69=0,"rank&lt;4",IF(MIN(C69,D69)=0,IF(C69&gt;0,"Gr&gt;=0 (+)","Gr&gt;=0 (-)"),"mixed"))</f>
        <v>rank&lt;4</v>
      </c>
      <c r="F69" s="8" t="n">
        <v>0</v>
      </c>
      <c r="G69" s="8" t="n">
        <v>0</v>
      </c>
      <c r="H69" s="6" t="str">
        <f aca="false">IF(F69+G69=0,"rank&lt;4",IF(MIN(F69,G69)=0,IF(F69&gt;0,"Gr&gt;=0 (+)","Gr&gt;=0 (-)"),"mixed"))</f>
        <v>rank&lt;4</v>
      </c>
      <c r="I69" s="8" t="n">
        <v>8</v>
      </c>
      <c r="J69" s="8" t="n">
        <v>7</v>
      </c>
      <c r="K69" s="6" t="str">
        <f aca="false">IF(I69+J69=0,"rank&lt;4",IF(MIN(I69,J69)=0,IF(I69&gt;0,"Gr&gt;=0 (+)","Gr&gt;=0 (-)"),"mixed"))</f>
        <v>mixed</v>
      </c>
      <c r="L69" s="8" t="n">
        <v>13</v>
      </c>
      <c r="M69" s="8" t="n">
        <v>21</v>
      </c>
      <c r="N69" s="6" t="str">
        <f aca="false">IF(L69+M69=0,"rank&lt;4",IF(MIN(L69,M69)=0,IF(L69&gt;0,"Gr&gt;=0 (+)","Gr&gt;=0 (-)"),"mixed"))</f>
        <v>mixed</v>
      </c>
      <c r="O69" s="8" t="n">
        <v>159</v>
      </c>
      <c r="P69" s="8" t="n">
        <v>170</v>
      </c>
      <c r="Q69" s="6" t="str">
        <f aca="false">IF(O69+P69=0,"rank&lt;4",IF(MIN(O69,P69)=0,IF(O69&gt;0,"Gr&gt;=0 (+)","Gr&gt;=0 (-)"),"mixed"))</f>
        <v>mixed</v>
      </c>
    </row>
    <row r="70" customFormat="false" ht="15" hidden="false" customHeight="true" outlineLevel="0" collapsed="false">
      <c r="A70" s="6" t="n">
        <v>67</v>
      </c>
      <c r="B70" s="6" t="s">
        <v>134</v>
      </c>
      <c r="C70" s="8" t="n">
        <v>0</v>
      </c>
      <c r="D70" s="8" t="n">
        <v>0</v>
      </c>
      <c r="E70" s="6" t="str">
        <f aca="false">IF(C70+D70=0,"rank&lt;4",IF(MIN(C70,D70)=0,IF(C70&gt;0,"Gr&gt;=0 (+)","Gr&gt;=0 (-)"),"mixed"))</f>
        <v>rank&lt;4</v>
      </c>
      <c r="F70" s="8" t="n">
        <v>0</v>
      </c>
      <c r="G70" s="8" t="n">
        <v>0</v>
      </c>
      <c r="H70" s="6" t="str">
        <f aca="false">IF(F70+G70=0,"rank&lt;4",IF(MIN(F70,G70)=0,IF(F70&gt;0,"Gr&gt;=0 (+)","Gr&gt;=0 (-)"),"mixed"))</f>
        <v>rank&lt;4</v>
      </c>
      <c r="I70" s="8" t="n">
        <v>10</v>
      </c>
      <c r="J70" s="8" t="n">
        <v>5</v>
      </c>
      <c r="K70" s="6" t="str">
        <f aca="false">IF(I70+J70=0,"rank&lt;4",IF(MIN(I70,J70)=0,IF(I70&gt;0,"Gr&gt;=0 (+)","Gr&gt;=0 (-)"),"mixed"))</f>
        <v>mixed</v>
      </c>
      <c r="L70" s="8" t="n">
        <v>18</v>
      </c>
      <c r="M70" s="8" t="n">
        <v>17</v>
      </c>
      <c r="N70" s="6" t="str">
        <f aca="false">IF(L70+M70=0,"rank&lt;4",IF(MIN(L70,M70)=0,IF(L70&gt;0,"Gr&gt;=0 (+)","Gr&gt;=0 (-)"),"mixed"))</f>
        <v>mixed</v>
      </c>
      <c r="O70" s="8" t="n">
        <v>175</v>
      </c>
      <c r="P70" s="8" t="n">
        <v>155</v>
      </c>
      <c r="Q70" s="6" t="str">
        <f aca="false">IF(O70+P70=0,"rank&lt;4",IF(MIN(O70,P70)=0,IF(O70&gt;0,"Gr&gt;=0 (+)","Gr&gt;=0 (-)"),"mixed"))</f>
        <v>mixed</v>
      </c>
    </row>
    <row r="71" customFormat="false" ht="15" hidden="false" customHeight="true" outlineLevel="0" collapsed="false">
      <c r="A71" s="6" t="n">
        <v>68</v>
      </c>
      <c r="B71" s="6" t="s">
        <v>135</v>
      </c>
      <c r="C71" s="8" t="n">
        <v>0</v>
      </c>
      <c r="D71" s="8" t="n">
        <v>0</v>
      </c>
      <c r="E71" s="6" t="str">
        <f aca="false">IF(C71+D71=0,"rank&lt;4",IF(MIN(C71,D71)=0,IF(C71&gt;0,"Gr&gt;=0 (+)","Gr&gt;=0 (-)"),"mixed"))</f>
        <v>rank&lt;4</v>
      </c>
      <c r="F71" s="8" t="n">
        <v>0</v>
      </c>
      <c r="G71" s="8" t="n">
        <v>0</v>
      </c>
      <c r="H71" s="6" t="str">
        <f aca="false">IF(F71+G71=0,"rank&lt;4",IF(MIN(F71,G71)=0,IF(F71&gt;0,"Gr&gt;=0 (+)","Gr&gt;=0 (-)"),"mixed"))</f>
        <v>rank&lt;4</v>
      </c>
      <c r="I71" s="8" t="n">
        <v>7</v>
      </c>
      <c r="J71" s="8" t="n">
        <v>8</v>
      </c>
      <c r="K71" s="6" t="str">
        <f aca="false">IF(I71+J71=0,"rank&lt;4",IF(MIN(I71,J71)=0,IF(I71&gt;0,"Gr&gt;=0 (+)","Gr&gt;=0 (-)"),"mixed"))</f>
        <v>mixed</v>
      </c>
      <c r="L71" s="8" t="n">
        <v>70</v>
      </c>
      <c r="M71" s="8" t="n">
        <v>70</v>
      </c>
      <c r="N71" s="6" t="str">
        <f aca="false">IF(L71+M71=0,"rank&lt;4",IF(MIN(L71,M71)=0,IF(L71&gt;0,"Gr&gt;=0 (+)","Gr&gt;=0 (-)"),"mixed"))</f>
        <v>mixed</v>
      </c>
      <c r="O71" s="8" t="n">
        <v>173</v>
      </c>
      <c r="P71" s="8" t="n">
        <v>157</v>
      </c>
      <c r="Q71" s="6" t="str">
        <f aca="false">IF(O71+P71=0,"rank&lt;4",IF(MIN(O71,P71)=0,IF(O71&gt;0,"Gr&gt;=0 (+)","Gr&gt;=0 (-)"),"mixed"))</f>
        <v>mixed</v>
      </c>
    </row>
    <row r="72" customFormat="false" ht="15" hidden="false" customHeight="true" outlineLevel="0" collapsed="false">
      <c r="A72" s="6" t="n">
        <v>69</v>
      </c>
      <c r="B72" s="6" t="s">
        <v>136</v>
      </c>
      <c r="C72" s="8" t="n">
        <v>0</v>
      </c>
      <c r="D72" s="8" t="n">
        <v>0</v>
      </c>
      <c r="E72" s="6" t="str">
        <f aca="false">IF(C72+D72=0,"rank&lt;4",IF(MIN(C72,D72)=0,IF(C72&gt;0,"Gr&gt;=0 (+)","Gr&gt;=0 (-)"),"mixed"))</f>
        <v>rank&lt;4</v>
      </c>
      <c r="F72" s="8" t="n">
        <v>0</v>
      </c>
      <c r="G72" s="8" t="n">
        <v>0</v>
      </c>
      <c r="H72" s="6" t="str">
        <f aca="false">IF(F72+G72=0,"rank&lt;4",IF(MIN(F72,G72)=0,IF(F72&gt;0,"Gr&gt;=0 (+)","Gr&gt;=0 (-)"),"mixed"))</f>
        <v>rank&lt;4</v>
      </c>
      <c r="I72" s="8" t="n">
        <v>7</v>
      </c>
      <c r="J72" s="8" t="n">
        <v>8</v>
      </c>
      <c r="K72" s="6" t="str">
        <f aca="false">IF(I72+J72=0,"rank&lt;4",IF(MIN(I72,J72)=0,IF(I72&gt;0,"Gr&gt;=0 (+)","Gr&gt;=0 (-)"),"mixed"))</f>
        <v>mixed</v>
      </c>
      <c r="L72" s="8" t="n">
        <v>16</v>
      </c>
      <c r="M72" s="8" t="n">
        <v>19</v>
      </c>
      <c r="N72" s="6" t="str">
        <f aca="false">IF(L72+M72=0,"rank&lt;4",IF(MIN(L72,M72)=0,IF(L72&gt;0,"Gr&gt;=0 (+)","Gr&gt;=0 (-)"),"mixed"))</f>
        <v>mixed</v>
      </c>
      <c r="O72" s="8" t="n">
        <v>159</v>
      </c>
      <c r="P72" s="8" t="n">
        <v>171</v>
      </c>
      <c r="Q72" s="6" t="str">
        <f aca="false">IF(O72+P72=0,"rank&lt;4",IF(MIN(O72,P72)=0,IF(O72&gt;0,"Gr&gt;=0 (+)","Gr&gt;=0 (-)"),"mixed"))</f>
        <v>mixed</v>
      </c>
    </row>
    <row r="73" customFormat="false" ht="15" hidden="false" customHeight="true" outlineLevel="0" collapsed="false">
      <c r="A73" s="6" t="n">
        <v>70</v>
      </c>
      <c r="B73" s="6" t="s">
        <v>137</v>
      </c>
      <c r="C73" s="8" t="n">
        <v>0</v>
      </c>
      <c r="D73" s="8" t="n">
        <v>0</v>
      </c>
      <c r="E73" s="6" t="str">
        <f aca="false">IF(C73+D73=0,"rank&lt;4",IF(MIN(C73,D73)=0,IF(C73&gt;0,"Gr&gt;=0 (+)","Gr&gt;=0 (-)"),"mixed"))</f>
        <v>rank&lt;4</v>
      </c>
      <c r="F73" s="8" t="n">
        <v>0</v>
      </c>
      <c r="G73" s="8" t="n">
        <v>0</v>
      </c>
      <c r="H73" s="6" t="str">
        <f aca="false">IF(F73+G73=0,"rank&lt;4",IF(MIN(F73,G73)=0,IF(F73&gt;0,"Gr&gt;=0 (+)","Gr&gt;=0 (-)"),"mixed"))</f>
        <v>rank&lt;4</v>
      </c>
      <c r="I73" s="8" t="n">
        <v>9</v>
      </c>
      <c r="J73" s="8" t="n">
        <v>6</v>
      </c>
      <c r="K73" s="6" t="str">
        <f aca="false">IF(I73+J73=0,"rank&lt;4",IF(MIN(I73,J73)=0,IF(I73&gt;0,"Gr&gt;=0 (+)","Gr&gt;=0 (-)"),"mixed"))</f>
        <v>mixed</v>
      </c>
      <c r="L73" s="8" t="n">
        <v>73</v>
      </c>
      <c r="M73" s="8" t="n">
        <v>67</v>
      </c>
      <c r="N73" s="6" t="str">
        <f aca="false">IF(L73+M73=0,"rank&lt;4",IF(MIN(L73,M73)=0,IF(L73&gt;0,"Gr&gt;=0 (+)","Gr&gt;=0 (-)"),"mixed"))</f>
        <v>mixed</v>
      </c>
      <c r="O73" s="8" t="n">
        <v>176</v>
      </c>
      <c r="P73" s="8" t="n">
        <v>154</v>
      </c>
      <c r="Q73" s="6" t="str">
        <f aca="false">IF(O73+P73=0,"rank&lt;4",IF(MIN(O73,P73)=0,IF(O73&gt;0,"Gr&gt;=0 (+)","Gr&gt;=0 (-)"),"mixed"))</f>
        <v>mixed</v>
      </c>
    </row>
    <row r="74" customFormat="false" ht="15" hidden="false" customHeight="true" outlineLevel="0" collapsed="false">
      <c r="A74" s="6" t="n">
        <v>71</v>
      </c>
      <c r="B74" s="6" t="s">
        <v>138</v>
      </c>
      <c r="C74" s="8" t="n">
        <v>0</v>
      </c>
      <c r="D74" s="8" t="n">
        <v>0</v>
      </c>
      <c r="E74" s="6" t="str">
        <f aca="false">IF(C74+D74=0,"rank&lt;4",IF(MIN(C74,D74)=0,IF(C74&gt;0,"Gr&gt;=0 (+)","Gr&gt;=0 (-)"),"mixed"))</f>
        <v>rank&lt;4</v>
      </c>
      <c r="F74" s="8" t="n">
        <v>0</v>
      </c>
      <c r="G74" s="8" t="n">
        <v>0</v>
      </c>
      <c r="H74" s="6" t="str">
        <f aca="false">IF(F74+G74=0,"rank&lt;4",IF(MIN(F74,G74)=0,IF(F74&gt;0,"Gr&gt;=0 (+)","Gr&gt;=0 (-)"),"mixed"))</f>
        <v>rank&lt;4</v>
      </c>
      <c r="I74" s="8" t="n">
        <v>7</v>
      </c>
      <c r="J74" s="8" t="n">
        <v>8</v>
      </c>
      <c r="K74" s="6" t="str">
        <f aca="false">IF(I74+J74=0,"rank&lt;4",IF(MIN(I74,J74)=0,IF(I74&gt;0,"Gr&gt;=0 (+)","Gr&gt;=0 (-)"),"mixed"))</f>
        <v>mixed</v>
      </c>
      <c r="L74" s="8" t="n">
        <v>77</v>
      </c>
      <c r="M74" s="8" t="n">
        <v>63</v>
      </c>
      <c r="N74" s="6" t="str">
        <f aca="false">IF(L74+M74=0,"rank&lt;4",IF(MIN(L74,M74)=0,IF(L74&gt;0,"Gr&gt;=0 (+)","Gr&gt;=0 (-)"),"mixed"))</f>
        <v>mixed</v>
      </c>
      <c r="O74" s="8" t="n">
        <v>166</v>
      </c>
      <c r="P74" s="8" t="n">
        <v>164</v>
      </c>
      <c r="Q74" s="6" t="str">
        <f aca="false">IF(O74+P74=0,"rank&lt;4",IF(MIN(O74,P74)=0,IF(O74&gt;0,"Gr&gt;=0 (+)","Gr&gt;=0 (-)"),"mixed"))</f>
        <v>mixed</v>
      </c>
    </row>
    <row r="75" customFormat="false" ht="15" hidden="false" customHeight="true" outlineLevel="0" collapsed="false">
      <c r="A75" s="6" t="n">
        <v>72</v>
      </c>
      <c r="B75" s="6" t="s">
        <v>139</v>
      </c>
      <c r="C75" s="8" t="n">
        <v>0</v>
      </c>
      <c r="D75" s="8" t="n">
        <v>0</v>
      </c>
      <c r="E75" s="6" t="str">
        <f aca="false">IF(C75+D75=0,"rank&lt;4",IF(MIN(C75,D75)=0,IF(C75&gt;0,"Gr&gt;=0 (+)","Gr&gt;=0 (-)"),"mixed"))</f>
        <v>rank&lt;4</v>
      </c>
      <c r="F75" s="8" t="n">
        <v>0</v>
      </c>
      <c r="G75" s="8" t="n">
        <v>0</v>
      </c>
      <c r="H75" s="6" t="str">
        <f aca="false">IF(F75+G75=0,"rank&lt;4",IF(MIN(F75,G75)=0,IF(F75&gt;0,"Gr&gt;=0 (+)","Gr&gt;=0 (-)"),"mixed"))</f>
        <v>rank&lt;4</v>
      </c>
      <c r="I75" s="8" t="n">
        <v>9</v>
      </c>
      <c r="J75" s="8" t="n">
        <v>6</v>
      </c>
      <c r="K75" s="6" t="str">
        <f aca="false">IF(I75+J75=0,"rank&lt;4",IF(MIN(I75,J75)=0,IF(I75&gt;0,"Gr&gt;=0 (+)","Gr&gt;=0 (-)"),"mixed"))</f>
        <v>mixed</v>
      </c>
      <c r="L75" s="8" t="n">
        <v>36</v>
      </c>
      <c r="M75" s="8" t="n">
        <v>34</v>
      </c>
      <c r="N75" s="6" t="str">
        <f aca="false">IF(L75+M75=0,"rank&lt;4",IF(MIN(L75,M75)=0,IF(L75&gt;0,"Gr&gt;=0 (+)","Gr&gt;=0 (-)"),"mixed"))</f>
        <v>mixed</v>
      </c>
      <c r="O75" s="8" t="n">
        <v>159</v>
      </c>
      <c r="P75" s="8" t="n">
        <v>171</v>
      </c>
      <c r="Q75" s="6" t="str">
        <f aca="false">IF(O75+P75=0,"rank&lt;4",IF(MIN(O75,P75)=0,IF(O75&gt;0,"Gr&gt;=0 (+)","Gr&gt;=0 (-)"),"mixed"))</f>
        <v>mixed</v>
      </c>
    </row>
    <row r="76" customFormat="false" ht="15" hidden="false" customHeight="true" outlineLevel="0" collapsed="false">
      <c r="A76" s="6" t="n">
        <v>73</v>
      </c>
      <c r="B76" s="6" t="s">
        <v>140</v>
      </c>
      <c r="C76" s="8" t="n">
        <v>0</v>
      </c>
      <c r="D76" s="8" t="n">
        <v>0</v>
      </c>
      <c r="E76" s="6" t="str">
        <f aca="false">IF(C76+D76=0,"rank&lt;4",IF(MIN(C76,D76)=0,IF(C76&gt;0,"Gr&gt;=0 (+)","Gr&gt;=0 (-)"),"mixed"))</f>
        <v>rank&lt;4</v>
      </c>
      <c r="F76" s="8" t="n">
        <v>0</v>
      </c>
      <c r="G76" s="8" t="n">
        <v>0</v>
      </c>
      <c r="H76" s="6" t="str">
        <f aca="false">IF(F76+G76=0,"rank&lt;4",IF(MIN(F76,G76)=0,IF(F76&gt;0,"Gr&gt;=0 (+)","Gr&gt;=0 (-)"),"mixed"))</f>
        <v>rank&lt;4</v>
      </c>
      <c r="I76" s="8" t="n">
        <v>6</v>
      </c>
      <c r="J76" s="8" t="n">
        <v>9</v>
      </c>
      <c r="K76" s="6" t="str">
        <f aca="false">IF(I76+J76=0,"rank&lt;4",IF(MIN(I76,J76)=0,IF(I76&gt;0,"Gr&gt;=0 (+)","Gr&gt;=0 (-)"),"mixed"))</f>
        <v>mixed</v>
      </c>
      <c r="L76" s="8" t="n">
        <v>32</v>
      </c>
      <c r="M76" s="8" t="n">
        <v>38</v>
      </c>
      <c r="N76" s="6" t="str">
        <f aca="false">IF(L76+M76=0,"rank&lt;4",IF(MIN(L76,M76)=0,IF(L76&gt;0,"Gr&gt;=0 (+)","Gr&gt;=0 (-)"),"mixed"))</f>
        <v>mixed</v>
      </c>
      <c r="O76" s="8" t="n">
        <v>149</v>
      </c>
      <c r="P76" s="8" t="n">
        <v>181</v>
      </c>
      <c r="Q76" s="6" t="str">
        <f aca="false">IF(O76+P76=0,"rank&lt;4",IF(MIN(O76,P76)=0,IF(O76&gt;0,"Gr&gt;=0 (+)","Gr&gt;=0 (-)"),"mixed"))</f>
        <v>mixed</v>
      </c>
    </row>
    <row r="77" customFormat="false" ht="15" hidden="false" customHeight="true" outlineLevel="0" collapsed="false">
      <c r="A77" s="6" t="n">
        <v>74</v>
      </c>
      <c r="B77" s="6" t="s">
        <v>141</v>
      </c>
      <c r="C77" s="8" t="n">
        <v>0</v>
      </c>
      <c r="D77" s="8" t="n">
        <v>0</v>
      </c>
      <c r="E77" s="6" t="str">
        <f aca="false">IF(C77+D77=0,"rank&lt;4",IF(MIN(C77,D77)=0,IF(C77&gt;0,"Gr&gt;=0 (+)","Gr&gt;=0 (-)"),"mixed"))</f>
        <v>rank&lt;4</v>
      </c>
      <c r="F77" s="8" t="n">
        <v>0</v>
      </c>
      <c r="G77" s="8" t="n">
        <v>0</v>
      </c>
      <c r="H77" s="6" t="str">
        <f aca="false">IF(F77+G77=0,"rank&lt;4",IF(MIN(F77,G77)=0,IF(F77&gt;0,"Gr&gt;=0 (+)","Gr&gt;=0 (-)"),"mixed"))</f>
        <v>rank&lt;4</v>
      </c>
      <c r="I77" s="8" t="n">
        <v>13</v>
      </c>
      <c r="J77" s="8" t="n">
        <v>2</v>
      </c>
      <c r="K77" s="6" t="str">
        <f aca="false">IF(I77+J77=0,"rank&lt;4",IF(MIN(I77,J77)=0,IF(I77&gt;0,"Gr&gt;=0 (+)","Gr&gt;=0 (-)"),"mixed"))</f>
        <v>mixed</v>
      </c>
      <c r="L77" s="8" t="n">
        <v>32</v>
      </c>
      <c r="M77" s="8" t="n">
        <v>38</v>
      </c>
      <c r="N77" s="6" t="str">
        <f aca="false">IF(L77+M77=0,"rank&lt;4",IF(MIN(L77,M77)=0,IF(L77&gt;0,"Gr&gt;=0 (+)","Gr&gt;=0 (-)"),"mixed"))</f>
        <v>mixed</v>
      </c>
      <c r="O77" s="8" t="n">
        <v>168</v>
      </c>
      <c r="P77" s="8" t="n">
        <v>162</v>
      </c>
      <c r="Q77" s="6" t="str">
        <f aca="false">IF(O77+P77=0,"rank&lt;4",IF(MIN(O77,P77)=0,IF(O77&gt;0,"Gr&gt;=0 (+)","Gr&gt;=0 (-)"),"mixed"))</f>
        <v>mixed</v>
      </c>
    </row>
    <row r="78" customFormat="false" ht="15" hidden="false" customHeight="true" outlineLevel="0" collapsed="false">
      <c r="A78" s="6" t="n">
        <v>75</v>
      </c>
      <c r="B78" s="6" t="s">
        <v>142</v>
      </c>
      <c r="C78" s="8" t="n">
        <v>2</v>
      </c>
      <c r="D78" s="8" t="n">
        <v>0</v>
      </c>
      <c r="E78" s="6" t="str">
        <f aca="false">IF(C78+D78=0,"rank&lt;4",IF(MIN(C78,D78)=0,IF(C78&gt;0,"Gr&gt;=0 (+)","Gr&gt;=0 (-)"),"mixed"))</f>
        <v>Gr&gt;=0 (+)</v>
      </c>
      <c r="F78" s="8" t="n">
        <v>2</v>
      </c>
      <c r="G78" s="8" t="n">
        <v>0</v>
      </c>
      <c r="H78" s="6" t="str">
        <f aca="false">IF(F78+G78=0,"rank&lt;4",IF(MIN(F78,G78)=0,IF(F78&gt;0,"Gr&gt;=0 (+)","Gr&gt;=0 (-)"),"mixed"))</f>
        <v>Gr&gt;=0 (+)</v>
      </c>
      <c r="I78" s="8" t="n">
        <v>12</v>
      </c>
      <c r="J78" s="8" t="n">
        <v>3</v>
      </c>
      <c r="K78" s="6" t="str">
        <f aca="false">IF(I78+J78=0,"rank&lt;4",IF(MIN(I78,J78)=0,IF(I78&gt;0,"Gr&gt;=0 (+)","Gr&gt;=0 (-)"),"mixed"))</f>
        <v>mixed</v>
      </c>
      <c r="L78" s="8" t="n">
        <v>93</v>
      </c>
      <c r="M78" s="8" t="n">
        <v>89</v>
      </c>
      <c r="N78" s="6" t="str">
        <f aca="false">IF(L78+M78=0,"rank&lt;4",IF(MIN(L78,M78)=0,IF(L78&gt;0,"Gr&gt;=0 (+)","Gr&gt;=0 (-)"),"mixed"))</f>
        <v>mixed</v>
      </c>
      <c r="O78" s="8" t="n">
        <v>186</v>
      </c>
      <c r="P78" s="8" t="n">
        <v>144</v>
      </c>
      <c r="Q78" s="6" t="str">
        <f aca="false">IF(O78+P78=0,"rank&lt;4",IF(MIN(O78,P78)=0,IF(O78&gt;0,"Gr&gt;=0 (+)","Gr&gt;=0 (-)"),"mixed"))</f>
        <v>mixed</v>
      </c>
    </row>
    <row r="79" customFormat="false" ht="15" hidden="false" customHeight="true" outlineLevel="0" collapsed="false">
      <c r="A79" s="6" t="n">
        <v>76</v>
      </c>
      <c r="B79" s="6" t="s">
        <v>143</v>
      </c>
      <c r="C79" s="8" t="n">
        <v>0</v>
      </c>
      <c r="D79" s="8" t="n">
        <v>0</v>
      </c>
      <c r="E79" s="6" t="str">
        <f aca="false">IF(C79+D79=0,"rank&lt;4",IF(MIN(C79,D79)=0,IF(C79&gt;0,"Gr&gt;=0 (+)","Gr&gt;=0 (-)"),"mixed"))</f>
        <v>rank&lt;4</v>
      </c>
      <c r="F79" s="8" t="n">
        <v>0</v>
      </c>
      <c r="G79" s="8" t="n">
        <v>0</v>
      </c>
      <c r="H79" s="6" t="str">
        <f aca="false">IF(F79+G79=0,"rank&lt;4",IF(MIN(F79,G79)=0,IF(F79&gt;0,"Gr&gt;=0 (+)","Gr&gt;=0 (-)"),"mixed"))</f>
        <v>rank&lt;4</v>
      </c>
      <c r="I79" s="8" t="n">
        <v>10</v>
      </c>
      <c r="J79" s="8" t="n">
        <v>5</v>
      </c>
      <c r="K79" s="6" t="str">
        <f aca="false">IF(I79+J79=0,"rank&lt;4",IF(MIN(I79,J79)=0,IF(I79&gt;0,"Gr&gt;=0 (+)","Gr&gt;=0 (-)"),"mixed"))</f>
        <v>mixed</v>
      </c>
      <c r="L79" s="8" t="n">
        <v>36</v>
      </c>
      <c r="M79" s="8" t="n">
        <v>34</v>
      </c>
      <c r="N79" s="6" t="str">
        <f aca="false">IF(L79+M79=0,"rank&lt;4",IF(MIN(L79,M79)=0,IF(L79&gt;0,"Gr&gt;=0 (+)","Gr&gt;=0 (-)"),"mixed"))</f>
        <v>mixed</v>
      </c>
      <c r="O79" s="8" t="n">
        <v>163</v>
      </c>
      <c r="P79" s="8" t="n">
        <v>167</v>
      </c>
      <c r="Q79" s="6" t="str">
        <f aca="false">IF(O79+P79=0,"rank&lt;4",IF(MIN(O79,P79)=0,IF(O79&gt;0,"Gr&gt;=0 (+)","Gr&gt;=0 (-)"),"mixed"))</f>
        <v>mixed</v>
      </c>
    </row>
    <row r="80" customFormat="false" ht="15" hidden="false" customHeight="true" outlineLevel="0" collapsed="false">
      <c r="A80" s="6" t="n">
        <v>77</v>
      </c>
      <c r="B80" s="6" t="s">
        <v>144</v>
      </c>
      <c r="C80" s="8" t="n">
        <v>0</v>
      </c>
      <c r="D80" s="8" t="n">
        <v>0</v>
      </c>
      <c r="E80" s="6" t="str">
        <f aca="false">IF(C80+D80=0,"rank&lt;4",IF(MIN(C80,D80)=0,IF(C80&gt;0,"Gr&gt;=0 (+)","Gr&gt;=0 (-)"),"mixed"))</f>
        <v>rank&lt;4</v>
      </c>
      <c r="F80" s="8" t="n">
        <v>0</v>
      </c>
      <c r="G80" s="8" t="n">
        <v>0</v>
      </c>
      <c r="H80" s="6" t="str">
        <f aca="false">IF(F80+G80=0,"rank&lt;4",IF(MIN(F80,G80)=0,IF(F80&gt;0,"Gr&gt;=0 (+)","Gr&gt;=0 (-)"),"mixed"))</f>
        <v>rank&lt;4</v>
      </c>
      <c r="I80" s="8" t="n">
        <v>10</v>
      </c>
      <c r="J80" s="8" t="n">
        <v>5</v>
      </c>
      <c r="K80" s="6" t="str">
        <f aca="false">IF(I80+J80=0,"rank&lt;4",IF(MIN(I80,J80)=0,IF(I80&gt;0,"Gr&gt;=0 (+)","Gr&gt;=0 (-)"),"mixed"))</f>
        <v>mixed</v>
      </c>
      <c r="L80" s="8" t="n">
        <v>42</v>
      </c>
      <c r="M80" s="8" t="n">
        <v>28</v>
      </c>
      <c r="N80" s="6" t="str">
        <f aca="false">IF(L80+M80=0,"rank&lt;4",IF(MIN(L80,M80)=0,IF(L80&gt;0,"Gr&gt;=0 (+)","Gr&gt;=0 (-)"),"mixed"))</f>
        <v>mixed</v>
      </c>
      <c r="O80" s="8" t="n">
        <v>177</v>
      </c>
      <c r="P80" s="8" t="n">
        <v>153</v>
      </c>
      <c r="Q80" s="6" t="str">
        <f aca="false">IF(O80+P80=0,"rank&lt;4",IF(MIN(O80,P80)=0,IF(O80&gt;0,"Gr&gt;=0 (+)","Gr&gt;=0 (-)"),"mixed"))</f>
        <v>mixed</v>
      </c>
    </row>
    <row r="81" customFormat="false" ht="15" hidden="false" customHeight="true" outlineLevel="0" collapsed="false">
      <c r="A81" s="6" t="n">
        <v>78</v>
      </c>
      <c r="B81" s="6" t="s">
        <v>145</v>
      </c>
      <c r="C81" s="8" t="n">
        <v>0</v>
      </c>
      <c r="D81" s="8" t="n">
        <v>2</v>
      </c>
      <c r="E81" s="6" t="str">
        <f aca="false">IF(C81+D81=0,"rank&lt;4",IF(MIN(C81,D81)=0,IF(C81&gt;0,"Gr&gt;=0 (+)","Gr&gt;=0 (-)"),"mixed"))</f>
        <v>Gr&gt;=0 (-)</v>
      </c>
      <c r="F81" s="8" t="n">
        <v>0</v>
      </c>
      <c r="G81" s="8" t="n">
        <v>2</v>
      </c>
      <c r="H81" s="6" t="str">
        <f aca="false">IF(F81+G81=0,"rank&lt;4",IF(MIN(F81,G81)=0,IF(F81&gt;0,"Gr&gt;=0 (+)","Gr&gt;=0 (-)"),"mixed"))</f>
        <v>Gr&gt;=0 (-)</v>
      </c>
      <c r="I81" s="8" t="n">
        <v>7</v>
      </c>
      <c r="J81" s="8" t="n">
        <v>8</v>
      </c>
      <c r="K81" s="6" t="str">
        <f aca="false">IF(I81+J81=0,"rank&lt;4",IF(MIN(I81,J81)=0,IF(I81&gt;0,"Gr&gt;=0 (+)","Gr&gt;=0 (-)"),"mixed"))</f>
        <v>mixed</v>
      </c>
      <c r="L81" s="8" t="n">
        <v>100</v>
      </c>
      <c r="M81" s="8" t="n">
        <v>82</v>
      </c>
      <c r="N81" s="6" t="str">
        <f aca="false">IF(L81+M81=0,"rank&lt;4",IF(MIN(L81,M81)=0,IF(L81&gt;0,"Gr&gt;=0 (+)","Gr&gt;=0 (-)"),"mixed"))</f>
        <v>mixed</v>
      </c>
      <c r="O81" s="8" t="n">
        <v>173</v>
      </c>
      <c r="P81" s="8" t="n">
        <v>157</v>
      </c>
      <c r="Q81" s="6" t="str">
        <f aca="false">IF(O81+P81=0,"rank&lt;4",IF(MIN(O81,P81)=0,IF(O81&gt;0,"Gr&gt;=0 (+)","Gr&gt;=0 (-)"),"mixed"))</f>
        <v>mixed</v>
      </c>
    </row>
    <row r="82" customFormat="false" ht="15" hidden="false" customHeight="true" outlineLevel="0" collapsed="false">
      <c r="A82" s="6" t="n">
        <v>79</v>
      </c>
      <c r="B82" s="6" t="s">
        <v>146</v>
      </c>
      <c r="C82" s="8" t="n">
        <v>0</v>
      </c>
      <c r="D82" s="8" t="n">
        <v>0</v>
      </c>
      <c r="E82" s="6" t="str">
        <f aca="false">IF(C82+D82=0,"rank&lt;4",IF(MIN(C82,D82)=0,IF(C82&gt;0,"Gr&gt;=0 (+)","Gr&gt;=0 (-)"),"mixed"))</f>
        <v>rank&lt;4</v>
      </c>
      <c r="F82" s="8" t="n">
        <v>0</v>
      </c>
      <c r="G82" s="8" t="n">
        <v>0</v>
      </c>
      <c r="H82" s="6" t="str">
        <f aca="false">IF(F82+G82=0,"rank&lt;4",IF(MIN(F82,G82)=0,IF(F82&gt;0,"Gr&gt;=0 (+)","Gr&gt;=0 (-)"),"mixed"))</f>
        <v>rank&lt;4</v>
      </c>
      <c r="I82" s="8" t="n">
        <v>7</v>
      </c>
      <c r="J82" s="8" t="n">
        <v>8</v>
      </c>
      <c r="K82" s="6" t="str">
        <f aca="false">IF(I82+J82=0,"rank&lt;4",IF(MIN(I82,J82)=0,IF(I82&gt;0,"Gr&gt;=0 (+)","Gr&gt;=0 (-)"),"mixed"))</f>
        <v>mixed</v>
      </c>
      <c r="L82" s="8" t="n">
        <v>37</v>
      </c>
      <c r="M82" s="8" t="n">
        <v>33</v>
      </c>
      <c r="N82" s="6" t="str">
        <f aca="false">IF(L82+M82=0,"rank&lt;4",IF(MIN(L82,M82)=0,IF(L82&gt;0,"Gr&gt;=0 (+)","Gr&gt;=0 (-)"),"mixed"))</f>
        <v>mixed</v>
      </c>
      <c r="O82" s="8" t="n">
        <v>170</v>
      </c>
      <c r="P82" s="8" t="n">
        <v>160</v>
      </c>
      <c r="Q82" s="6" t="str">
        <f aca="false">IF(O82+P82=0,"rank&lt;4",IF(MIN(O82,P82)=0,IF(O82&gt;0,"Gr&gt;=0 (+)","Gr&gt;=0 (-)"),"mixed"))</f>
        <v>mixed</v>
      </c>
    </row>
    <row r="83" customFormat="false" ht="15" hidden="false" customHeight="true" outlineLevel="0" collapsed="false">
      <c r="A83" s="6" t="n">
        <v>80</v>
      </c>
      <c r="B83" s="6" t="s">
        <v>147</v>
      </c>
      <c r="C83" s="8" t="n">
        <v>2</v>
      </c>
      <c r="D83" s="8" t="n">
        <v>0</v>
      </c>
      <c r="E83" s="6" t="str">
        <f aca="false">IF(C83+D83=0,"rank&lt;4",IF(MIN(C83,D83)=0,IF(C83&gt;0,"Gr&gt;=0 (+)","Gr&gt;=0 (-)"),"mixed"))</f>
        <v>Gr&gt;=0 (+)</v>
      </c>
      <c r="F83" s="8" t="n">
        <v>2</v>
      </c>
      <c r="G83" s="8" t="n">
        <v>0</v>
      </c>
      <c r="H83" s="6" t="str">
        <f aca="false">IF(F83+G83=0,"rank&lt;4",IF(MIN(F83,G83)=0,IF(F83&gt;0,"Gr&gt;=0 (+)","Gr&gt;=0 (-)"),"mixed"))</f>
        <v>Gr&gt;=0 (+)</v>
      </c>
      <c r="I83" s="8" t="n">
        <v>8</v>
      </c>
      <c r="J83" s="8" t="n">
        <v>7</v>
      </c>
      <c r="K83" s="6" t="str">
        <f aca="false">IF(I83+J83=0,"rank&lt;4",IF(MIN(I83,J83)=0,IF(I83&gt;0,"Gr&gt;=0 (+)","Gr&gt;=0 (-)"),"mixed"))</f>
        <v>mixed</v>
      </c>
      <c r="L83" s="8" t="n">
        <v>91</v>
      </c>
      <c r="M83" s="8" t="n">
        <v>91</v>
      </c>
      <c r="N83" s="6" t="str">
        <f aca="false">IF(L83+M83=0,"rank&lt;4",IF(MIN(L83,M83)=0,IF(L83&gt;0,"Gr&gt;=0 (+)","Gr&gt;=0 (-)"),"mixed"))</f>
        <v>mixed</v>
      </c>
      <c r="O83" s="8" t="n">
        <v>174</v>
      </c>
      <c r="P83" s="8" t="n">
        <v>156</v>
      </c>
      <c r="Q83" s="6" t="str">
        <f aca="false">IF(O83+P83=0,"rank&lt;4",IF(MIN(O83,P83)=0,IF(O83&gt;0,"Gr&gt;=0 (+)","Gr&gt;=0 (-)"),"mixed"))</f>
        <v>mixed</v>
      </c>
    </row>
    <row r="84" customFormat="false" ht="15" hidden="false" customHeight="true" outlineLevel="0" collapsed="false">
      <c r="A84" s="6" t="n">
        <v>81</v>
      </c>
      <c r="B84" s="6" t="s">
        <v>148</v>
      </c>
      <c r="C84" s="8" t="n">
        <v>0</v>
      </c>
      <c r="D84" s="8" t="n">
        <v>2</v>
      </c>
      <c r="E84" s="6" t="str">
        <f aca="false">IF(C84+D84=0,"rank&lt;4",IF(MIN(C84,D84)=0,IF(C84&gt;0,"Gr&gt;=0 (+)","Gr&gt;=0 (-)"),"mixed"))</f>
        <v>Gr&gt;=0 (-)</v>
      </c>
      <c r="F84" s="8" t="n">
        <v>0</v>
      </c>
      <c r="G84" s="8" t="n">
        <v>2</v>
      </c>
      <c r="H84" s="6" t="str">
        <f aca="false">IF(F84+G84=0,"rank&lt;4",IF(MIN(F84,G84)=0,IF(F84&gt;0,"Gr&gt;=0 (+)","Gr&gt;=0 (-)"),"mixed"))</f>
        <v>Gr&gt;=0 (-)</v>
      </c>
      <c r="I84" s="8" t="n">
        <v>2</v>
      </c>
      <c r="J84" s="8" t="n">
        <v>13</v>
      </c>
      <c r="K84" s="6" t="str">
        <f aca="false">IF(I84+J84=0,"rank&lt;4",IF(MIN(I84,J84)=0,IF(I84&gt;0,"Gr&gt;=0 (+)","Gr&gt;=0 (-)"),"mixed"))</f>
        <v>mixed</v>
      </c>
      <c r="L84" s="8" t="n">
        <v>103</v>
      </c>
      <c r="M84" s="8" t="n">
        <v>79</v>
      </c>
      <c r="N84" s="6" t="str">
        <f aca="false">IF(L84+M84=0,"rank&lt;4",IF(MIN(L84,M84)=0,IF(L84&gt;0,"Gr&gt;=0 (+)","Gr&gt;=0 (-)"),"mixed"))</f>
        <v>mixed</v>
      </c>
      <c r="O84" s="8" t="n">
        <v>166</v>
      </c>
      <c r="P84" s="8" t="n">
        <v>164</v>
      </c>
      <c r="Q84" s="6" t="str">
        <f aca="false">IF(O84+P84=0,"rank&lt;4",IF(MIN(O84,P84)=0,IF(O84&gt;0,"Gr&gt;=0 (+)","Gr&gt;=0 (-)"),"mixed"))</f>
        <v>mixed</v>
      </c>
    </row>
    <row r="85" customFormat="false" ht="15" hidden="false" customHeight="true" outlineLevel="0" collapsed="false">
      <c r="A85" s="6" t="n">
        <v>82</v>
      </c>
      <c r="B85" s="6" t="s">
        <v>149</v>
      </c>
      <c r="C85" s="8" t="n">
        <v>0</v>
      </c>
      <c r="D85" s="8" t="n">
        <v>0</v>
      </c>
      <c r="E85" s="6" t="str">
        <f aca="false">IF(C85+D85=0,"rank&lt;4",IF(MIN(C85,D85)=0,IF(C85&gt;0,"Gr&gt;=0 (+)","Gr&gt;=0 (-)"),"mixed"))</f>
        <v>rank&lt;4</v>
      </c>
      <c r="F85" s="8" t="n">
        <v>0</v>
      </c>
      <c r="G85" s="8" t="n">
        <v>0</v>
      </c>
      <c r="H85" s="6" t="str">
        <f aca="false">IF(F85+G85=0,"rank&lt;4",IF(MIN(F85,G85)=0,IF(F85&gt;0,"Gr&gt;=0 (+)","Gr&gt;=0 (-)"),"mixed"))</f>
        <v>rank&lt;4</v>
      </c>
      <c r="I85" s="8" t="n">
        <v>9</v>
      </c>
      <c r="J85" s="8" t="n">
        <v>6</v>
      </c>
      <c r="K85" s="6" t="str">
        <f aca="false">IF(I85+J85=0,"rank&lt;4",IF(MIN(I85,J85)=0,IF(I85&gt;0,"Gr&gt;=0 (+)","Gr&gt;=0 (-)"),"mixed"))</f>
        <v>mixed</v>
      </c>
      <c r="L85" s="8" t="n">
        <v>24</v>
      </c>
      <c r="M85" s="8" t="n">
        <v>11</v>
      </c>
      <c r="N85" s="6" t="str">
        <f aca="false">IF(L85+M85=0,"rank&lt;4",IF(MIN(L85,M85)=0,IF(L85&gt;0,"Gr&gt;=0 (+)","Gr&gt;=0 (-)"),"mixed"))</f>
        <v>mixed</v>
      </c>
      <c r="O85" s="8" t="n">
        <v>185</v>
      </c>
      <c r="P85" s="8" t="n">
        <v>145</v>
      </c>
      <c r="Q85" s="6" t="str">
        <f aca="false">IF(O85+P85=0,"rank&lt;4",IF(MIN(O85,P85)=0,IF(O85&gt;0,"Gr&gt;=0 (+)","Gr&gt;=0 (-)"),"mixed"))</f>
        <v>mixed</v>
      </c>
    </row>
    <row r="86" customFormat="false" ht="15" hidden="false" customHeight="true" outlineLevel="0" collapsed="false">
      <c r="A86" s="6" t="n">
        <v>83</v>
      </c>
      <c r="B86" s="6" t="s">
        <v>150</v>
      </c>
      <c r="C86" s="8" t="n">
        <v>0</v>
      </c>
      <c r="D86" s="8" t="n">
        <v>0</v>
      </c>
      <c r="E86" s="6" t="str">
        <f aca="false">IF(C86+D86=0,"rank&lt;4",IF(MIN(C86,D86)=0,IF(C86&gt;0,"Gr&gt;=0 (+)","Gr&gt;=0 (-)"),"mixed"))</f>
        <v>rank&lt;4</v>
      </c>
      <c r="F86" s="8" t="n">
        <v>0</v>
      </c>
      <c r="G86" s="8" t="n">
        <v>0</v>
      </c>
      <c r="H86" s="6" t="str">
        <f aca="false">IF(F86+G86=0,"rank&lt;4",IF(MIN(F86,G86)=0,IF(F86&gt;0,"Gr&gt;=0 (+)","Gr&gt;=0 (-)"),"mixed"))</f>
        <v>rank&lt;4</v>
      </c>
      <c r="I86" s="8" t="n">
        <v>4</v>
      </c>
      <c r="J86" s="8" t="n">
        <v>11</v>
      </c>
      <c r="K86" s="6" t="str">
        <f aca="false">IF(I86+J86=0,"rank&lt;4",IF(MIN(I86,J86)=0,IF(I86&gt;0,"Gr&gt;=0 (+)","Gr&gt;=0 (-)"),"mixed"))</f>
        <v>mixed</v>
      </c>
      <c r="L86" s="8" t="n">
        <v>23</v>
      </c>
      <c r="M86" s="8" t="n">
        <v>12</v>
      </c>
      <c r="N86" s="6" t="str">
        <f aca="false">IF(L86+M86=0,"rank&lt;4",IF(MIN(L86,M86)=0,IF(L86&gt;0,"Gr&gt;=0 (+)","Gr&gt;=0 (-)"),"mixed"))</f>
        <v>mixed</v>
      </c>
      <c r="O86" s="8" t="n">
        <v>164</v>
      </c>
      <c r="P86" s="8" t="n">
        <v>166</v>
      </c>
      <c r="Q86" s="6" t="str">
        <f aca="false">IF(O86+P86=0,"rank&lt;4",IF(MIN(O86,P86)=0,IF(O86&gt;0,"Gr&gt;=0 (+)","Gr&gt;=0 (-)"),"mixed"))</f>
        <v>mixed</v>
      </c>
    </row>
    <row r="87" customFormat="false" ht="15" hidden="false" customHeight="true" outlineLevel="0" collapsed="false">
      <c r="A87" s="6" t="n">
        <v>84</v>
      </c>
      <c r="B87" s="6" t="s">
        <v>151</v>
      </c>
      <c r="C87" s="8" t="n">
        <v>0</v>
      </c>
      <c r="D87" s="8" t="n">
        <v>0</v>
      </c>
      <c r="E87" s="6" t="str">
        <f aca="false">IF(C87+D87=0,"rank&lt;4",IF(MIN(C87,D87)=0,IF(C87&gt;0,"Gr&gt;=0 (+)","Gr&gt;=0 (-)"),"mixed"))</f>
        <v>rank&lt;4</v>
      </c>
      <c r="F87" s="8" t="n">
        <v>0</v>
      </c>
      <c r="G87" s="8" t="n">
        <v>0</v>
      </c>
      <c r="H87" s="6" t="str">
        <f aca="false">IF(F87+G87=0,"rank&lt;4",IF(MIN(F87,G87)=0,IF(F87&gt;0,"Gr&gt;=0 (+)","Gr&gt;=0 (-)"),"mixed"))</f>
        <v>rank&lt;4</v>
      </c>
      <c r="I87" s="8" t="n">
        <v>3</v>
      </c>
      <c r="J87" s="8" t="n">
        <v>12</v>
      </c>
      <c r="K87" s="6" t="str">
        <f aca="false">IF(I87+J87=0,"rank&lt;4",IF(MIN(I87,J87)=0,IF(I87&gt;0,"Gr&gt;=0 (+)","Gr&gt;=0 (-)"),"mixed"))</f>
        <v>mixed</v>
      </c>
      <c r="L87" s="8" t="n">
        <v>76</v>
      </c>
      <c r="M87" s="8" t="n">
        <v>64</v>
      </c>
      <c r="N87" s="6" t="str">
        <f aca="false">IF(L87+M87=0,"rank&lt;4",IF(MIN(L87,M87)=0,IF(L87&gt;0,"Gr&gt;=0 (+)","Gr&gt;=0 (-)"),"mixed"))</f>
        <v>mixed</v>
      </c>
      <c r="O87" s="8" t="n">
        <v>149</v>
      </c>
      <c r="P87" s="8" t="n">
        <v>181</v>
      </c>
      <c r="Q87" s="6" t="str">
        <f aca="false">IF(O87+P87=0,"rank&lt;4",IF(MIN(O87,P87)=0,IF(O87&gt;0,"Gr&gt;=0 (+)","Gr&gt;=0 (-)"),"mixed"))</f>
        <v>mixed</v>
      </c>
    </row>
    <row r="88" customFormat="false" ht="15" hidden="false" customHeight="true" outlineLevel="0" collapsed="false">
      <c r="A88" s="6" t="n">
        <v>85</v>
      </c>
      <c r="B88" s="6" t="s">
        <v>152</v>
      </c>
      <c r="C88" s="8" t="n">
        <v>0</v>
      </c>
      <c r="D88" s="8" t="n">
        <v>0</v>
      </c>
      <c r="E88" s="6" t="str">
        <f aca="false">IF(C88+D88=0,"rank&lt;4",IF(MIN(C88,D88)=0,IF(C88&gt;0,"Gr&gt;=0 (+)","Gr&gt;=0 (-)"),"mixed"))</f>
        <v>rank&lt;4</v>
      </c>
      <c r="F88" s="8" t="n">
        <v>0</v>
      </c>
      <c r="G88" s="8" t="n">
        <v>0</v>
      </c>
      <c r="H88" s="6" t="str">
        <f aca="false">IF(F88+G88=0,"rank&lt;4",IF(MIN(F88,G88)=0,IF(F88&gt;0,"Gr&gt;=0 (+)","Gr&gt;=0 (-)"),"mixed"))</f>
        <v>rank&lt;4</v>
      </c>
      <c r="I88" s="8" t="n">
        <v>5</v>
      </c>
      <c r="J88" s="8" t="n">
        <v>10</v>
      </c>
      <c r="K88" s="6" t="str">
        <f aca="false">IF(I88+J88=0,"rank&lt;4",IF(MIN(I88,J88)=0,IF(I88&gt;0,"Gr&gt;=0 (+)","Gr&gt;=0 (-)"),"mixed"))</f>
        <v>mixed</v>
      </c>
      <c r="L88" s="8" t="n">
        <v>24</v>
      </c>
      <c r="M88" s="8" t="n">
        <v>11</v>
      </c>
      <c r="N88" s="6" t="str">
        <f aca="false">IF(L88+M88=0,"rank&lt;4",IF(MIN(L88,M88)=0,IF(L88&gt;0,"Gr&gt;=0 (+)","Gr&gt;=0 (-)"),"mixed"))</f>
        <v>mixed</v>
      </c>
      <c r="O88" s="8" t="n">
        <v>153</v>
      </c>
      <c r="P88" s="8" t="n">
        <v>177</v>
      </c>
      <c r="Q88" s="6" t="str">
        <f aca="false">IF(O88+P88=0,"rank&lt;4",IF(MIN(O88,P88)=0,IF(O88&gt;0,"Gr&gt;=0 (+)","Gr&gt;=0 (-)"),"mixed"))</f>
        <v>mixed</v>
      </c>
    </row>
    <row r="89" customFormat="false" ht="15" hidden="false" customHeight="true" outlineLevel="0" collapsed="false">
      <c r="A89" s="6" t="n">
        <v>86</v>
      </c>
      <c r="B89" s="6" t="s">
        <v>153</v>
      </c>
      <c r="C89" s="8" t="n">
        <v>0</v>
      </c>
      <c r="D89" s="8" t="n">
        <v>0</v>
      </c>
      <c r="E89" s="6" t="str">
        <f aca="false">IF(C89+D89=0,"rank&lt;4",IF(MIN(C89,D89)=0,IF(C89&gt;0,"Gr&gt;=0 (+)","Gr&gt;=0 (-)"),"mixed"))</f>
        <v>rank&lt;4</v>
      </c>
      <c r="F89" s="8" t="n">
        <v>0</v>
      </c>
      <c r="G89" s="8" t="n">
        <v>0</v>
      </c>
      <c r="H89" s="6" t="str">
        <f aca="false">IF(F89+G89=0,"rank&lt;4",IF(MIN(F89,G89)=0,IF(F89&gt;0,"Gr&gt;=0 (+)","Gr&gt;=0 (-)"),"mixed"))</f>
        <v>rank&lt;4</v>
      </c>
      <c r="I89" s="8" t="n">
        <v>4</v>
      </c>
      <c r="J89" s="8" t="n">
        <v>11</v>
      </c>
      <c r="K89" s="6" t="str">
        <f aca="false">IF(I89+J89=0,"rank&lt;4",IF(MIN(I89,J89)=0,IF(I89&gt;0,"Gr&gt;=0 (+)","Gr&gt;=0 (-)"),"mixed"))</f>
        <v>mixed</v>
      </c>
      <c r="L89" s="8" t="n">
        <v>79</v>
      </c>
      <c r="M89" s="8" t="n">
        <v>61</v>
      </c>
      <c r="N89" s="6" t="str">
        <f aca="false">IF(L89+M89=0,"rank&lt;4",IF(MIN(L89,M89)=0,IF(L89&gt;0,"Gr&gt;=0 (+)","Gr&gt;=0 (-)"),"mixed"))</f>
        <v>mixed</v>
      </c>
      <c r="O89" s="8" t="n">
        <v>152</v>
      </c>
      <c r="P89" s="8" t="n">
        <v>178</v>
      </c>
      <c r="Q89" s="6" t="str">
        <f aca="false">IF(O89+P89=0,"rank&lt;4",IF(MIN(O89,P89)=0,IF(O89&gt;0,"Gr&gt;=0 (+)","Gr&gt;=0 (-)"),"mixed"))</f>
        <v>mixed</v>
      </c>
    </row>
    <row r="90" customFormat="false" ht="15" hidden="false" customHeight="true" outlineLevel="0" collapsed="false">
      <c r="A90" s="6" t="n">
        <v>87</v>
      </c>
      <c r="B90" s="6" t="s">
        <v>154</v>
      </c>
      <c r="C90" s="8" t="n">
        <v>0</v>
      </c>
      <c r="D90" s="8" t="n">
        <v>0</v>
      </c>
      <c r="E90" s="6" t="str">
        <f aca="false">IF(C90+D90=0,"rank&lt;4",IF(MIN(C90,D90)=0,IF(C90&gt;0,"Gr&gt;=0 (+)","Gr&gt;=0 (-)"),"mixed"))</f>
        <v>rank&lt;4</v>
      </c>
      <c r="F90" s="8" t="n">
        <v>0</v>
      </c>
      <c r="G90" s="8" t="n">
        <v>0</v>
      </c>
      <c r="H90" s="6" t="str">
        <f aca="false">IF(F90+G90=0,"rank&lt;4",IF(MIN(F90,G90)=0,IF(F90&gt;0,"Gr&gt;=0 (+)","Gr&gt;=0 (-)"),"mixed"))</f>
        <v>rank&lt;4</v>
      </c>
      <c r="I90" s="8" t="n">
        <v>5</v>
      </c>
      <c r="J90" s="8" t="n">
        <v>10</v>
      </c>
      <c r="K90" s="6" t="str">
        <f aca="false">IF(I90+J90=0,"rank&lt;4",IF(MIN(I90,J90)=0,IF(I90&gt;0,"Gr&gt;=0 (+)","Gr&gt;=0 (-)"),"mixed"))</f>
        <v>mixed</v>
      </c>
      <c r="L90" s="8" t="n">
        <v>68</v>
      </c>
      <c r="M90" s="8" t="n">
        <v>72</v>
      </c>
      <c r="N90" s="6" t="str">
        <f aca="false">IF(L90+M90=0,"rank&lt;4",IF(MIN(L90,M90)=0,IF(L90&gt;0,"Gr&gt;=0 (+)","Gr&gt;=0 (-)"),"mixed"))</f>
        <v>mixed</v>
      </c>
      <c r="O90" s="8" t="n">
        <v>166</v>
      </c>
      <c r="P90" s="8" t="n">
        <v>164</v>
      </c>
      <c r="Q90" s="6" t="str">
        <f aca="false">IF(O90+P90=0,"rank&lt;4",IF(MIN(O90,P90)=0,IF(O90&gt;0,"Gr&gt;=0 (+)","Gr&gt;=0 (-)"),"mixed"))</f>
        <v>mixed</v>
      </c>
    </row>
    <row r="91" customFormat="false" ht="15" hidden="false" customHeight="true" outlineLevel="0" collapsed="false">
      <c r="A91" s="6" t="n">
        <v>88</v>
      </c>
      <c r="B91" s="6" t="s">
        <v>155</v>
      </c>
      <c r="C91" s="8" t="n">
        <v>0</v>
      </c>
      <c r="D91" s="8" t="n">
        <v>0</v>
      </c>
      <c r="E91" s="6" t="str">
        <f aca="false">IF(C91+D91=0,"rank&lt;4",IF(MIN(C91,D91)=0,IF(C91&gt;0,"Gr&gt;=0 (+)","Gr&gt;=0 (-)"),"mixed"))</f>
        <v>rank&lt;4</v>
      </c>
      <c r="F91" s="8" t="n">
        <v>0</v>
      </c>
      <c r="G91" s="8" t="n">
        <v>0</v>
      </c>
      <c r="H91" s="6" t="str">
        <f aca="false">IF(F91+G91=0,"rank&lt;4",IF(MIN(F91,G91)=0,IF(F91&gt;0,"Gr&gt;=0 (+)","Gr&gt;=0 (-)"),"mixed"))</f>
        <v>rank&lt;4</v>
      </c>
      <c r="I91" s="8" t="n">
        <v>7</v>
      </c>
      <c r="J91" s="8" t="n">
        <v>8</v>
      </c>
      <c r="K91" s="6" t="str">
        <f aca="false">IF(I91+J91=0,"rank&lt;4",IF(MIN(I91,J91)=0,IF(I91&gt;0,"Gr&gt;=0 (+)","Gr&gt;=0 (-)"),"mixed"))</f>
        <v>mixed</v>
      </c>
      <c r="L91" s="8" t="n">
        <v>18</v>
      </c>
      <c r="M91" s="8" t="n">
        <v>17</v>
      </c>
      <c r="N91" s="6" t="str">
        <f aca="false">IF(L91+M91=0,"rank&lt;4",IF(MIN(L91,M91)=0,IF(L91&gt;0,"Gr&gt;=0 (+)","Gr&gt;=0 (-)"),"mixed"))</f>
        <v>mixed</v>
      </c>
      <c r="O91" s="8" t="n">
        <v>161</v>
      </c>
      <c r="P91" s="8" t="n">
        <v>169</v>
      </c>
      <c r="Q91" s="6" t="str">
        <f aca="false">IF(O91+P91=0,"rank&lt;4",IF(MIN(O91,P91)=0,IF(O91&gt;0,"Gr&gt;=0 (+)","Gr&gt;=0 (-)"),"mixed"))</f>
        <v>mixed</v>
      </c>
    </row>
    <row r="92" customFormat="false" ht="15" hidden="false" customHeight="true" outlineLevel="0" collapsed="false">
      <c r="A92" s="6" t="n">
        <v>89</v>
      </c>
      <c r="B92" s="6" t="s">
        <v>156</v>
      </c>
      <c r="C92" s="8" t="n">
        <v>0</v>
      </c>
      <c r="D92" s="8" t="n">
        <v>0</v>
      </c>
      <c r="E92" s="6" t="str">
        <f aca="false">IF(C92+D92=0,"rank&lt;4",IF(MIN(C92,D92)=0,IF(C92&gt;0,"Gr&gt;=0 (+)","Gr&gt;=0 (-)"),"mixed"))</f>
        <v>rank&lt;4</v>
      </c>
      <c r="F92" s="8" t="n">
        <v>0</v>
      </c>
      <c r="G92" s="8" t="n">
        <v>0</v>
      </c>
      <c r="H92" s="6" t="str">
        <f aca="false">IF(F92+G92=0,"rank&lt;4",IF(MIN(F92,G92)=0,IF(F92&gt;0,"Gr&gt;=0 (+)","Gr&gt;=0 (-)"),"mixed"))</f>
        <v>rank&lt;4</v>
      </c>
      <c r="I92" s="8" t="n">
        <v>8</v>
      </c>
      <c r="J92" s="8" t="n">
        <v>7</v>
      </c>
      <c r="K92" s="6" t="str">
        <f aca="false">IF(I92+J92=0,"rank&lt;4",IF(MIN(I92,J92)=0,IF(I92&gt;0,"Gr&gt;=0 (+)","Gr&gt;=0 (-)"),"mixed"))</f>
        <v>mixed</v>
      </c>
      <c r="L92" s="8" t="n">
        <v>68</v>
      </c>
      <c r="M92" s="8" t="n">
        <v>72</v>
      </c>
      <c r="N92" s="6" t="str">
        <f aca="false">IF(L92+M92=0,"rank&lt;4",IF(MIN(L92,M92)=0,IF(L92&gt;0,"Gr&gt;=0 (+)","Gr&gt;=0 (-)"),"mixed"))</f>
        <v>mixed</v>
      </c>
      <c r="O92" s="8" t="n">
        <v>170</v>
      </c>
      <c r="P92" s="8" t="n">
        <v>160</v>
      </c>
      <c r="Q92" s="6" t="str">
        <f aca="false">IF(O92+P92=0,"rank&lt;4",IF(MIN(O92,P92)=0,IF(O92&gt;0,"Gr&gt;=0 (+)","Gr&gt;=0 (-)"),"mixed"))</f>
        <v>mixed</v>
      </c>
    </row>
    <row r="93" customFormat="false" ht="15" hidden="false" customHeight="true" outlineLevel="0" collapsed="false">
      <c r="A93" s="6" t="n">
        <v>90</v>
      </c>
      <c r="B93" s="6" t="s">
        <v>157</v>
      </c>
      <c r="C93" s="8" t="n">
        <v>0</v>
      </c>
      <c r="D93" s="8" t="n">
        <v>0</v>
      </c>
      <c r="E93" s="6" t="str">
        <f aca="false">IF(C93+D93=0,"rank&lt;4",IF(MIN(C93,D93)=0,IF(C93&gt;0,"Gr&gt;=0 (+)","Gr&gt;=0 (-)"),"mixed"))</f>
        <v>rank&lt;4</v>
      </c>
      <c r="F93" s="8" t="n">
        <v>0</v>
      </c>
      <c r="G93" s="8" t="n">
        <v>0</v>
      </c>
      <c r="H93" s="6" t="str">
        <f aca="false">IF(F93+G93=0,"rank&lt;4",IF(MIN(F93,G93)=0,IF(F93&gt;0,"Gr&gt;=0 (+)","Gr&gt;=0 (-)"),"mixed"))</f>
        <v>rank&lt;4</v>
      </c>
      <c r="I93" s="8" t="n">
        <v>3</v>
      </c>
      <c r="J93" s="8" t="n">
        <v>12</v>
      </c>
      <c r="K93" s="6" t="str">
        <f aca="false">IF(I93+J93=0,"rank&lt;4",IF(MIN(I93,J93)=0,IF(I93&gt;0,"Gr&gt;=0 (+)","Gr&gt;=0 (-)"),"mixed"))</f>
        <v>mixed</v>
      </c>
      <c r="L93" s="8" t="n">
        <v>71</v>
      </c>
      <c r="M93" s="8" t="n">
        <v>69</v>
      </c>
      <c r="N93" s="6" t="str">
        <f aca="false">IF(L93+M93=0,"rank&lt;4",IF(MIN(L93,M93)=0,IF(L93&gt;0,"Gr&gt;=0 (+)","Gr&gt;=0 (-)"),"mixed"))</f>
        <v>mixed</v>
      </c>
      <c r="O93" s="8" t="n">
        <v>161</v>
      </c>
      <c r="P93" s="8" t="n">
        <v>169</v>
      </c>
      <c r="Q93" s="6" t="str">
        <f aca="false">IF(O93+P93=0,"rank&lt;4",IF(MIN(O93,P93)=0,IF(O93&gt;0,"Gr&gt;=0 (+)","Gr&gt;=0 (-)"),"mixed"))</f>
        <v>mixed</v>
      </c>
    </row>
    <row r="94" customFormat="false" ht="15" hidden="false" customHeight="true" outlineLevel="0" collapsed="false">
      <c r="A94" s="6" t="n">
        <v>91</v>
      </c>
      <c r="B94" s="6" t="s">
        <v>158</v>
      </c>
      <c r="C94" s="8" t="n">
        <v>0</v>
      </c>
      <c r="D94" s="8" t="n">
        <v>0</v>
      </c>
      <c r="E94" s="6" t="str">
        <f aca="false">IF(C94+D94=0,"rank&lt;4",IF(MIN(C94,D94)=0,IF(C94&gt;0,"Gr&gt;=0 (+)","Gr&gt;=0 (-)"),"mixed"))</f>
        <v>rank&lt;4</v>
      </c>
      <c r="F94" s="8" t="n">
        <v>0</v>
      </c>
      <c r="G94" s="8" t="n">
        <v>0</v>
      </c>
      <c r="H94" s="6" t="str">
        <f aca="false">IF(F94+G94=0,"rank&lt;4",IF(MIN(F94,G94)=0,IF(F94&gt;0,"Gr&gt;=0 (+)","Gr&gt;=0 (-)"),"mixed"))</f>
        <v>rank&lt;4</v>
      </c>
      <c r="I94" s="8" t="n">
        <v>5</v>
      </c>
      <c r="J94" s="8" t="n">
        <v>10</v>
      </c>
      <c r="K94" s="6" t="str">
        <f aca="false">IF(I94+J94=0,"rank&lt;4",IF(MIN(I94,J94)=0,IF(I94&gt;0,"Gr&gt;=0 (+)","Gr&gt;=0 (-)"),"mixed"))</f>
        <v>mixed</v>
      </c>
      <c r="L94" s="8" t="n">
        <v>76</v>
      </c>
      <c r="M94" s="8" t="n">
        <v>64</v>
      </c>
      <c r="N94" s="6" t="str">
        <f aca="false">IF(L94+M94=0,"rank&lt;4",IF(MIN(L94,M94)=0,IF(L94&gt;0,"Gr&gt;=0 (+)","Gr&gt;=0 (-)"),"mixed"))</f>
        <v>mixed</v>
      </c>
      <c r="O94" s="8" t="n">
        <v>157</v>
      </c>
      <c r="P94" s="8" t="n">
        <v>173</v>
      </c>
      <c r="Q94" s="6" t="str">
        <f aca="false">IF(O94+P94=0,"rank&lt;4",IF(MIN(O94,P94)=0,IF(O94&gt;0,"Gr&gt;=0 (+)","Gr&gt;=0 (-)"),"mixed"))</f>
        <v>mixed</v>
      </c>
    </row>
    <row r="95" customFormat="false" ht="15" hidden="false" customHeight="true" outlineLevel="0" collapsed="false">
      <c r="A95" s="6" t="n">
        <v>92</v>
      </c>
      <c r="B95" s="6" t="s">
        <v>159</v>
      </c>
      <c r="C95" s="8" t="n">
        <v>0</v>
      </c>
      <c r="D95" s="8" t="n">
        <v>0</v>
      </c>
      <c r="E95" s="6" t="str">
        <f aca="false">IF(C95+D95=0,"rank&lt;4",IF(MIN(C95,D95)=0,IF(C95&gt;0,"Gr&gt;=0 (+)","Gr&gt;=0 (-)"),"mixed"))</f>
        <v>rank&lt;4</v>
      </c>
      <c r="F95" s="8" t="n">
        <v>0</v>
      </c>
      <c r="G95" s="8" t="n">
        <v>0</v>
      </c>
      <c r="H95" s="6" t="str">
        <f aca="false">IF(F95+G95=0,"rank&lt;4",IF(MIN(F95,G95)=0,IF(F95&gt;0,"Gr&gt;=0 (+)","Gr&gt;=0 (-)"),"mixed"))</f>
        <v>rank&lt;4</v>
      </c>
      <c r="I95" s="8" t="n">
        <v>7</v>
      </c>
      <c r="J95" s="8" t="n">
        <v>8</v>
      </c>
      <c r="K95" s="6" t="str">
        <f aca="false">IF(I95+J95=0,"rank&lt;4",IF(MIN(I95,J95)=0,IF(I95&gt;0,"Gr&gt;=0 (+)","Gr&gt;=0 (-)"),"mixed"))</f>
        <v>mixed</v>
      </c>
      <c r="L95" s="8" t="n">
        <v>35</v>
      </c>
      <c r="M95" s="8" t="n">
        <v>35</v>
      </c>
      <c r="N95" s="6" t="str">
        <f aca="false">IF(L95+M95=0,"rank&lt;4",IF(MIN(L95,M95)=0,IF(L95&gt;0,"Gr&gt;=0 (+)","Gr&gt;=0 (-)"),"mixed"))</f>
        <v>mixed</v>
      </c>
      <c r="O95" s="8" t="n">
        <v>150</v>
      </c>
      <c r="P95" s="8" t="n">
        <v>180</v>
      </c>
      <c r="Q95" s="6" t="str">
        <f aca="false">IF(O95+P95=0,"rank&lt;4",IF(MIN(O95,P95)=0,IF(O95&gt;0,"Gr&gt;=0 (+)","Gr&gt;=0 (-)"),"mixed"))</f>
        <v>mixed</v>
      </c>
    </row>
    <row r="96" customFormat="false" ht="15" hidden="false" customHeight="true" outlineLevel="0" collapsed="false">
      <c r="A96" s="6" t="n">
        <v>93</v>
      </c>
      <c r="B96" s="6" t="s">
        <v>160</v>
      </c>
      <c r="C96" s="8" t="n">
        <v>0</v>
      </c>
      <c r="D96" s="8" t="n">
        <v>0</v>
      </c>
      <c r="E96" s="6" t="str">
        <f aca="false">IF(C96+D96=0,"rank&lt;4",IF(MIN(C96,D96)=0,IF(C96&gt;0,"Gr&gt;=0 (+)","Gr&gt;=0 (-)"),"mixed"))</f>
        <v>rank&lt;4</v>
      </c>
      <c r="F96" s="8" t="n">
        <v>0</v>
      </c>
      <c r="G96" s="8" t="n">
        <v>0</v>
      </c>
      <c r="H96" s="6" t="str">
        <f aca="false">IF(F96+G96=0,"rank&lt;4",IF(MIN(F96,G96)=0,IF(F96&gt;0,"Gr&gt;=0 (+)","Gr&gt;=0 (-)"),"mixed"))</f>
        <v>rank&lt;4</v>
      </c>
      <c r="I96" s="8" t="n">
        <v>6</v>
      </c>
      <c r="J96" s="8" t="n">
        <v>9</v>
      </c>
      <c r="K96" s="6" t="str">
        <f aca="false">IF(I96+J96=0,"rank&lt;4",IF(MIN(I96,J96)=0,IF(I96&gt;0,"Gr&gt;=0 (+)","Gr&gt;=0 (-)"),"mixed"))</f>
        <v>mixed</v>
      </c>
      <c r="L96" s="8" t="n">
        <v>16</v>
      </c>
      <c r="M96" s="8" t="n">
        <v>19</v>
      </c>
      <c r="N96" s="6" t="str">
        <f aca="false">IF(L96+M96=0,"rank&lt;4",IF(MIN(L96,M96)=0,IF(L96&gt;0,"Gr&gt;=0 (+)","Gr&gt;=0 (-)"),"mixed"))</f>
        <v>mixed</v>
      </c>
      <c r="O96" s="8" t="n">
        <v>164</v>
      </c>
      <c r="P96" s="8" t="n">
        <v>166</v>
      </c>
      <c r="Q96" s="6" t="str">
        <f aca="false">IF(O96+P96=0,"rank&lt;4",IF(MIN(O96,P96)=0,IF(O96&gt;0,"Gr&gt;=0 (+)","Gr&gt;=0 (-)"),"mixed"))</f>
        <v>mixed</v>
      </c>
    </row>
    <row r="97" customFormat="false" ht="15" hidden="false" customHeight="true" outlineLevel="0" collapsed="false">
      <c r="A97" s="6" t="n">
        <v>94</v>
      </c>
      <c r="B97" s="6" t="s">
        <v>161</v>
      </c>
      <c r="C97" s="8" t="n">
        <v>0</v>
      </c>
      <c r="D97" s="8" t="n">
        <v>0</v>
      </c>
      <c r="E97" s="6" t="str">
        <f aca="false">IF(C97+D97=0,"rank&lt;4",IF(MIN(C97,D97)=0,IF(C97&gt;0,"Gr&gt;=0 (+)","Gr&gt;=0 (-)"),"mixed"))</f>
        <v>rank&lt;4</v>
      </c>
      <c r="F97" s="8" t="n">
        <v>0</v>
      </c>
      <c r="G97" s="8" t="n">
        <v>0</v>
      </c>
      <c r="H97" s="6" t="str">
        <f aca="false">IF(F97+G97=0,"rank&lt;4",IF(MIN(F97,G97)=0,IF(F97&gt;0,"Gr&gt;=0 (+)","Gr&gt;=0 (-)"),"mixed"))</f>
        <v>rank&lt;4</v>
      </c>
      <c r="I97" s="8" t="n">
        <v>11</v>
      </c>
      <c r="J97" s="8" t="n">
        <v>4</v>
      </c>
      <c r="K97" s="6" t="str">
        <f aca="false">IF(I97+J97=0,"rank&lt;4",IF(MIN(I97,J97)=0,IF(I97&gt;0,"Gr&gt;=0 (+)","Gr&gt;=0 (-)"),"mixed"))</f>
        <v>mixed</v>
      </c>
      <c r="L97" s="8" t="n">
        <v>35</v>
      </c>
      <c r="M97" s="8" t="n">
        <v>35</v>
      </c>
      <c r="N97" s="6" t="str">
        <f aca="false">IF(L97+M97=0,"rank&lt;4",IF(MIN(L97,M97)=0,IF(L97&gt;0,"Gr&gt;=0 (+)","Gr&gt;=0 (-)"),"mixed"))</f>
        <v>mixed</v>
      </c>
      <c r="O97" s="8" t="n">
        <v>175</v>
      </c>
      <c r="P97" s="8" t="n">
        <v>155</v>
      </c>
      <c r="Q97" s="6" t="str">
        <f aca="false">IF(O97+P97=0,"rank&lt;4",IF(MIN(O97,P97)=0,IF(O97&gt;0,"Gr&gt;=0 (+)","Gr&gt;=0 (-)"),"mixed"))</f>
        <v>mixed</v>
      </c>
    </row>
    <row r="98" customFormat="false" ht="15" hidden="false" customHeight="true" outlineLevel="0" collapsed="false">
      <c r="A98" s="6" t="n">
        <v>95</v>
      </c>
      <c r="B98" s="6" t="s">
        <v>162</v>
      </c>
      <c r="C98" s="8" t="n">
        <v>0</v>
      </c>
      <c r="D98" s="8" t="n">
        <v>0</v>
      </c>
      <c r="E98" s="6" t="str">
        <f aca="false">IF(C98+D98=0,"rank&lt;4",IF(MIN(C98,D98)=0,IF(C98&gt;0,"Gr&gt;=0 (+)","Gr&gt;=0 (-)"),"mixed"))</f>
        <v>rank&lt;4</v>
      </c>
      <c r="F98" s="8" t="n">
        <v>0</v>
      </c>
      <c r="G98" s="8" t="n">
        <v>0</v>
      </c>
      <c r="H98" s="6" t="str">
        <f aca="false">IF(F98+G98=0,"rank&lt;4",IF(MIN(F98,G98)=0,IF(F98&gt;0,"Gr&gt;=0 (+)","Gr&gt;=0 (-)"),"mixed"))</f>
        <v>rank&lt;4</v>
      </c>
      <c r="I98" s="8" t="n">
        <v>9</v>
      </c>
      <c r="J98" s="8" t="n">
        <v>6</v>
      </c>
      <c r="K98" s="6" t="str">
        <f aca="false">IF(I98+J98=0,"rank&lt;4",IF(MIN(I98,J98)=0,IF(I98&gt;0,"Gr&gt;=0 (+)","Gr&gt;=0 (-)"),"mixed"))</f>
        <v>mixed</v>
      </c>
      <c r="L98" s="8" t="n">
        <v>49</v>
      </c>
      <c r="M98" s="8" t="n">
        <v>56</v>
      </c>
      <c r="N98" s="6" t="str">
        <f aca="false">IF(L98+M98=0,"rank&lt;4",IF(MIN(L98,M98)=0,IF(L98&gt;0,"Gr&gt;=0 (+)","Gr&gt;=0 (-)"),"mixed"))</f>
        <v>mixed</v>
      </c>
      <c r="O98" s="8" t="n">
        <v>185</v>
      </c>
      <c r="P98" s="8" t="n">
        <v>145</v>
      </c>
      <c r="Q98" s="6" t="str">
        <f aca="false">IF(O98+P98=0,"rank&lt;4",IF(MIN(O98,P98)=0,IF(O98&gt;0,"Gr&gt;=0 (+)","Gr&gt;=0 (-)"),"mixed"))</f>
        <v>mixed</v>
      </c>
    </row>
    <row r="99" customFormat="false" ht="15" hidden="false" customHeight="true" outlineLevel="0" collapsed="false">
      <c r="A99" s="6" t="n">
        <v>96</v>
      </c>
      <c r="B99" s="6" t="s">
        <v>163</v>
      </c>
      <c r="C99" s="8" t="n">
        <v>0</v>
      </c>
      <c r="D99" s="8" t="n">
        <v>0</v>
      </c>
      <c r="E99" s="6" t="str">
        <f aca="false">IF(C99+D99=0,"rank&lt;4",IF(MIN(C99,D99)=0,IF(C99&gt;0,"Gr&gt;=0 (+)","Gr&gt;=0 (-)"),"mixed"))</f>
        <v>rank&lt;4</v>
      </c>
      <c r="F99" s="8" t="n">
        <v>0</v>
      </c>
      <c r="G99" s="8" t="n">
        <v>0</v>
      </c>
      <c r="H99" s="6" t="str">
        <f aca="false">IF(F99+G99=0,"rank&lt;4",IF(MIN(F99,G99)=0,IF(F99&gt;0,"Gr&gt;=0 (+)","Gr&gt;=0 (-)"),"mixed"))</f>
        <v>rank&lt;4</v>
      </c>
      <c r="I99" s="8" t="n">
        <v>8</v>
      </c>
      <c r="J99" s="8" t="n">
        <v>7</v>
      </c>
      <c r="K99" s="6" t="str">
        <f aca="false">IF(I99+J99=0,"rank&lt;4",IF(MIN(I99,J99)=0,IF(I99&gt;0,"Gr&gt;=0 (+)","Gr&gt;=0 (-)"),"mixed"))</f>
        <v>mixed</v>
      </c>
      <c r="L99" s="8" t="n">
        <v>36</v>
      </c>
      <c r="M99" s="8" t="n">
        <v>34</v>
      </c>
      <c r="N99" s="6" t="str">
        <f aca="false">IF(L99+M99=0,"rank&lt;4",IF(MIN(L99,M99)=0,IF(L99&gt;0,"Gr&gt;=0 (+)","Gr&gt;=0 (-)"),"mixed"))</f>
        <v>mixed</v>
      </c>
      <c r="O99" s="8" t="n">
        <v>153</v>
      </c>
      <c r="P99" s="8" t="n">
        <v>177</v>
      </c>
      <c r="Q99" s="6" t="str">
        <f aca="false">IF(O99+P99=0,"rank&lt;4",IF(MIN(O99,P99)=0,IF(O99&gt;0,"Gr&gt;=0 (+)","Gr&gt;=0 (-)"),"mixed"))</f>
        <v>mixed</v>
      </c>
    </row>
    <row r="100" customFormat="false" ht="15" hidden="false" customHeight="true" outlineLevel="0" collapsed="false">
      <c r="A100" s="6" t="n">
        <v>97</v>
      </c>
      <c r="B100" s="6" t="s">
        <v>164</v>
      </c>
      <c r="C100" s="8" t="n">
        <v>0</v>
      </c>
      <c r="D100" s="8" t="n">
        <v>0</v>
      </c>
      <c r="E100" s="6" t="str">
        <f aca="false">IF(C100+D100=0,"rank&lt;4",IF(MIN(C100,D100)=0,IF(C100&gt;0,"Gr&gt;=0 (+)","Gr&gt;=0 (-)"),"mixed"))</f>
        <v>rank&lt;4</v>
      </c>
      <c r="F100" s="8" t="n">
        <v>0</v>
      </c>
      <c r="G100" s="8" t="n">
        <v>0</v>
      </c>
      <c r="H100" s="6" t="str">
        <f aca="false">IF(F100+G100=0,"rank&lt;4",IF(MIN(F100,G100)=0,IF(F100&gt;0,"Gr&gt;=0 (+)","Gr&gt;=0 (-)"),"mixed"))</f>
        <v>rank&lt;4</v>
      </c>
      <c r="I100" s="8" t="n">
        <v>9</v>
      </c>
      <c r="J100" s="8" t="n">
        <v>6</v>
      </c>
      <c r="K100" s="6" t="str">
        <f aca="false">IF(I100+J100=0,"rank&lt;4",IF(MIN(I100,J100)=0,IF(I100&gt;0,"Gr&gt;=0 (+)","Gr&gt;=0 (-)"),"mixed"))</f>
        <v>mixed</v>
      </c>
      <c r="L100" s="8" t="n">
        <v>34</v>
      </c>
      <c r="M100" s="8" t="n">
        <v>36</v>
      </c>
      <c r="N100" s="6" t="str">
        <f aca="false">IF(L100+M100=0,"rank&lt;4",IF(MIN(L100,M100)=0,IF(L100&gt;0,"Gr&gt;=0 (+)","Gr&gt;=0 (-)"),"mixed"))</f>
        <v>mixed</v>
      </c>
      <c r="O100" s="8" t="n">
        <v>182</v>
      </c>
      <c r="P100" s="8" t="n">
        <v>148</v>
      </c>
      <c r="Q100" s="6" t="str">
        <f aca="false">IF(O100+P100=0,"rank&lt;4",IF(MIN(O100,P100)=0,IF(O100&gt;0,"Gr&gt;=0 (+)","Gr&gt;=0 (-)"),"mixed"))</f>
        <v>mixed</v>
      </c>
    </row>
    <row r="101" customFormat="false" ht="15" hidden="false" customHeight="true" outlineLevel="0" collapsed="false">
      <c r="A101" s="6" t="n">
        <v>98</v>
      </c>
      <c r="B101" s="6" t="s">
        <v>165</v>
      </c>
      <c r="C101" s="8" t="n">
        <v>0</v>
      </c>
      <c r="D101" s="8" t="n">
        <v>2</v>
      </c>
      <c r="E101" s="6" t="str">
        <f aca="false">IF(C101+D101=0,"rank&lt;4",IF(MIN(C101,D101)=0,IF(C101&gt;0,"Gr&gt;=0 (+)","Gr&gt;=0 (-)"),"mixed"))</f>
        <v>Gr&gt;=0 (-)</v>
      </c>
      <c r="F101" s="8" t="n">
        <v>0</v>
      </c>
      <c r="G101" s="8" t="n">
        <v>2</v>
      </c>
      <c r="H101" s="6" t="str">
        <f aca="false">IF(F101+G101=0,"rank&lt;4",IF(MIN(F101,G101)=0,IF(F101&gt;0,"Gr&gt;=0 (+)","Gr&gt;=0 (-)"),"mixed"))</f>
        <v>Gr&gt;=0 (-)</v>
      </c>
      <c r="I101" s="8" t="n">
        <v>8</v>
      </c>
      <c r="J101" s="8" t="n">
        <v>7</v>
      </c>
      <c r="K101" s="6" t="str">
        <f aca="false">IF(I101+J101=0,"rank&lt;4",IF(MIN(I101,J101)=0,IF(I101&gt;0,"Gr&gt;=0 (+)","Gr&gt;=0 (-)"),"mixed"))</f>
        <v>mixed</v>
      </c>
      <c r="L101" s="8" t="n">
        <v>90</v>
      </c>
      <c r="M101" s="8" t="n">
        <v>92</v>
      </c>
      <c r="N101" s="6" t="str">
        <f aca="false">IF(L101+M101=0,"rank&lt;4",IF(MIN(L101,M101)=0,IF(L101&gt;0,"Gr&gt;=0 (+)","Gr&gt;=0 (-)"),"mixed"))</f>
        <v>mixed</v>
      </c>
      <c r="O101" s="8" t="n">
        <v>182</v>
      </c>
      <c r="P101" s="8" t="n">
        <v>148</v>
      </c>
      <c r="Q101" s="6" t="str">
        <f aca="false">IF(O101+P101=0,"rank&lt;4",IF(MIN(O101,P101)=0,IF(O101&gt;0,"Gr&gt;=0 (+)","Gr&gt;=0 (-)"),"mixed"))</f>
        <v>mixed</v>
      </c>
    </row>
    <row r="102" customFormat="false" ht="15" hidden="false" customHeight="true" outlineLevel="0" collapsed="false">
      <c r="A102" s="6" t="n">
        <v>99</v>
      </c>
      <c r="B102" s="6" t="s">
        <v>166</v>
      </c>
      <c r="C102" s="8" t="n">
        <v>0</v>
      </c>
      <c r="D102" s="8" t="n">
        <v>0</v>
      </c>
      <c r="E102" s="6" t="str">
        <f aca="false">IF(C102+D102=0,"rank&lt;4",IF(MIN(C102,D102)=0,IF(C102&gt;0,"Gr&gt;=0 (+)","Gr&gt;=0 (-)"),"mixed"))</f>
        <v>rank&lt;4</v>
      </c>
      <c r="F102" s="8" t="n">
        <v>0</v>
      </c>
      <c r="G102" s="8" t="n">
        <v>0</v>
      </c>
      <c r="H102" s="6" t="str">
        <f aca="false">IF(F102+G102=0,"rank&lt;4",IF(MIN(F102,G102)=0,IF(F102&gt;0,"Gr&gt;=0 (+)","Gr&gt;=0 (-)"),"mixed"))</f>
        <v>rank&lt;4</v>
      </c>
      <c r="I102" s="8" t="n">
        <v>7</v>
      </c>
      <c r="J102" s="8" t="n">
        <v>8</v>
      </c>
      <c r="K102" s="6" t="str">
        <f aca="false">IF(I102+J102=0,"rank&lt;4",IF(MIN(I102,J102)=0,IF(I102&gt;0,"Gr&gt;=0 (+)","Gr&gt;=0 (-)"),"mixed"))</f>
        <v>mixed</v>
      </c>
      <c r="L102" s="8" t="n">
        <v>38</v>
      </c>
      <c r="M102" s="8" t="n">
        <v>32</v>
      </c>
      <c r="N102" s="6" t="str">
        <f aca="false">IF(L102+M102=0,"rank&lt;4",IF(MIN(L102,M102)=0,IF(L102&gt;0,"Gr&gt;=0 (+)","Gr&gt;=0 (-)"),"mixed"))</f>
        <v>mixed</v>
      </c>
      <c r="O102" s="8" t="n">
        <v>179</v>
      </c>
      <c r="P102" s="8" t="n">
        <v>151</v>
      </c>
      <c r="Q102" s="6" t="str">
        <f aca="false">IF(O102+P102=0,"rank&lt;4",IF(MIN(O102,P102)=0,IF(O102&gt;0,"Gr&gt;=0 (+)","Gr&gt;=0 (-)"),"mixed"))</f>
        <v>mixed</v>
      </c>
    </row>
    <row r="103" customFormat="false" ht="15" hidden="false" customHeight="true" outlineLevel="0" collapsed="false">
      <c r="A103" s="6" t="n">
        <v>100</v>
      </c>
      <c r="B103" s="6" t="s">
        <v>167</v>
      </c>
      <c r="C103" s="8" t="n">
        <v>0</v>
      </c>
      <c r="D103" s="8" t="n">
        <v>0</v>
      </c>
      <c r="E103" s="6" t="str">
        <f aca="false">IF(C103+D103=0,"rank&lt;4",IF(MIN(C103,D103)=0,IF(C103&gt;0,"Gr&gt;=0 (+)","Gr&gt;=0 (-)"),"mixed"))</f>
        <v>rank&lt;4</v>
      </c>
      <c r="F103" s="8" t="n">
        <v>0</v>
      </c>
      <c r="G103" s="8" t="n">
        <v>0</v>
      </c>
      <c r="H103" s="6" t="str">
        <f aca="false">IF(F103+G103=0,"rank&lt;4",IF(MIN(F103,G103)=0,IF(F103&gt;0,"Gr&gt;=0 (+)","Gr&gt;=0 (-)"),"mixed"))</f>
        <v>rank&lt;4</v>
      </c>
      <c r="I103" s="8" t="n">
        <v>6</v>
      </c>
      <c r="J103" s="8" t="n">
        <v>9</v>
      </c>
      <c r="K103" s="6" t="str">
        <f aca="false">IF(I103+J103=0,"rank&lt;4",IF(MIN(I103,J103)=0,IF(I103&gt;0,"Gr&gt;=0 (+)","Gr&gt;=0 (-)"),"mixed"))</f>
        <v>mixed</v>
      </c>
      <c r="L103" s="8" t="n">
        <v>49</v>
      </c>
      <c r="M103" s="8" t="n">
        <v>56</v>
      </c>
      <c r="N103" s="6" t="str">
        <f aca="false">IF(L103+M103=0,"rank&lt;4",IF(MIN(L103,M103)=0,IF(L103&gt;0,"Gr&gt;=0 (+)","Gr&gt;=0 (-)"),"mixed"))</f>
        <v>mixed</v>
      </c>
      <c r="O103" s="8" t="n">
        <v>178</v>
      </c>
      <c r="P103" s="8" t="n">
        <v>152</v>
      </c>
      <c r="Q103" s="6" t="str">
        <f aca="false">IF(O103+P103=0,"rank&lt;4",IF(MIN(O103,P103)=0,IF(O103&gt;0,"Gr&gt;=0 (+)","Gr&gt;=0 (-)"),"mixed"))</f>
        <v>mixed</v>
      </c>
    </row>
    <row r="104" customFormat="false" ht="15" hidden="false" customHeight="true" outlineLevel="0" collapsed="false">
      <c r="A104" s="6" t="n">
        <v>101</v>
      </c>
      <c r="B104" s="6" t="s">
        <v>168</v>
      </c>
      <c r="C104" s="8" t="n">
        <v>0</v>
      </c>
      <c r="D104" s="8" t="n">
        <v>2</v>
      </c>
      <c r="E104" s="6" t="str">
        <f aca="false">IF(C104+D104=0,"rank&lt;4",IF(MIN(C104,D104)=0,IF(C104&gt;0,"Gr&gt;=0 (+)","Gr&gt;=0 (-)"),"mixed"))</f>
        <v>Gr&gt;=0 (-)</v>
      </c>
      <c r="F104" s="8" t="n">
        <v>0</v>
      </c>
      <c r="G104" s="8" t="n">
        <v>2</v>
      </c>
      <c r="H104" s="6" t="str">
        <f aca="false">IF(F104+G104=0,"rank&lt;4",IF(MIN(F104,G104)=0,IF(F104&gt;0,"Gr&gt;=0 (+)","Gr&gt;=0 (-)"),"mixed"))</f>
        <v>Gr&gt;=0 (-)</v>
      </c>
      <c r="I104" s="8" t="n">
        <v>5</v>
      </c>
      <c r="J104" s="8" t="n">
        <v>10</v>
      </c>
      <c r="K104" s="6" t="str">
        <f aca="false">IF(I104+J104=0,"rank&lt;4",IF(MIN(I104,J104)=0,IF(I104&gt;0,"Gr&gt;=0 (+)","Gr&gt;=0 (-)"),"mixed"))</f>
        <v>mixed</v>
      </c>
      <c r="L104" s="8" t="n">
        <v>86</v>
      </c>
      <c r="M104" s="8" t="n">
        <v>96</v>
      </c>
      <c r="N104" s="6" t="str">
        <f aca="false">IF(L104+M104=0,"rank&lt;4",IF(MIN(L104,M104)=0,IF(L104&gt;0,"Gr&gt;=0 (+)","Gr&gt;=0 (-)"),"mixed"))</f>
        <v>mixed</v>
      </c>
      <c r="O104" s="8" t="n">
        <v>163</v>
      </c>
      <c r="P104" s="8" t="n">
        <v>167</v>
      </c>
      <c r="Q104" s="6" t="str">
        <f aca="false">IF(O104+P104=0,"rank&lt;4",IF(MIN(O104,P104)=0,IF(O104&gt;0,"Gr&gt;=0 (+)","Gr&gt;=0 (-)"),"mixed"))</f>
        <v>mixed</v>
      </c>
    </row>
    <row r="105" customFormat="false" ht="15" hidden="false" customHeight="true" outlineLevel="0" collapsed="false">
      <c r="A105" s="6" t="n">
        <v>102</v>
      </c>
      <c r="B105" s="6" t="s">
        <v>169</v>
      </c>
      <c r="C105" s="8" t="n">
        <v>0</v>
      </c>
      <c r="D105" s="8" t="n">
        <v>0</v>
      </c>
      <c r="E105" s="6" t="str">
        <f aca="false">IF(C105+D105=0,"rank&lt;4",IF(MIN(C105,D105)=0,IF(C105&gt;0,"Gr&gt;=0 (+)","Gr&gt;=0 (-)"),"mixed"))</f>
        <v>rank&lt;4</v>
      </c>
      <c r="F105" s="8" t="n">
        <v>0</v>
      </c>
      <c r="G105" s="8" t="n">
        <v>0</v>
      </c>
      <c r="H105" s="6" t="str">
        <f aca="false">IF(F105+G105=0,"rank&lt;4",IF(MIN(F105,G105)=0,IF(F105&gt;0,"Gr&gt;=0 (+)","Gr&gt;=0 (-)"),"mixed"))</f>
        <v>rank&lt;4</v>
      </c>
      <c r="I105" s="8" t="n">
        <v>8</v>
      </c>
      <c r="J105" s="8" t="n">
        <v>7</v>
      </c>
      <c r="K105" s="6" t="str">
        <f aca="false">IF(I105+J105=0,"rank&lt;4",IF(MIN(I105,J105)=0,IF(I105&gt;0,"Gr&gt;=0 (+)","Gr&gt;=0 (-)"),"mixed"))</f>
        <v>mixed</v>
      </c>
      <c r="L105" s="8" t="n">
        <v>23</v>
      </c>
      <c r="M105" s="8" t="n">
        <v>12</v>
      </c>
      <c r="N105" s="6" t="str">
        <f aca="false">IF(L105+M105=0,"rank&lt;4",IF(MIN(L105,M105)=0,IF(L105&gt;0,"Gr&gt;=0 (+)","Gr&gt;=0 (-)"),"mixed"))</f>
        <v>mixed</v>
      </c>
      <c r="O105" s="8" t="n">
        <v>157</v>
      </c>
      <c r="P105" s="8" t="n">
        <v>173</v>
      </c>
      <c r="Q105" s="6" t="str">
        <f aca="false">IF(O105+P105=0,"rank&lt;4",IF(MIN(O105,P105)=0,IF(O105&gt;0,"Gr&gt;=0 (+)","Gr&gt;=0 (-)"),"mixed"))</f>
        <v>mixed</v>
      </c>
    </row>
    <row r="106" customFormat="false" ht="15" hidden="false" customHeight="true" outlineLevel="0" collapsed="false">
      <c r="A106" s="6" t="n">
        <v>103</v>
      </c>
      <c r="B106" s="6" t="s">
        <v>170</v>
      </c>
      <c r="C106" s="8" t="n">
        <v>0</v>
      </c>
      <c r="D106" s="8" t="n">
        <v>0</v>
      </c>
      <c r="E106" s="6" t="str">
        <f aca="false">IF(C106+D106=0,"rank&lt;4",IF(MIN(C106,D106)=0,IF(C106&gt;0,"Gr&gt;=0 (+)","Gr&gt;=0 (-)"),"mixed"))</f>
        <v>rank&lt;4</v>
      </c>
      <c r="F106" s="8" t="n">
        <v>0</v>
      </c>
      <c r="G106" s="8" t="n">
        <v>0</v>
      </c>
      <c r="H106" s="6" t="str">
        <f aca="false">IF(F106+G106=0,"rank&lt;4",IF(MIN(F106,G106)=0,IF(F106&gt;0,"Gr&gt;=0 (+)","Gr&gt;=0 (-)"),"mixed"))</f>
        <v>rank&lt;4</v>
      </c>
      <c r="I106" s="8" t="n">
        <v>5</v>
      </c>
      <c r="J106" s="8" t="n">
        <v>10</v>
      </c>
      <c r="K106" s="6" t="str">
        <f aca="false">IF(I106+J106=0,"rank&lt;4",IF(MIN(I106,J106)=0,IF(I106&gt;0,"Gr&gt;=0 (+)","Gr&gt;=0 (-)"),"mixed"))</f>
        <v>mixed</v>
      </c>
      <c r="L106" s="8" t="n">
        <v>20</v>
      </c>
      <c r="M106" s="8" t="n">
        <v>15</v>
      </c>
      <c r="N106" s="6" t="str">
        <f aca="false">IF(L106+M106=0,"rank&lt;4",IF(MIN(L106,M106)=0,IF(L106&gt;0,"Gr&gt;=0 (+)","Gr&gt;=0 (-)"),"mixed"))</f>
        <v>mixed</v>
      </c>
      <c r="O106" s="8" t="n">
        <v>160</v>
      </c>
      <c r="P106" s="8" t="n">
        <v>170</v>
      </c>
      <c r="Q106" s="6" t="str">
        <f aca="false">IF(O106+P106=0,"rank&lt;4",IF(MIN(O106,P106)=0,IF(O106&gt;0,"Gr&gt;=0 (+)","Gr&gt;=0 (-)"),"mixed"))</f>
        <v>mixed</v>
      </c>
    </row>
    <row r="107" customFormat="false" ht="15" hidden="false" customHeight="true" outlineLevel="0" collapsed="false">
      <c r="A107" s="6" t="n">
        <v>104</v>
      </c>
      <c r="B107" s="6" t="s">
        <v>171</v>
      </c>
      <c r="C107" s="8" t="n">
        <v>0</v>
      </c>
      <c r="D107" s="8" t="n">
        <v>0</v>
      </c>
      <c r="E107" s="6" t="str">
        <f aca="false">IF(C107+D107=0,"rank&lt;4",IF(MIN(C107,D107)=0,IF(C107&gt;0,"Gr&gt;=0 (+)","Gr&gt;=0 (-)"),"mixed"))</f>
        <v>rank&lt;4</v>
      </c>
      <c r="F107" s="8" t="n">
        <v>0</v>
      </c>
      <c r="G107" s="8" t="n">
        <v>0</v>
      </c>
      <c r="H107" s="6" t="str">
        <f aca="false">IF(F107+G107=0,"rank&lt;4",IF(MIN(F107,G107)=0,IF(F107&gt;0,"Gr&gt;=0 (+)","Gr&gt;=0 (-)"),"mixed"))</f>
        <v>rank&lt;4</v>
      </c>
      <c r="I107" s="8" t="n">
        <v>8</v>
      </c>
      <c r="J107" s="8" t="n">
        <v>7</v>
      </c>
      <c r="K107" s="6" t="str">
        <f aca="false">IF(I107+J107=0,"rank&lt;4",IF(MIN(I107,J107)=0,IF(I107&gt;0,"Gr&gt;=0 (+)","Gr&gt;=0 (-)"),"mixed"))</f>
        <v>mixed</v>
      </c>
      <c r="L107" s="8" t="n">
        <v>80</v>
      </c>
      <c r="M107" s="8" t="n">
        <v>60</v>
      </c>
      <c r="N107" s="6" t="str">
        <f aca="false">IF(L107+M107=0,"rank&lt;4",IF(MIN(L107,M107)=0,IF(L107&gt;0,"Gr&gt;=0 (+)","Gr&gt;=0 (-)"),"mixed"))</f>
        <v>mixed</v>
      </c>
      <c r="O107" s="8" t="n">
        <v>157</v>
      </c>
      <c r="P107" s="8" t="n">
        <v>173</v>
      </c>
      <c r="Q107" s="6" t="str">
        <f aca="false">IF(O107+P107=0,"rank&lt;4",IF(MIN(O107,P107)=0,IF(O107&gt;0,"Gr&gt;=0 (+)","Gr&gt;=0 (-)"),"mixed"))</f>
        <v>mixed</v>
      </c>
    </row>
    <row r="108" customFormat="false" ht="15" hidden="false" customHeight="true" outlineLevel="0" collapsed="false">
      <c r="A108" s="6" t="n">
        <v>105</v>
      </c>
      <c r="B108" s="6" t="s">
        <v>172</v>
      </c>
      <c r="C108" s="8" t="n">
        <v>0</v>
      </c>
      <c r="D108" s="8" t="n">
        <v>0</v>
      </c>
      <c r="E108" s="6" t="str">
        <f aca="false">IF(C108+D108=0,"rank&lt;4",IF(MIN(C108,D108)=0,IF(C108&gt;0,"Gr&gt;=0 (+)","Gr&gt;=0 (-)"),"mixed"))</f>
        <v>rank&lt;4</v>
      </c>
      <c r="F108" s="8" t="n">
        <v>0</v>
      </c>
      <c r="G108" s="8" t="n">
        <v>0</v>
      </c>
      <c r="H108" s="6" t="str">
        <f aca="false">IF(F108+G108=0,"rank&lt;4",IF(MIN(F108,G108)=0,IF(F108&gt;0,"Gr&gt;=0 (+)","Gr&gt;=0 (-)"),"mixed"))</f>
        <v>rank&lt;4</v>
      </c>
      <c r="I108" s="8" t="n">
        <v>6</v>
      </c>
      <c r="J108" s="8" t="n">
        <v>9</v>
      </c>
      <c r="K108" s="6" t="str">
        <f aca="false">IF(I108+J108=0,"rank&lt;4",IF(MIN(I108,J108)=0,IF(I108&gt;0,"Gr&gt;=0 (+)","Gr&gt;=0 (-)"),"mixed"))</f>
        <v>mixed</v>
      </c>
      <c r="L108" s="8" t="n">
        <v>22</v>
      </c>
      <c r="M108" s="8" t="n">
        <v>13</v>
      </c>
      <c r="N108" s="6" t="str">
        <f aca="false">IF(L108+M108=0,"rank&lt;4",IF(MIN(L108,M108)=0,IF(L108&gt;0,"Gr&gt;=0 (+)","Gr&gt;=0 (-)"),"mixed"))</f>
        <v>mixed</v>
      </c>
      <c r="O108" s="8" t="n">
        <v>148</v>
      </c>
      <c r="P108" s="8" t="n">
        <v>182</v>
      </c>
      <c r="Q108" s="6" t="str">
        <f aca="false">IF(O108+P108=0,"rank&lt;4",IF(MIN(O108,P108)=0,IF(O108&gt;0,"Gr&gt;=0 (+)","Gr&gt;=0 (-)"),"mixed"))</f>
        <v>mixed</v>
      </c>
    </row>
    <row r="109" customFormat="false" ht="15" hidden="false" customHeight="true" outlineLevel="0" collapsed="false">
      <c r="A109" s="6" t="n">
        <v>106</v>
      </c>
      <c r="B109" s="6" t="s">
        <v>173</v>
      </c>
      <c r="C109" s="8" t="n">
        <v>0</v>
      </c>
      <c r="D109" s="8" t="n">
        <v>0</v>
      </c>
      <c r="E109" s="6" t="str">
        <f aca="false">IF(C109+D109=0,"rank&lt;4",IF(MIN(C109,D109)=0,IF(C109&gt;0,"Gr&gt;=0 (+)","Gr&gt;=0 (-)"),"mixed"))</f>
        <v>rank&lt;4</v>
      </c>
      <c r="F109" s="8" t="n">
        <v>0</v>
      </c>
      <c r="G109" s="8" t="n">
        <v>0</v>
      </c>
      <c r="H109" s="6" t="str">
        <f aca="false">IF(F109+G109=0,"rank&lt;4",IF(MIN(F109,G109)=0,IF(F109&gt;0,"Gr&gt;=0 (+)","Gr&gt;=0 (-)"),"mixed"))</f>
        <v>rank&lt;4</v>
      </c>
      <c r="I109" s="8" t="n">
        <v>7</v>
      </c>
      <c r="J109" s="8" t="n">
        <v>8</v>
      </c>
      <c r="K109" s="6" t="str">
        <f aca="false">IF(I109+J109=0,"rank&lt;4",IF(MIN(I109,J109)=0,IF(I109&gt;0,"Gr&gt;=0 (+)","Gr&gt;=0 (-)"),"mixed"))</f>
        <v>mixed</v>
      </c>
      <c r="L109" s="8" t="n">
        <v>43</v>
      </c>
      <c r="M109" s="8" t="n">
        <v>32</v>
      </c>
      <c r="N109" s="6" t="str">
        <f aca="false">IF(L109+M109=0,"rank&lt;4",IF(MIN(L109,M109)=0,IF(L109&gt;0,"Gr&gt;=0 (+)","Gr&gt;=0 (-)"),"mixed"))</f>
        <v>mixed</v>
      </c>
      <c r="O109" s="8" t="n">
        <v>150</v>
      </c>
      <c r="P109" s="8" t="n">
        <v>180</v>
      </c>
      <c r="Q109" s="6" t="str">
        <f aca="false">IF(O109+P109=0,"rank&lt;4",IF(MIN(O109,P109)=0,IF(O109&gt;0,"Gr&gt;=0 (+)","Gr&gt;=0 (-)"),"mixed"))</f>
        <v>mixed</v>
      </c>
    </row>
    <row r="110" customFormat="false" ht="15" hidden="false" customHeight="true" outlineLevel="0" collapsed="false">
      <c r="A110" s="6" t="n">
        <v>107</v>
      </c>
      <c r="B110" s="6" t="s">
        <v>174</v>
      </c>
      <c r="C110" s="8" t="n">
        <v>0</v>
      </c>
      <c r="D110" s="8" t="n">
        <v>0</v>
      </c>
      <c r="E110" s="6" t="str">
        <f aca="false">IF(C110+D110=0,"rank&lt;4",IF(MIN(C110,D110)=0,IF(C110&gt;0,"Gr&gt;=0 (+)","Gr&gt;=0 (-)"),"mixed"))</f>
        <v>rank&lt;4</v>
      </c>
      <c r="F110" s="8" t="n">
        <v>0</v>
      </c>
      <c r="G110" s="8" t="n">
        <v>0</v>
      </c>
      <c r="H110" s="6" t="str">
        <f aca="false">IF(F110+G110=0,"rank&lt;4",IF(MIN(F110,G110)=0,IF(F110&gt;0,"Gr&gt;=0 (+)","Gr&gt;=0 (-)"),"mixed"))</f>
        <v>rank&lt;4</v>
      </c>
      <c r="I110" s="8" t="n">
        <v>7</v>
      </c>
      <c r="J110" s="8" t="n">
        <v>8</v>
      </c>
      <c r="K110" s="6" t="str">
        <f aca="false">IF(I110+J110=0,"rank&lt;4",IF(MIN(I110,J110)=0,IF(I110&gt;0,"Gr&gt;=0 (+)","Gr&gt;=0 (-)"),"mixed"))</f>
        <v>mixed</v>
      </c>
      <c r="L110" s="8" t="n">
        <v>64</v>
      </c>
      <c r="M110" s="8" t="n">
        <v>76</v>
      </c>
      <c r="N110" s="6" t="str">
        <f aca="false">IF(L110+M110=0,"rank&lt;4",IF(MIN(L110,M110)=0,IF(L110&gt;0,"Gr&gt;=0 (+)","Gr&gt;=0 (-)"),"mixed"))</f>
        <v>mixed</v>
      </c>
      <c r="O110" s="8" t="n">
        <v>154</v>
      </c>
      <c r="P110" s="8" t="n">
        <v>176</v>
      </c>
      <c r="Q110" s="6" t="str">
        <f aca="false">IF(O110+P110=0,"rank&lt;4",IF(MIN(O110,P110)=0,IF(O110&gt;0,"Gr&gt;=0 (+)","Gr&gt;=0 (-)"),"mixed"))</f>
        <v>mixed</v>
      </c>
    </row>
    <row r="111" customFormat="false" ht="15" hidden="false" customHeight="true" outlineLevel="0" collapsed="false">
      <c r="A111" s="6" t="n">
        <v>108</v>
      </c>
      <c r="B111" s="6" t="s">
        <v>175</v>
      </c>
      <c r="C111" s="8" t="n">
        <v>0</v>
      </c>
      <c r="D111" s="8" t="n">
        <v>0</v>
      </c>
      <c r="E111" s="6" t="str">
        <f aca="false">IF(C111+D111=0,"rank&lt;4",IF(MIN(C111,D111)=0,IF(C111&gt;0,"Gr&gt;=0 (+)","Gr&gt;=0 (-)"),"mixed"))</f>
        <v>rank&lt;4</v>
      </c>
      <c r="F111" s="8" t="n">
        <v>0</v>
      </c>
      <c r="G111" s="8" t="n">
        <v>0</v>
      </c>
      <c r="H111" s="6" t="str">
        <f aca="false">IF(F111+G111=0,"rank&lt;4",IF(MIN(F111,G111)=0,IF(F111&gt;0,"Gr&gt;=0 (+)","Gr&gt;=0 (-)"),"mixed"))</f>
        <v>rank&lt;4</v>
      </c>
      <c r="I111" s="8" t="n">
        <v>6</v>
      </c>
      <c r="J111" s="8" t="n">
        <v>9</v>
      </c>
      <c r="K111" s="6" t="str">
        <f aca="false">IF(I111+J111=0,"rank&lt;4",IF(MIN(I111,J111)=0,IF(I111&gt;0,"Gr&gt;=0 (+)","Gr&gt;=0 (-)"),"mixed"))</f>
        <v>mixed</v>
      </c>
      <c r="L111" s="8" t="n">
        <v>19</v>
      </c>
      <c r="M111" s="8" t="n">
        <v>16</v>
      </c>
      <c r="N111" s="6" t="str">
        <f aca="false">IF(L111+M111=0,"rank&lt;4",IF(MIN(L111,M111)=0,IF(L111&gt;0,"Gr&gt;=0 (+)","Gr&gt;=0 (-)"),"mixed"))</f>
        <v>mixed</v>
      </c>
      <c r="O111" s="8" t="n">
        <v>161</v>
      </c>
      <c r="P111" s="8" t="n">
        <v>169</v>
      </c>
      <c r="Q111" s="6" t="str">
        <f aca="false">IF(O111+P111=0,"rank&lt;4",IF(MIN(O111,P111)=0,IF(O111&gt;0,"Gr&gt;=0 (+)","Gr&gt;=0 (-)"),"mixed"))</f>
        <v>mixed</v>
      </c>
    </row>
    <row r="112" customFormat="false" ht="15" hidden="false" customHeight="true" outlineLevel="0" collapsed="false">
      <c r="A112" s="6" t="n">
        <v>109</v>
      </c>
      <c r="B112" s="6" t="s">
        <v>176</v>
      </c>
      <c r="C112" s="8" t="n">
        <v>0</v>
      </c>
      <c r="D112" s="8" t="n">
        <v>0</v>
      </c>
      <c r="E112" s="6" t="str">
        <f aca="false">IF(C112+D112=0,"rank&lt;4",IF(MIN(C112,D112)=0,IF(C112&gt;0,"Gr&gt;=0 (+)","Gr&gt;=0 (-)"),"mixed"))</f>
        <v>rank&lt;4</v>
      </c>
      <c r="F112" s="8" t="n">
        <v>0</v>
      </c>
      <c r="G112" s="8" t="n">
        <v>0</v>
      </c>
      <c r="H112" s="6" t="str">
        <f aca="false">IF(F112+G112=0,"rank&lt;4",IF(MIN(F112,G112)=0,IF(F112&gt;0,"Gr&gt;=0 (+)","Gr&gt;=0 (-)"),"mixed"))</f>
        <v>rank&lt;4</v>
      </c>
      <c r="I112" s="8" t="n">
        <v>7</v>
      </c>
      <c r="J112" s="8" t="n">
        <v>8</v>
      </c>
      <c r="K112" s="6" t="str">
        <f aca="false">IF(I112+J112=0,"rank&lt;4",IF(MIN(I112,J112)=0,IF(I112&gt;0,"Gr&gt;=0 (+)","Gr&gt;=0 (-)"),"mixed"))</f>
        <v>mixed</v>
      </c>
      <c r="L112" s="8" t="n">
        <v>67</v>
      </c>
      <c r="M112" s="8" t="n">
        <v>73</v>
      </c>
      <c r="N112" s="6" t="str">
        <f aca="false">IF(L112+M112=0,"rank&lt;4",IF(MIN(L112,M112)=0,IF(L112&gt;0,"Gr&gt;=0 (+)","Gr&gt;=0 (-)"),"mixed"))</f>
        <v>mixed</v>
      </c>
      <c r="O112" s="8" t="n">
        <v>162</v>
      </c>
      <c r="P112" s="8" t="n">
        <v>168</v>
      </c>
      <c r="Q112" s="6" t="str">
        <f aca="false">IF(O112+P112=0,"rank&lt;4",IF(MIN(O112,P112)=0,IF(O112&gt;0,"Gr&gt;=0 (+)","Gr&gt;=0 (-)"),"mixed"))</f>
        <v>mixed</v>
      </c>
    </row>
    <row r="113" customFormat="false" ht="15" hidden="false" customHeight="true" outlineLevel="0" collapsed="false">
      <c r="A113" s="6" t="n">
        <v>110</v>
      </c>
      <c r="B113" s="6" t="s">
        <v>177</v>
      </c>
      <c r="C113" s="8" t="n">
        <v>0</v>
      </c>
      <c r="D113" s="8" t="n">
        <v>0</v>
      </c>
      <c r="E113" s="6" t="str">
        <f aca="false">IF(C113+D113=0,"rank&lt;4",IF(MIN(C113,D113)=0,IF(C113&gt;0,"Gr&gt;=0 (+)","Gr&gt;=0 (-)"),"mixed"))</f>
        <v>rank&lt;4</v>
      </c>
      <c r="F113" s="8" t="n">
        <v>0</v>
      </c>
      <c r="G113" s="8" t="n">
        <v>0</v>
      </c>
      <c r="H113" s="6" t="str">
        <f aca="false">IF(F113+G113=0,"rank&lt;4",IF(MIN(F113,G113)=0,IF(F113&gt;0,"Gr&gt;=0 (+)","Gr&gt;=0 (-)"),"mixed"))</f>
        <v>rank&lt;4</v>
      </c>
      <c r="I113" s="8" t="n">
        <v>4</v>
      </c>
      <c r="J113" s="8" t="n">
        <v>11</v>
      </c>
      <c r="K113" s="6" t="str">
        <f aca="false">IF(I113+J113=0,"rank&lt;4",IF(MIN(I113,J113)=0,IF(I113&gt;0,"Gr&gt;=0 (+)","Gr&gt;=0 (-)"),"mixed"))</f>
        <v>mixed</v>
      </c>
      <c r="L113" s="8" t="n">
        <v>61</v>
      </c>
      <c r="M113" s="8" t="n">
        <v>79</v>
      </c>
      <c r="N113" s="6" t="str">
        <f aca="false">IF(L113+M113=0,"rank&lt;4",IF(MIN(L113,M113)=0,IF(L113&gt;0,"Gr&gt;=0 (+)","Gr&gt;=0 (-)"),"mixed"))</f>
        <v>mixed</v>
      </c>
      <c r="O113" s="8" t="n">
        <v>158</v>
      </c>
      <c r="P113" s="8" t="n">
        <v>172</v>
      </c>
      <c r="Q113" s="6" t="str">
        <f aca="false">IF(O113+P113=0,"rank&lt;4",IF(MIN(O113,P113)=0,IF(O113&gt;0,"Gr&gt;=0 (+)","Gr&gt;=0 (-)"),"mixed"))</f>
        <v>mixed</v>
      </c>
    </row>
    <row r="114" customFormat="false" ht="15" hidden="false" customHeight="true" outlineLevel="0" collapsed="false">
      <c r="A114" s="6" t="n">
        <v>111</v>
      </c>
      <c r="B114" s="6" t="s">
        <v>178</v>
      </c>
      <c r="C114" s="8" t="n">
        <v>0</v>
      </c>
      <c r="D114" s="8" t="n">
        <v>0</v>
      </c>
      <c r="E114" s="6" t="str">
        <f aca="false">IF(C114+D114=0,"rank&lt;4",IF(MIN(C114,D114)=0,IF(C114&gt;0,"Gr&gt;=0 (+)","Gr&gt;=0 (-)"),"mixed"))</f>
        <v>rank&lt;4</v>
      </c>
      <c r="F114" s="8" t="n">
        <v>0</v>
      </c>
      <c r="G114" s="8" t="n">
        <v>0</v>
      </c>
      <c r="H114" s="6" t="str">
        <f aca="false">IF(F114+G114=0,"rank&lt;4",IF(MIN(F114,G114)=0,IF(F114&gt;0,"Gr&gt;=0 (+)","Gr&gt;=0 (-)"),"mixed"))</f>
        <v>rank&lt;4</v>
      </c>
      <c r="I114" s="8" t="n">
        <v>7</v>
      </c>
      <c r="J114" s="8" t="n">
        <v>8</v>
      </c>
      <c r="K114" s="6" t="str">
        <f aca="false">IF(I114+J114=0,"rank&lt;4",IF(MIN(I114,J114)=0,IF(I114&gt;0,"Gr&gt;=0 (+)","Gr&gt;=0 (-)"),"mixed"))</f>
        <v>mixed</v>
      </c>
      <c r="L114" s="8" t="n">
        <v>61</v>
      </c>
      <c r="M114" s="8" t="n">
        <v>79</v>
      </c>
      <c r="N114" s="6" t="str">
        <f aca="false">IF(L114+M114=0,"rank&lt;4",IF(MIN(L114,M114)=0,IF(L114&gt;0,"Gr&gt;=0 (+)","Gr&gt;=0 (-)"),"mixed"))</f>
        <v>mixed</v>
      </c>
      <c r="O114" s="8" t="n">
        <v>155</v>
      </c>
      <c r="P114" s="8" t="n">
        <v>175</v>
      </c>
      <c r="Q114" s="6" t="str">
        <f aca="false">IF(O114+P114=0,"rank&lt;4",IF(MIN(O114,P114)=0,IF(O114&gt;0,"Gr&gt;=0 (+)","Gr&gt;=0 (-)"),"mixed"))</f>
        <v>mixed</v>
      </c>
    </row>
    <row r="115" customFormat="false" ht="15" hidden="false" customHeight="true" outlineLevel="0" collapsed="false">
      <c r="A115" s="6" t="n">
        <v>112</v>
      </c>
      <c r="B115" s="6" t="s">
        <v>179</v>
      </c>
      <c r="C115" s="8" t="n">
        <v>0</v>
      </c>
      <c r="D115" s="8" t="n">
        <v>0</v>
      </c>
      <c r="E115" s="6" t="str">
        <f aca="false">IF(C115+D115=0,"rank&lt;4",IF(MIN(C115,D115)=0,IF(C115&gt;0,"Gr&gt;=0 (+)","Gr&gt;=0 (-)"),"mixed"))</f>
        <v>rank&lt;4</v>
      </c>
      <c r="F115" s="8" t="n">
        <v>0</v>
      </c>
      <c r="G115" s="8" t="n">
        <v>0</v>
      </c>
      <c r="H115" s="6" t="str">
        <f aca="false">IF(F115+G115=0,"rank&lt;4",IF(MIN(F115,G115)=0,IF(F115&gt;0,"Gr&gt;=0 (+)","Gr&gt;=0 (-)"),"mixed"))</f>
        <v>rank&lt;4</v>
      </c>
      <c r="I115" s="8" t="n">
        <v>6</v>
      </c>
      <c r="J115" s="8" t="n">
        <v>9</v>
      </c>
      <c r="K115" s="6" t="str">
        <f aca="false">IF(I115+J115=0,"rank&lt;4",IF(MIN(I115,J115)=0,IF(I115&gt;0,"Gr&gt;=0 (+)","Gr&gt;=0 (-)"),"mixed"))</f>
        <v>mixed</v>
      </c>
      <c r="L115" s="8" t="n">
        <v>36</v>
      </c>
      <c r="M115" s="8" t="n">
        <v>34</v>
      </c>
      <c r="N115" s="6" t="str">
        <f aca="false">IF(L115+M115=0,"rank&lt;4",IF(MIN(L115,M115)=0,IF(L115&gt;0,"Gr&gt;=0 (+)","Gr&gt;=0 (-)"),"mixed"))</f>
        <v>mixed</v>
      </c>
      <c r="O115" s="8" t="n">
        <v>152</v>
      </c>
      <c r="P115" s="8" t="n">
        <v>178</v>
      </c>
      <c r="Q115" s="6" t="str">
        <f aca="false">IF(O115+P115=0,"rank&lt;4",IF(MIN(O115,P115)=0,IF(O115&gt;0,"Gr&gt;=0 (+)","Gr&gt;=0 (-)"),"mixed"))</f>
        <v>mixed</v>
      </c>
    </row>
    <row r="116" customFormat="false" ht="15" hidden="false" customHeight="true" outlineLevel="0" collapsed="false">
      <c r="A116" s="6" t="n">
        <v>113</v>
      </c>
      <c r="B116" s="6" t="s">
        <v>180</v>
      </c>
      <c r="C116" s="8" t="n">
        <v>0</v>
      </c>
      <c r="D116" s="8" t="n">
        <v>0</v>
      </c>
      <c r="E116" s="6" t="str">
        <f aca="false">IF(C116+D116=0,"rank&lt;4",IF(MIN(C116,D116)=0,IF(C116&gt;0,"Gr&gt;=0 (+)","Gr&gt;=0 (-)"),"mixed"))</f>
        <v>rank&lt;4</v>
      </c>
      <c r="F116" s="8" t="n">
        <v>0</v>
      </c>
      <c r="G116" s="8" t="n">
        <v>0</v>
      </c>
      <c r="H116" s="6" t="str">
        <f aca="false">IF(F116+G116=0,"rank&lt;4",IF(MIN(F116,G116)=0,IF(F116&gt;0,"Gr&gt;=0 (+)","Gr&gt;=0 (-)"),"mixed"))</f>
        <v>rank&lt;4</v>
      </c>
      <c r="I116" s="8" t="n">
        <v>11</v>
      </c>
      <c r="J116" s="8" t="n">
        <v>4</v>
      </c>
      <c r="K116" s="6" t="str">
        <f aca="false">IF(I116+J116=0,"rank&lt;4",IF(MIN(I116,J116)=0,IF(I116&gt;0,"Gr&gt;=0 (+)","Gr&gt;=0 (-)"),"mixed"))</f>
        <v>mixed</v>
      </c>
      <c r="L116" s="8" t="n">
        <v>34</v>
      </c>
      <c r="M116" s="8" t="n">
        <v>36</v>
      </c>
      <c r="N116" s="6" t="str">
        <f aca="false">IF(L116+M116=0,"rank&lt;4",IF(MIN(L116,M116)=0,IF(L116&gt;0,"Gr&gt;=0 (+)","Gr&gt;=0 (-)"),"mixed"))</f>
        <v>mixed</v>
      </c>
      <c r="O116" s="8" t="n">
        <v>159</v>
      </c>
      <c r="P116" s="8" t="n">
        <v>171</v>
      </c>
      <c r="Q116" s="6" t="str">
        <f aca="false">IF(O116+P116=0,"rank&lt;4",IF(MIN(O116,P116)=0,IF(O116&gt;0,"Gr&gt;=0 (+)","Gr&gt;=0 (-)"),"mixed"))</f>
        <v>mixed</v>
      </c>
    </row>
    <row r="117" customFormat="false" ht="15" hidden="false" customHeight="true" outlineLevel="0" collapsed="false">
      <c r="A117" s="6" t="n">
        <v>114</v>
      </c>
      <c r="B117" s="6" t="s">
        <v>181</v>
      </c>
      <c r="C117" s="8" t="n">
        <v>2</v>
      </c>
      <c r="D117" s="8" t="n">
        <v>0</v>
      </c>
      <c r="E117" s="6" t="str">
        <f aca="false">IF(C117+D117=0,"rank&lt;4",IF(MIN(C117,D117)=0,IF(C117&gt;0,"Gr&gt;=0 (+)","Gr&gt;=0 (-)"),"mixed"))</f>
        <v>Gr&gt;=0 (+)</v>
      </c>
      <c r="F117" s="8" t="n">
        <v>2</v>
      </c>
      <c r="G117" s="8" t="n">
        <v>0</v>
      </c>
      <c r="H117" s="6" t="str">
        <f aca="false">IF(F117+G117=0,"rank&lt;4",IF(MIN(F117,G117)=0,IF(F117&gt;0,"Gr&gt;=0 (+)","Gr&gt;=0 (-)"),"mixed"))</f>
        <v>Gr&gt;=0 (+)</v>
      </c>
      <c r="I117" s="8" t="n">
        <v>10</v>
      </c>
      <c r="J117" s="8" t="n">
        <v>5</v>
      </c>
      <c r="K117" s="6" t="str">
        <f aca="false">IF(I117+J117=0,"rank&lt;4",IF(MIN(I117,J117)=0,IF(I117&gt;0,"Gr&gt;=0 (+)","Gr&gt;=0 (-)"),"mixed"))</f>
        <v>mixed</v>
      </c>
      <c r="L117" s="8" t="n">
        <v>98</v>
      </c>
      <c r="M117" s="8" t="n">
        <v>84</v>
      </c>
      <c r="N117" s="6" t="str">
        <f aca="false">IF(L117+M117=0,"rank&lt;4",IF(MIN(L117,M117)=0,IF(L117&gt;0,"Gr&gt;=0 (+)","Gr&gt;=0 (-)"),"mixed"))</f>
        <v>mixed</v>
      </c>
      <c r="O117" s="8" t="n">
        <v>156</v>
      </c>
      <c r="P117" s="8" t="n">
        <v>174</v>
      </c>
      <c r="Q117" s="6" t="str">
        <f aca="false">IF(O117+P117=0,"rank&lt;4",IF(MIN(O117,P117)=0,IF(O117&gt;0,"Gr&gt;=0 (+)","Gr&gt;=0 (-)"),"mixed"))</f>
        <v>mixed</v>
      </c>
    </row>
    <row r="118" customFormat="false" ht="15" hidden="false" customHeight="true" outlineLevel="0" collapsed="false">
      <c r="A118" s="6" t="n">
        <v>115</v>
      </c>
      <c r="B118" s="6" t="s">
        <v>182</v>
      </c>
      <c r="C118" s="8" t="n">
        <v>0</v>
      </c>
      <c r="D118" s="8" t="n">
        <v>0</v>
      </c>
      <c r="E118" s="6" t="str">
        <f aca="false">IF(C118+D118=0,"rank&lt;4",IF(MIN(C118,D118)=0,IF(C118&gt;0,"Gr&gt;=0 (+)","Gr&gt;=0 (-)"),"mixed"))</f>
        <v>rank&lt;4</v>
      </c>
      <c r="F118" s="8" t="n">
        <v>0</v>
      </c>
      <c r="G118" s="8" t="n">
        <v>0</v>
      </c>
      <c r="H118" s="6" t="str">
        <f aca="false">IF(F118+G118=0,"rank&lt;4",IF(MIN(F118,G118)=0,IF(F118&gt;0,"Gr&gt;=0 (+)","Gr&gt;=0 (-)"),"mixed"))</f>
        <v>rank&lt;4</v>
      </c>
      <c r="I118" s="8" t="n">
        <v>13</v>
      </c>
      <c r="J118" s="8" t="n">
        <v>2</v>
      </c>
      <c r="K118" s="6" t="str">
        <f aca="false">IF(I118+J118=0,"rank&lt;4",IF(MIN(I118,J118)=0,IF(I118&gt;0,"Gr&gt;=0 (+)","Gr&gt;=0 (-)"),"mixed"))</f>
        <v>mixed</v>
      </c>
      <c r="L118" s="8" t="n">
        <v>38</v>
      </c>
      <c r="M118" s="8" t="n">
        <v>32</v>
      </c>
      <c r="N118" s="6" t="str">
        <f aca="false">IF(L118+M118=0,"rank&lt;4",IF(MIN(L118,M118)=0,IF(L118&gt;0,"Gr&gt;=0 (+)","Gr&gt;=0 (-)"),"mixed"))</f>
        <v>mixed</v>
      </c>
      <c r="O118" s="8" t="n">
        <v>161</v>
      </c>
      <c r="P118" s="8" t="n">
        <v>169</v>
      </c>
      <c r="Q118" s="6" t="str">
        <f aca="false">IF(O118+P118=0,"rank&lt;4",IF(MIN(O118,P118)=0,IF(O118&gt;0,"Gr&gt;=0 (+)","Gr&gt;=0 (-)"),"mixed"))</f>
        <v>mixed</v>
      </c>
    </row>
    <row r="119" customFormat="false" ht="15" hidden="false" customHeight="true" outlineLevel="0" collapsed="false">
      <c r="A119" s="6" t="n">
        <v>116</v>
      </c>
      <c r="B119" s="6" t="s">
        <v>183</v>
      </c>
      <c r="C119" s="8" t="n">
        <v>0</v>
      </c>
      <c r="D119" s="8" t="n">
        <v>0</v>
      </c>
      <c r="E119" s="6" t="str">
        <f aca="false">IF(C119+D119=0,"rank&lt;4",IF(MIN(C119,D119)=0,IF(C119&gt;0,"Gr&gt;=0 (+)","Gr&gt;=0 (-)"),"mixed"))</f>
        <v>rank&lt;4</v>
      </c>
      <c r="F119" s="8" t="n">
        <v>0</v>
      </c>
      <c r="G119" s="8" t="n">
        <v>0</v>
      </c>
      <c r="H119" s="6" t="str">
        <f aca="false">IF(F119+G119=0,"rank&lt;4",IF(MIN(F119,G119)=0,IF(F119&gt;0,"Gr&gt;=0 (+)","Gr&gt;=0 (-)"),"mixed"))</f>
        <v>rank&lt;4</v>
      </c>
      <c r="I119" s="8" t="n">
        <v>13</v>
      </c>
      <c r="J119" s="8" t="n">
        <v>2</v>
      </c>
      <c r="K119" s="6" t="str">
        <f aca="false">IF(I119+J119=0,"rank&lt;4",IF(MIN(I119,J119)=0,IF(I119&gt;0,"Gr&gt;=0 (+)","Gr&gt;=0 (-)"),"mixed"))</f>
        <v>mixed</v>
      </c>
      <c r="L119" s="8" t="n">
        <v>49</v>
      </c>
      <c r="M119" s="8" t="n">
        <v>56</v>
      </c>
      <c r="N119" s="6" t="str">
        <f aca="false">IF(L119+M119=0,"rank&lt;4",IF(MIN(L119,M119)=0,IF(L119&gt;0,"Gr&gt;=0 (+)","Gr&gt;=0 (-)"),"mixed"))</f>
        <v>mixed</v>
      </c>
      <c r="O119" s="8" t="n">
        <v>160</v>
      </c>
      <c r="P119" s="8" t="n">
        <v>170</v>
      </c>
      <c r="Q119" s="6" t="str">
        <f aca="false">IF(O119+P119=0,"rank&lt;4",IF(MIN(O119,P119)=0,IF(O119&gt;0,"Gr&gt;=0 (+)","Gr&gt;=0 (-)"),"mixed"))</f>
        <v>mixed</v>
      </c>
    </row>
    <row r="120" customFormat="false" ht="15" hidden="false" customHeight="true" outlineLevel="0" collapsed="false">
      <c r="A120" s="6" t="n">
        <v>117</v>
      </c>
      <c r="B120" s="6" t="s">
        <v>184</v>
      </c>
      <c r="C120" s="8" t="n">
        <v>2</v>
      </c>
      <c r="D120" s="8" t="n">
        <v>0</v>
      </c>
      <c r="E120" s="6" t="str">
        <f aca="false">IF(C120+D120=0,"rank&lt;4",IF(MIN(C120,D120)=0,IF(C120&gt;0,"Gr&gt;=0 (+)","Gr&gt;=0 (-)"),"mixed"))</f>
        <v>Gr&gt;=0 (+)</v>
      </c>
      <c r="F120" s="8" t="n">
        <v>2</v>
      </c>
      <c r="G120" s="8" t="n">
        <v>0</v>
      </c>
      <c r="H120" s="6" t="str">
        <f aca="false">IF(F120+G120=0,"rank&lt;4",IF(MIN(F120,G120)=0,IF(F120&gt;0,"Gr&gt;=0 (+)","Gr&gt;=0 (-)"),"mixed"))</f>
        <v>Gr&gt;=0 (+)</v>
      </c>
      <c r="I120" s="8" t="n">
        <v>13</v>
      </c>
      <c r="J120" s="8" t="n">
        <v>2</v>
      </c>
      <c r="K120" s="6" t="str">
        <f aca="false">IF(I120+J120=0,"rank&lt;4",IF(MIN(I120,J120)=0,IF(I120&gt;0,"Gr&gt;=0 (+)","Gr&gt;=0 (-)"),"mixed"))</f>
        <v>mixed</v>
      </c>
      <c r="L120" s="8" t="n">
        <v>84</v>
      </c>
      <c r="M120" s="8" t="n">
        <v>98</v>
      </c>
      <c r="N120" s="6" t="str">
        <f aca="false">IF(L120+M120=0,"rank&lt;4",IF(MIN(L120,M120)=0,IF(L120&gt;0,"Gr&gt;=0 (+)","Gr&gt;=0 (-)"),"mixed"))</f>
        <v>mixed</v>
      </c>
      <c r="O120" s="8" t="n">
        <v>162</v>
      </c>
      <c r="P120" s="8" t="n">
        <v>168</v>
      </c>
      <c r="Q120" s="6" t="str">
        <f aca="false">IF(O120+P120=0,"rank&lt;4",IF(MIN(O120,P120)=0,IF(O120&gt;0,"Gr&gt;=0 (+)","Gr&gt;=0 (-)"),"mixed"))</f>
        <v>mixed</v>
      </c>
    </row>
    <row r="121" customFormat="false" ht="15" hidden="false" customHeight="true" outlineLevel="0" collapsed="false">
      <c r="A121" s="6" t="n">
        <v>118</v>
      </c>
      <c r="B121" s="6" t="s">
        <v>185</v>
      </c>
      <c r="C121" s="8" t="n">
        <v>0</v>
      </c>
      <c r="D121" s="8" t="n">
        <v>0</v>
      </c>
      <c r="E121" s="6" t="str">
        <f aca="false">IF(C121+D121=0,"rank&lt;4",IF(MIN(C121,D121)=0,IF(C121&gt;0,"Gr&gt;=0 (+)","Gr&gt;=0 (-)"),"mixed"))</f>
        <v>rank&lt;4</v>
      </c>
      <c r="F121" s="8" t="n">
        <v>0</v>
      </c>
      <c r="G121" s="8" t="n">
        <v>0</v>
      </c>
      <c r="H121" s="6" t="str">
        <f aca="false">IF(F121+G121=0,"rank&lt;4",IF(MIN(F121,G121)=0,IF(F121&gt;0,"Gr&gt;=0 (+)","Gr&gt;=0 (-)"),"mixed"))</f>
        <v>rank&lt;4</v>
      </c>
      <c r="I121" s="8" t="n">
        <v>8</v>
      </c>
      <c r="J121" s="8" t="n">
        <v>7</v>
      </c>
      <c r="K121" s="6" t="str">
        <f aca="false">IF(I121+J121=0,"rank&lt;4",IF(MIN(I121,J121)=0,IF(I121&gt;0,"Gr&gt;=0 (+)","Gr&gt;=0 (-)"),"mixed"))</f>
        <v>mixed</v>
      </c>
      <c r="L121" s="8" t="n">
        <v>35</v>
      </c>
      <c r="M121" s="8" t="n">
        <v>35</v>
      </c>
      <c r="N121" s="6" t="str">
        <f aca="false">IF(L121+M121=0,"rank&lt;4",IF(MIN(L121,M121)=0,IF(L121&gt;0,"Gr&gt;=0 (+)","Gr&gt;=0 (-)"),"mixed"))</f>
        <v>mixed</v>
      </c>
      <c r="O121" s="8" t="n">
        <v>177</v>
      </c>
      <c r="P121" s="8" t="n">
        <v>153</v>
      </c>
      <c r="Q121" s="6" t="str">
        <f aca="false">IF(O121+P121=0,"rank&lt;4",IF(MIN(O121,P121)=0,IF(O121&gt;0,"Gr&gt;=0 (+)","Gr&gt;=0 (-)"),"mixed"))</f>
        <v>mixed</v>
      </c>
    </row>
    <row r="122" customFormat="false" ht="15" hidden="false" customHeight="true" outlineLevel="0" collapsed="false">
      <c r="A122" s="6" t="n">
        <v>119</v>
      </c>
      <c r="B122" s="6" t="s">
        <v>186</v>
      </c>
      <c r="C122" s="8" t="n">
        <v>0</v>
      </c>
      <c r="D122" s="8" t="n">
        <v>2</v>
      </c>
      <c r="E122" s="6" t="str">
        <f aca="false">IF(C122+D122=0,"rank&lt;4",IF(MIN(C122,D122)=0,IF(C122&gt;0,"Gr&gt;=0 (+)","Gr&gt;=0 (-)"),"mixed"))</f>
        <v>Gr&gt;=0 (-)</v>
      </c>
      <c r="F122" s="8" t="n">
        <v>0</v>
      </c>
      <c r="G122" s="8" t="n">
        <v>2</v>
      </c>
      <c r="H122" s="6" t="str">
        <f aca="false">IF(F122+G122=0,"rank&lt;4",IF(MIN(F122,G122)=0,IF(F122&gt;0,"Gr&gt;=0 (+)","Gr&gt;=0 (-)"),"mixed"))</f>
        <v>Gr&gt;=0 (-)</v>
      </c>
      <c r="I122" s="8" t="n">
        <v>7</v>
      </c>
      <c r="J122" s="8" t="n">
        <v>8</v>
      </c>
      <c r="K122" s="6" t="str">
        <f aca="false">IF(I122+J122=0,"rank&lt;4",IF(MIN(I122,J122)=0,IF(I122&gt;0,"Gr&gt;=0 (+)","Gr&gt;=0 (-)"),"mixed"))</f>
        <v>mixed</v>
      </c>
      <c r="L122" s="8" t="n">
        <v>88</v>
      </c>
      <c r="M122" s="8" t="n">
        <v>92</v>
      </c>
      <c r="N122" s="6" t="str">
        <f aca="false">IF(L122+M122=0,"rank&lt;4",IF(MIN(L122,M122)=0,IF(L122&gt;0,"Gr&gt;=0 (+)","Gr&gt;=0 (-)"),"mixed"))</f>
        <v>mixed</v>
      </c>
      <c r="O122" s="8" t="n">
        <v>169</v>
      </c>
      <c r="P122" s="8" t="n">
        <v>161</v>
      </c>
      <c r="Q122" s="6" t="str">
        <f aca="false">IF(O122+P122=0,"rank&lt;4",IF(MIN(O122,P122)=0,IF(O122&gt;0,"Gr&gt;=0 (+)","Gr&gt;=0 (-)"),"mixed"))</f>
        <v>mixed</v>
      </c>
    </row>
    <row r="123" customFormat="false" ht="15" hidden="false" customHeight="true" outlineLevel="0" collapsed="false">
      <c r="A123" s="6" t="n">
        <v>120</v>
      </c>
      <c r="B123" s="6" t="s">
        <v>187</v>
      </c>
      <c r="C123" s="8" t="n">
        <v>2</v>
      </c>
      <c r="D123" s="8" t="n">
        <v>0</v>
      </c>
      <c r="E123" s="6" t="str">
        <f aca="false">IF(C123+D123=0,"rank&lt;4",IF(MIN(C123,D123)=0,IF(C123&gt;0,"Gr&gt;=0 (+)","Gr&gt;=0 (-)"),"mixed"))</f>
        <v>Gr&gt;=0 (+)</v>
      </c>
      <c r="F123" s="8" t="n">
        <v>2</v>
      </c>
      <c r="G123" s="8" t="n">
        <v>0</v>
      </c>
      <c r="H123" s="6" t="str">
        <f aca="false">IF(F123+G123=0,"rank&lt;4",IF(MIN(F123,G123)=0,IF(F123&gt;0,"Gr&gt;=0 (+)","Gr&gt;=0 (-)"),"mixed"))</f>
        <v>Gr&gt;=0 (+)</v>
      </c>
      <c r="I123" s="8" t="n">
        <v>10</v>
      </c>
      <c r="J123" s="8" t="n">
        <v>5</v>
      </c>
      <c r="K123" s="6" t="str">
        <f aca="false">IF(I123+J123=0,"rank&lt;4",IF(MIN(I123,J123)=0,IF(I123&gt;0,"Gr&gt;=0 (+)","Gr&gt;=0 (-)"),"mixed"))</f>
        <v>mixed</v>
      </c>
      <c r="L123" s="8" t="n">
        <v>86</v>
      </c>
      <c r="M123" s="8" t="n">
        <v>96</v>
      </c>
      <c r="N123" s="6" t="str">
        <f aca="false">IF(L123+M123=0,"rank&lt;4",IF(MIN(L123,M123)=0,IF(L123&gt;0,"Gr&gt;=0 (+)","Gr&gt;=0 (-)"),"mixed"))</f>
        <v>mixed</v>
      </c>
      <c r="O123" s="8" t="n">
        <v>170</v>
      </c>
      <c r="P123" s="8" t="n">
        <v>160</v>
      </c>
      <c r="Q123" s="6" t="str">
        <f aca="false">IF(O123+P123=0,"rank&lt;4",IF(MIN(O123,P123)=0,IF(O123&gt;0,"Gr&gt;=0 (+)","Gr&gt;=0 (-)"),"mixed"))</f>
        <v>mixed</v>
      </c>
    </row>
    <row r="124" customFormat="false" ht="15" hidden="false" customHeight="true" outlineLevel="0" collapsed="false">
      <c r="A124" s="6" t="n">
        <v>121</v>
      </c>
      <c r="B124" s="6" t="s">
        <v>188</v>
      </c>
      <c r="C124" s="8" t="n">
        <v>2</v>
      </c>
      <c r="D124" s="8" t="n">
        <v>0</v>
      </c>
      <c r="E124" s="6" t="str">
        <f aca="false">IF(C124+D124=0,"rank&lt;4",IF(MIN(C124,D124)=0,IF(C124&gt;0,"Gr&gt;=0 (+)","Gr&gt;=0 (-)"),"mixed"))</f>
        <v>Gr&gt;=0 (+)</v>
      </c>
      <c r="F124" s="8" t="n">
        <v>2</v>
      </c>
      <c r="G124" s="8" t="n">
        <v>0</v>
      </c>
      <c r="H124" s="6" t="str">
        <f aca="false">IF(F124+G124=0,"rank&lt;4",IF(MIN(F124,G124)=0,IF(F124&gt;0,"Gr&gt;=0 (+)","Gr&gt;=0 (-)"),"mixed"))</f>
        <v>Gr&gt;=0 (+)</v>
      </c>
      <c r="I124" s="8" t="n">
        <v>12</v>
      </c>
      <c r="J124" s="8" t="n">
        <v>3</v>
      </c>
      <c r="K124" s="6" t="str">
        <f aca="false">IF(I124+J124=0,"rank&lt;4",IF(MIN(I124,J124)=0,IF(I124&gt;0,"Gr&gt;=0 (+)","Gr&gt;=0 (-)"),"mixed"))</f>
        <v>mixed</v>
      </c>
      <c r="L124" s="8" t="n">
        <v>89</v>
      </c>
      <c r="M124" s="8" t="n">
        <v>93</v>
      </c>
      <c r="N124" s="6" t="str">
        <f aca="false">IF(L124+M124=0,"rank&lt;4",IF(MIN(L124,M124)=0,IF(L124&gt;0,"Gr&gt;=0 (+)","Gr&gt;=0 (-)"),"mixed"))</f>
        <v>mixed</v>
      </c>
      <c r="O124" s="8" t="n">
        <v>162</v>
      </c>
      <c r="P124" s="8" t="n">
        <v>168</v>
      </c>
      <c r="Q124" s="6" t="str">
        <f aca="false">IF(O124+P124=0,"rank&lt;4",IF(MIN(O124,P124)=0,IF(O124&gt;0,"Gr&gt;=0 (+)","Gr&gt;=0 (-)"),"mixed"))</f>
        <v>mixed</v>
      </c>
    </row>
    <row r="125" customFormat="false" ht="15" hidden="false" customHeight="true" outlineLevel="0" collapsed="false">
      <c r="A125" s="6" t="n">
        <v>122</v>
      </c>
      <c r="B125" s="6" t="s">
        <v>189</v>
      </c>
      <c r="C125" s="8" t="n">
        <v>0</v>
      </c>
      <c r="D125" s="8" t="n">
        <v>0</v>
      </c>
      <c r="E125" s="6" t="str">
        <f aca="false">IF(C125+D125=0,"rank&lt;4",IF(MIN(C125,D125)=0,IF(C125&gt;0,"Gr&gt;=0 (+)","Gr&gt;=0 (-)"),"mixed"))</f>
        <v>rank&lt;4</v>
      </c>
      <c r="F125" s="8" t="n">
        <v>0</v>
      </c>
      <c r="G125" s="8" t="n">
        <v>0</v>
      </c>
      <c r="H125" s="6" t="str">
        <f aca="false">IF(F125+G125=0,"rank&lt;4",IF(MIN(F125,G125)=0,IF(F125&gt;0,"Gr&gt;=0 (+)","Gr&gt;=0 (-)"),"mixed"))</f>
        <v>rank&lt;4</v>
      </c>
      <c r="I125" s="8" t="n">
        <v>3</v>
      </c>
      <c r="J125" s="8" t="n">
        <v>12</v>
      </c>
      <c r="K125" s="6" t="str">
        <f aca="false">IF(I125+J125=0,"rank&lt;4",IF(MIN(I125,J125)=0,IF(I125&gt;0,"Gr&gt;=0 (+)","Gr&gt;=0 (-)"),"mixed"))</f>
        <v>mixed</v>
      </c>
      <c r="L125" s="8" t="n">
        <v>17</v>
      </c>
      <c r="M125" s="8" t="n">
        <v>18</v>
      </c>
      <c r="N125" s="6" t="str">
        <f aca="false">IF(L125+M125=0,"rank&lt;4",IF(MIN(L125,M125)=0,IF(L125&gt;0,"Gr&gt;=0 (+)","Gr&gt;=0 (-)"),"mixed"))</f>
        <v>mixed</v>
      </c>
      <c r="O125" s="8" t="n">
        <v>175</v>
      </c>
      <c r="P125" s="8" t="n">
        <v>155</v>
      </c>
      <c r="Q125" s="6" t="str">
        <f aca="false">IF(O125+P125=0,"rank&lt;4",IF(MIN(O125,P125)=0,IF(O125&gt;0,"Gr&gt;=0 (+)","Gr&gt;=0 (-)"),"mixed"))</f>
        <v>mixed</v>
      </c>
    </row>
    <row r="126" customFormat="false" ht="15" hidden="false" customHeight="true" outlineLevel="0" collapsed="false">
      <c r="A126" s="6" t="n">
        <v>123</v>
      </c>
      <c r="B126" s="6" t="s">
        <v>190</v>
      </c>
      <c r="C126" s="8" t="n">
        <v>0</v>
      </c>
      <c r="D126" s="8" t="n">
        <v>0</v>
      </c>
      <c r="E126" s="6" t="str">
        <f aca="false">IF(C126+D126=0,"rank&lt;4",IF(MIN(C126,D126)=0,IF(C126&gt;0,"Gr&gt;=0 (+)","Gr&gt;=0 (-)"),"mixed"))</f>
        <v>rank&lt;4</v>
      </c>
      <c r="F126" s="8" t="n">
        <v>0</v>
      </c>
      <c r="G126" s="8" t="n">
        <v>0</v>
      </c>
      <c r="H126" s="6" t="str">
        <f aca="false">IF(F126+G126=0,"rank&lt;4",IF(MIN(F126,G126)=0,IF(F126&gt;0,"Gr&gt;=0 (+)","Gr&gt;=0 (-)"),"mixed"))</f>
        <v>rank&lt;4</v>
      </c>
      <c r="I126" s="8" t="n">
        <v>5</v>
      </c>
      <c r="J126" s="8" t="n">
        <v>10</v>
      </c>
      <c r="K126" s="6" t="str">
        <f aca="false">IF(I126+J126=0,"rank&lt;4",IF(MIN(I126,J126)=0,IF(I126&gt;0,"Gr&gt;=0 (+)","Gr&gt;=0 (-)"),"mixed"))</f>
        <v>mixed</v>
      </c>
      <c r="L126" s="8" t="n">
        <v>66</v>
      </c>
      <c r="M126" s="8" t="n">
        <v>74</v>
      </c>
      <c r="N126" s="6" t="str">
        <f aca="false">IF(L126+M126=0,"rank&lt;4",IF(MIN(L126,M126)=0,IF(L126&gt;0,"Gr&gt;=0 (+)","Gr&gt;=0 (-)"),"mixed"))</f>
        <v>mixed</v>
      </c>
      <c r="O126" s="8" t="n">
        <v>175</v>
      </c>
      <c r="P126" s="8" t="n">
        <v>155</v>
      </c>
      <c r="Q126" s="6" t="str">
        <f aca="false">IF(O126+P126=0,"rank&lt;4",IF(MIN(O126,P126)=0,IF(O126&gt;0,"Gr&gt;=0 (+)","Gr&gt;=0 (-)"),"mixed"))</f>
        <v>mixed</v>
      </c>
    </row>
    <row r="127" customFormat="false" ht="15" hidden="false" customHeight="true" outlineLevel="0" collapsed="false">
      <c r="A127" s="6" t="n">
        <v>124</v>
      </c>
      <c r="B127" s="6" t="s">
        <v>191</v>
      </c>
      <c r="C127" s="8" t="n">
        <v>0</v>
      </c>
      <c r="D127" s="8" t="n">
        <v>0</v>
      </c>
      <c r="E127" s="6" t="str">
        <f aca="false">IF(C127+D127=0,"rank&lt;4",IF(MIN(C127,D127)=0,IF(C127&gt;0,"Gr&gt;=0 (+)","Gr&gt;=0 (-)"),"mixed"))</f>
        <v>rank&lt;4</v>
      </c>
      <c r="F127" s="8" t="n">
        <v>0</v>
      </c>
      <c r="G127" s="8" t="n">
        <v>0</v>
      </c>
      <c r="H127" s="6" t="str">
        <f aca="false">IF(F127+G127=0,"rank&lt;4",IF(MIN(F127,G127)=0,IF(F127&gt;0,"Gr&gt;=0 (+)","Gr&gt;=0 (-)"),"mixed"))</f>
        <v>rank&lt;4</v>
      </c>
      <c r="I127" s="8" t="n">
        <v>5</v>
      </c>
      <c r="J127" s="8" t="n">
        <v>10</v>
      </c>
      <c r="K127" s="6" t="str">
        <f aca="false">IF(I127+J127=0,"rank&lt;4",IF(MIN(I127,J127)=0,IF(I127&gt;0,"Gr&gt;=0 (+)","Gr&gt;=0 (-)"),"mixed"))</f>
        <v>mixed</v>
      </c>
      <c r="L127" s="8" t="n">
        <v>70</v>
      </c>
      <c r="M127" s="8" t="n">
        <v>70</v>
      </c>
      <c r="N127" s="6" t="str">
        <f aca="false">IF(L127+M127=0,"rank&lt;4",IF(MIN(L127,M127)=0,IF(L127&gt;0,"Gr&gt;=0 (+)","Gr&gt;=0 (-)"),"mixed"))</f>
        <v>mixed</v>
      </c>
      <c r="O127" s="8" t="n">
        <v>170</v>
      </c>
      <c r="P127" s="8" t="n">
        <v>160</v>
      </c>
      <c r="Q127" s="6" t="str">
        <f aca="false">IF(O127+P127=0,"rank&lt;4",IF(MIN(O127,P127)=0,IF(O127&gt;0,"Gr&gt;=0 (+)","Gr&gt;=0 (-)"),"mixed"))</f>
        <v>mixed</v>
      </c>
    </row>
    <row r="128" customFormat="false" ht="15" hidden="false" customHeight="true" outlineLevel="0" collapsed="false">
      <c r="A128" s="6" t="n">
        <v>125</v>
      </c>
      <c r="B128" s="6" t="s">
        <v>192</v>
      </c>
      <c r="C128" s="8" t="n">
        <v>0</v>
      </c>
      <c r="D128" s="8" t="n">
        <v>0</v>
      </c>
      <c r="E128" s="6" t="str">
        <f aca="false">IF(C128+D128=0,"rank&lt;4",IF(MIN(C128,D128)=0,IF(C128&gt;0,"Gr&gt;=0 (+)","Gr&gt;=0 (-)"),"mixed"))</f>
        <v>rank&lt;4</v>
      </c>
      <c r="F128" s="8" t="n">
        <v>0</v>
      </c>
      <c r="G128" s="8" t="n">
        <v>0</v>
      </c>
      <c r="H128" s="6" t="str">
        <f aca="false">IF(F128+G128=0,"rank&lt;4",IF(MIN(F128,G128)=0,IF(F128&gt;0,"Gr&gt;=0 (+)","Gr&gt;=0 (-)"),"mixed"))</f>
        <v>rank&lt;4</v>
      </c>
      <c r="I128" s="8" t="n">
        <v>7</v>
      </c>
      <c r="J128" s="8" t="n">
        <v>8</v>
      </c>
      <c r="K128" s="6" t="str">
        <f aca="false">IF(I128+J128=0,"rank&lt;4",IF(MIN(I128,J128)=0,IF(I128&gt;0,"Gr&gt;=0 (+)","Gr&gt;=0 (-)"),"mixed"))</f>
        <v>mixed</v>
      </c>
      <c r="L128" s="8" t="n">
        <v>75</v>
      </c>
      <c r="M128" s="8" t="n">
        <v>65</v>
      </c>
      <c r="N128" s="6" t="str">
        <f aca="false">IF(L128+M128=0,"rank&lt;4",IF(MIN(L128,M128)=0,IF(L128&gt;0,"Gr&gt;=0 (+)","Gr&gt;=0 (-)"),"mixed"))</f>
        <v>mixed</v>
      </c>
      <c r="O128" s="8" t="n">
        <v>160</v>
      </c>
      <c r="P128" s="8" t="n">
        <v>170</v>
      </c>
      <c r="Q128" s="6" t="str">
        <f aca="false">IF(O128+P128=0,"rank&lt;4",IF(MIN(O128,P128)=0,IF(O128&gt;0,"Gr&gt;=0 (+)","Gr&gt;=0 (-)"),"mixed"))</f>
        <v>mixed</v>
      </c>
    </row>
    <row r="129" customFormat="false" ht="15" hidden="false" customHeight="true" outlineLevel="0" collapsed="false">
      <c r="A129" s="6" t="n">
        <v>126</v>
      </c>
      <c r="B129" s="6" t="s">
        <v>193</v>
      </c>
      <c r="C129" s="8" t="n">
        <v>0</v>
      </c>
      <c r="D129" s="8" t="n">
        <v>0</v>
      </c>
      <c r="E129" s="6" t="str">
        <f aca="false">IF(C129+D129=0,"rank&lt;4",IF(MIN(C129,D129)=0,IF(C129&gt;0,"Gr&gt;=0 (+)","Gr&gt;=0 (-)"),"mixed"))</f>
        <v>rank&lt;4</v>
      </c>
      <c r="F129" s="8" t="n">
        <v>0</v>
      </c>
      <c r="G129" s="8" t="n">
        <v>0</v>
      </c>
      <c r="H129" s="6" t="str">
        <f aca="false">IF(F129+G129=0,"rank&lt;4",IF(MIN(F129,G129)=0,IF(F129&gt;0,"Gr&gt;=0 (+)","Gr&gt;=0 (-)"),"mixed"))</f>
        <v>rank&lt;4</v>
      </c>
      <c r="I129" s="8" t="n">
        <v>10</v>
      </c>
      <c r="J129" s="8" t="n">
        <v>5</v>
      </c>
      <c r="K129" s="6" t="str">
        <f aca="false">IF(I129+J129=0,"rank&lt;4",IF(MIN(I129,J129)=0,IF(I129&gt;0,"Gr&gt;=0 (+)","Gr&gt;=0 (-)"),"mixed"))</f>
        <v>mixed</v>
      </c>
      <c r="L129" s="8" t="n">
        <v>79</v>
      </c>
      <c r="M129" s="8" t="n">
        <v>61</v>
      </c>
      <c r="N129" s="6" t="str">
        <f aca="false">IF(L129+M129=0,"rank&lt;4",IF(MIN(L129,M129)=0,IF(L129&gt;0,"Gr&gt;=0 (+)","Gr&gt;=0 (-)"),"mixed"))</f>
        <v>mixed</v>
      </c>
      <c r="O129" s="8" t="n">
        <v>152</v>
      </c>
      <c r="P129" s="8" t="n">
        <v>178</v>
      </c>
      <c r="Q129" s="6" t="str">
        <f aca="false">IF(O129+P129=0,"rank&lt;4",IF(MIN(O129,P129)=0,IF(O129&gt;0,"Gr&gt;=0 (+)","Gr&gt;=0 (-)"),"mixed"))</f>
        <v>mixed</v>
      </c>
    </row>
    <row r="130" customFormat="false" ht="15" hidden="false" customHeight="true" outlineLevel="0" collapsed="false">
      <c r="B130" s="7" t="s">
        <v>605</v>
      </c>
    </row>
    <row r="131" customFormat="false" ht="15" hidden="false" customHeight="true" outlineLevel="0" collapsed="false">
      <c r="B131" s="7" t="s">
        <v>606</v>
      </c>
      <c r="E131" s="7" t="n">
        <f aca="false">COUNTIF(E4:E129,"Gr&gt;=0 (+)")</f>
        <v>21</v>
      </c>
      <c r="H131" s="7" t="n">
        <f aca="false">COUNTIF(H4:H129,"Gr&gt;=0 (+)")</f>
        <v>13</v>
      </c>
      <c r="K131" s="7" t="n">
        <f aca="false">COUNTIF(K4:K129,"Gr&gt;=0 (+)")</f>
        <v>0</v>
      </c>
      <c r="N131" s="7" t="n">
        <f aca="false">COUNTIF(N4:N129,"Gr&gt;=0 (+)")</f>
        <v>0</v>
      </c>
      <c r="Q131" s="7" t="n">
        <f aca="false">COUNTIF(Q4:Q129,"Gr&gt;=0 (+)")</f>
        <v>0</v>
      </c>
    </row>
    <row r="132" customFormat="false" ht="15" hidden="false" customHeight="true" outlineLevel="0" collapsed="false">
      <c r="B132" s="7" t="s">
        <v>607</v>
      </c>
      <c r="E132" s="7" t="n">
        <f aca="false">COUNTIF(E4:E129,"Gr&gt;=0 (-)")</f>
        <v>18</v>
      </c>
      <c r="H132" s="7" t="n">
        <f aca="false">COUNTIF(H4:H129,"Gr&gt;=0 (-)")</f>
        <v>14</v>
      </c>
      <c r="K132" s="7" t="n">
        <f aca="false">COUNTIF(K4:K129,"Gr&gt;=0 (-)")</f>
        <v>0</v>
      </c>
      <c r="N132" s="7" t="n">
        <f aca="false">COUNTIF(N4:N129,"Gr&gt;=0 (-)")</f>
        <v>0</v>
      </c>
      <c r="Q132" s="7" t="n">
        <f aca="false">COUNTIF(Q4:Q129,"Gr&gt;=0 (-)")</f>
        <v>0</v>
      </c>
    </row>
    <row r="133" customFormat="false" ht="15" hidden="false" customHeight="true" outlineLevel="0" collapsed="false">
      <c r="B133" s="7" t="s">
        <v>608</v>
      </c>
      <c r="E133" s="7" t="n">
        <f aca="false">COUNTIF(E4:E129,"mixed")</f>
        <v>3</v>
      </c>
      <c r="H133" s="7" t="n">
        <f aca="false">COUNTIF(H4:H129,"mixed")</f>
        <v>15</v>
      </c>
      <c r="K133" s="7" t="n">
        <f aca="false">COUNTIF(K4:K129,"mixed")</f>
        <v>126</v>
      </c>
      <c r="N133" s="7" t="n">
        <f aca="false">COUNTIF(N4:N129,"mixed")</f>
        <v>126</v>
      </c>
      <c r="Q133" s="7" t="n">
        <f aca="false">COUNTIF(Q4:Q129,"mixed")</f>
        <v>126</v>
      </c>
    </row>
    <row r="134" customFormat="false" ht="15" hidden="false" customHeight="true" outlineLevel="0" collapsed="false">
      <c r="B134" s="7" t="s">
        <v>609</v>
      </c>
      <c r="E134" s="7" t="n">
        <f aca="false">COUNTIF(E4:E129,"rank&lt;4")</f>
        <v>84</v>
      </c>
      <c r="H134" s="7" t="n">
        <f aca="false">COUNTIF(H4:H129,"rank&lt;4")</f>
        <v>84</v>
      </c>
      <c r="K134" s="7" t="n">
        <f aca="false">COUNTIF(K4:K129,"rank&lt;4")</f>
        <v>0</v>
      </c>
      <c r="N134" s="7" t="n">
        <f aca="false">COUNTIF(N4:N129,"rank&lt;4")</f>
        <v>0</v>
      </c>
      <c r="Q134" s="7" t="n">
        <f aca="false">COUNTIF(Q4:Q129,"rank&lt;4")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</cols>
  <sheetData>
    <row r="1" customFormat="false" ht="15" hidden="false" customHeight="true" outlineLevel="0" collapsed="false">
      <c r="A1" s="7" t="s">
        <v>610</v>
      </c>
    </row>
    <row r="3" customFormat="false" ht="34.5" hidden="false" customHeight="true" outlineLevel="0" collapsed="false">
      <c r="A3" s="5" t="s">
        <v>611</v>
      </c>
      <c r="B3" s="5" t="s">
        <v>612</v>
      </c>
      <c r="C3" s="5" t="s">
        <v>613</v>
      </c>
      <c r="D3" s="5" t="s">
        <v>614</v>
      </c>
      <c r="E3" s="5" t="s">
        <v>615</v>
      </c>
      <c r="F3" s="5" t="s">
        <v>616</v>
      </c>
      <c r="G3" s="5" t="s">
        <v>617</v>
      </c>
      <c r="H3" s="5" t="s">
        <v>618</v>
      </c>
      <c r="I3" s="5" t="s">
        <v>619</v>
      </c>
      <c r="J3" s="5" t="s">
        <v>620</v>
      </c>
    </row>
    <row r="4" customFormat="false" ht="15" hidden="false" customHeight="true" outlineLevel="0" collapsed="false">
      <c r="A4" s="13" t="s">
        <v>621</v>
      </c>
      <c r="B4" s="8" t="n">
        <v>50</v>
      </c>
      <c r="C4" s="8" t="n">
        <v>50</v>
      </c>
      <c r="D4" s="13" t="str">
        <f aca="false">IF(C4&lt;&gt;B4,"rising","")</f>
        <v/>
      </c>
      <c r="E4" s="8" t="n">
        <v>50</v>
      </c>
      <c r="F4" s="8" t="n">
        <v>1</v>
      </c>
      <c r="G4" s="8" t="n">
        <v>194</v>
      </c>
      <c r="H4" s="8" t="n">
        <v>5</v>
      </c>
      <c r="I4" s="8" t="n">
        <v>140</v>
      </c>
      <c r="J4" s="8" t="n">
        <v>2</v>
      </c>
    </row>
    <row r="5" customFormat="false" ht="15" hidden="false" customHeight="true" outlineLevel="0" collapsed="false">
      <c r="A5" s="13" t="s">
        <v>622</v>
      </c>
      <c r="B5" s="8" t="n">
        <v>69</v>
      </c>
      <c r="C5" s="8" t="n">
        <v>69</v>
      </c>
      <c r="D5" s="13" t="str">
        <f aca="false">IF(C5&lt;&gt;B5,"rising","")</f>
        <v/>
      </c>
      <c r="E5" s="8" t="n">
        <v>69</v>
      </c>
      <c r="F5" s="8" t="n">
        <v>1</v>
      </c>
      <c r="G5" s="8" t="n">
        <v>195</v>
      </c>
      <c r="H5" s="8" t="n">
        <v>5</v>
      </c>
      <c r="I5" s="8" t="n">
        <v>206</v>
      </c>
      <c r="J5" s="8" t="n">
        <v>6</v>
      </c>
    </row>
    <row r="6" customFormat="false" ht="15" hidden="false" customHeight="true" outlineLevel="0" collapsed="false">
      <c r="A6" s="13" t="s">
        <v>623</v>
      </c>
      <c r="B6" s="8" t="n">
        <v>107</v>
      </c>
      <c r="C6" s="8" t="n">
        <v>107</v>
      </c>
      <c r="D6" s="13" t="str">
        <f aca="false">IF(C6&lt;&gt;B6,"rising","")</f>
        <v/>
      </c>
      <c r="E6" s="8" t="n">
        <v>107</v>
      </c>
      <c r="F6" s="8" t="n">
        <v>1</v>
      </c>
      <c r="G6" s="8" t="n">
        <v>196</v>
      </c>
      <c r="H6" s="8" t="n">
        <v>5</v>
      </c>
      <c r="I6" s="8" t="n">
        <v>266</v>
      </c>
      <c r="J6" s="8" t="n">
        <v>8</v>
      </c>
    </row>
    <row r="7" customFormat="false" ht="15" hidden="false" customHeight="true" outlineLevel="0" collapsed="false">
      <c r="A7" s="13" t="s">
        <v>624</v>
      </c>
      <c r="B7" s="8" t="n">
        <v>100</v>
      </c>
      <c r="C7" s="8" t="n">
        <v>100</v>
      </c>
      <c r="D7" s="13" t="str">
        <f aca="false">IF(C7&lt;&gt;B7,"rising","")</f>
        <v/>
      </c>
      <c r="E7" s="8" t="n">
        <v>100</v>
      </c>
      <c r="F7" s="8" t="n">
        <v>1</v>
      </c>
      <c r="G7" s="8" t="n">
        <v>197</v>
      </c>
      <c r="H7" s="8" t="n">
        <v>5</v>
      </c>
      <c r="I7" s="8" t="n">
        <v>260</v>
      </c>
      <c r="J7" s="8" t="n">
        <v>8</v>
      </c>
    </row>
    <row r="8" customFormat="false" ht="15" hidden="false" customHeight="true" outlineLevel="0" collapsed="false">
      <c r="A8" s="13" t="s">
        <v>625</v>
      </c>
      <c r="B8" s="8" t="n">
        <v>70</v>
      </c>
      <c r="C8" s="8" t="n">
        <v>110</v>
      </c>
      <c r="D8" s="13" t="str">
        <f aca="false">IF(C8&lt;&gt;B8,"rising","")</f>
        <v>rising</v>
      </c>
      <c r="E8" s="8" t="n">
        <v>70</v>
      </c>
      <c r="F8" s="8" t="n">
        <v>1</v>
      </c>
      <c r="G8" s="8" t="n">
        <v>198</v>
      </c>
      <c r="H8" s="8" t="n">
        <v>5</v>
      </c>
      <c r="I8" s="8" t="n">
        <v>268</v>
      </c>
      <c r="J8" s="8" t="n">
        <v>8</v>
      </c>
    </row>
    <row r="9" customFormat="false" ht="15" hidden="false" customHeight="true" outlineLevel="0" collapsed="false">
      <c r="A9" s="13" t="s">
        <v>626</v>
      </c>
      <c r="B9" s="8" t="n">
        <v>191</v>
      </c>
      <c r="C9" s="8" t="n">
        <v>271</v>
      </c>
      <c r="D9" s="13" t="str">
        <f aca="false">IF(C9&lt;&gt;B9,"rising","")</f>
        <v>rising</v>
      </c>
      <c r="E9" s="8" t="n">
        <v>191</v>
      </c>
      <c r="F9" s="8" t="n">
        <v>5</v>
      </c>
      <c r="G9" s="8" t="n">
        <v>208</v>
      </c>
      <c r="H9" s="8" t="n">
        <v>7</v>
      </c>
      <c r="I9" s="8" t="n">
        <v>287</v>
      </c>
      <c r="J9" s="8" t="n">
        <v>10</v>
      </c>
    </row>
    <row r="10" customFormat="false" ht="15" hidden="false" customHeight="true" outlineLevel="0" collapsed="false">
      <c r="A10" s="13" t="s">
        <v>627</v>
      </c>
      <c r="B10" s="8" t="n">
        <v>68</v>
      </c>
      <c r="C10" s="8" t="n">
        <v>68</v>
      </c>
      <c r="D10" s="13" t="str">
        <f aca="false">IF(C10&lt;&gt;B10,"rising","")</f>
        <v/>
      </c>
      <c r="E10" s="8" t="n">
        <v>68</v>
      </c>
      <c r="F10" s="8" t="n">
        <v>1</v>
      </c>
      <c r="G10" s="8" t="n">
        <v>209</v>
      </c>
      <c r="H10" s="8" t="n">
        <v>7</v>
      </c>
      <c r="I10" s="8" t="n">
        <v>204</v>
      </c>
      <c r="J10" s="8" t="n">
        <v>6</v>
      </c>
    </row>
    <row r="11" customFormat="false" ht="15" hidden="false" customHeight="true" outlineLevel="0" collapsed="false">
      <c r="A11" s="13" t="s">
        <v>628</v>
      </c>
      <c r="B11" s="8" t="n">
        <v>83</v>
      </c>
      <c r="C11" s="8" t="n">
        <v>83</v>
      </c>
      <c r="D11" s="13" t="str">
        <f aca="false">IF(C11&lt;&gt;B11,"rising","")</f>
        <v/>
      </c>
      <c r="E11" s="8" t="n">
        <v>83</v>
      </c>
      <c r="F11" s="8" t="n">
        <v>1</v>
      </c>
      <c r="G11" s="8" t="n">
        <v>210</v>
      </c>
      <c r="H11" s="8" t="n">
        <v>7</v>
      </c>
      <c r="I11" s="8" t="n">
        <v>234</v>
      </c>
      <c r="J11" s="8" t="n">
        <v>8</v>
      </c>
    </row>
    <row r="12" customFormat="false" ht="15" hidden="false" customHeight="true" outlineLevel="0" collapsed="false">
      <c r="A12" s="13" t="s">
        <v>629</v>
      </c>
      <c r="B12" s="8" t="n">
        <v>65</v>
      </c>
      <c r="C12" s="8" t="n">
        <v>65</v>
      </c>
      <c r="D12" s="13" t="str">
        <f aca="false">IF(C12&lt;&gt;B12,"rising","")</f>
        <v/>
      </c>
      <c r="E12" s="8" t="n">
        <v>65</v>
      </c>
      <c r="F12" s="8" t="n">
        <v>1</v>
      </c>
      <c r="G12" s="8" t="n">
        <v>212</v>
      </c>
      <c r="H12" s="8" t="n">
        <v>7</v>
      </c>
      <c r="I12" s="8" t="n">
        <v>177</v>
      </c>
      <c r="J12" s="8" t="n">
        <v>4</v>
      </c>
    </row>
    <row r="13" customFormat="false" ht="15" hidden="false" customHeight="true" outlineLevel="0" collapsed="false">
      <c r="A13" s="13" t="s">
        <v>630</v>
      </c>
      <c r="B13" s="8" t="n">
        <v>105</v>
      </c>
      <c r="C13" s="8" t="n">
        <v>105</v>
      </c>
      <c r="D13" s="13" t="str">
        <f aca="false">IF(C13&lt;&gt;B13,"rising","")</f>
        <v/>
      </c>
      <c r="E13" s="8" t="n">
        <v>105</v>
      </c>
      <c r="F13" s="8" t="n">
        <v>1</v>
      </c>
      <c r="G13" s="8" t="n">
        <v>213</v>
      </c>
      <c r="H13" s="8" t="n">
        <v>7</v>
      </c>
      <c r="I13" s="8" t="n">
        <v>264</v>
      </c>
      <c r="J13" s="8" t="n">
        <v>8</v>
      </c>
    </row>
    <row r="14" customFormat="false" ht="15" hidden="false" customHeight="true" outlineLevel="0" collapsed="false">
      <c r="A14" s="13" t="s">
        <v>631</v>
      </c>
      <c r="B14" s="8" t="n">
        <v>134</v>
      </c>
      <c r="C14" s="8" t="n">
        <v>134</v>
      </c>
      <c r="D14" s="13" t="str">
        <f aca="false">IF(C14&lt;&gt;B14,"rising","")</f>
        <v/>
      </c>
      <c r="E14" s="8" t="n">
        <v>134</v>
      </c>
      <c r="F14" s="8" t="n">
        <v>1</v>
      </c>
      <c r="G14" s="8" t="n">
        <v>214</v>
      </c>
      <c r="H14" s="8" t="n">
        <v>7</v>
      </c>
      <c r="I14" s="8" t="n">
        <v>282</v>
      </c>
      <c r="J14" s="8" t="n">
        <v>10</v>
      </c>
    </row>
    <row r="15" customFormat="false" ht="15" hidden="false" customHeight="true" outlineLevel="0" collapsed="false">
      <c r="A15" s="13" t="s">
        <v>632</v>
      </c>
      <c r="B15" s="8" t="n">
        <v>70</v>
      </c>
      <c r="C15" s="8" t="n">
        <v>70</v>
      </c>
      <c r="D15" s="13" t="str">
        <f aca="false">IF(C15&lt;&gt;B15,"rising","")</f>
        <v/>
      </c>
      <c r="E15" s="8" t="n">
        <v>70</v>
      </c>
      <c r="F15" s="8" t="n">
        <v>1</v>
      </c>
      <c r="G15" s="8" t="n">
        <v>215</v>
      </c>
      <c r="H15" s="8" t="n">
        <v>7</v>
      </c>
      <c r="I15" s="8" t="n">
        <v>226</v>
      </c>
      <c r="J15" s="8" t="n">
        <v>8</v>
      </c>
    </row>
    <row r="16" customFormat="false" ht="15" hidden="false" customHeight="true" outlineLevel="0" collapsed="false">
      <c r="A16" s="13" t="s">
        <v>633</v>
      </c>
      <c r="B16" s="8" t="n">
        <v>83</v>
      </c>
      <c r="C16" s="8" t="n">
        <v>123</v>
      </c>
      <c r="D16" s="13" t="str">
        <f aca="false">IF(C16&lt;&gt;B16,"rising","")</f>
        <v>rising</v>
      </c>
      <c r="E16" s="8" t="n">
        <v>83</v>
      </c>
      <c r="F16" s="8" t="n">
        <v>1</v>
      </c>
      <c r="G16" s="8" t="n">
        <v>218</v>
      </c>
      <c r="H16" s="8" t="n">
        <v>7</v>
      </c>
      <c r="I16" s="8" t="n">
        <v>281</v>
      </c>
      <c r="J16" s="8" t="n">
        <v>10</v>
      </c>
    </row>
    <row r="17" customFormat="false" ht="15" hidden="false" customHeight="true" outlineLevel="0" collapsed="false">
      <c r="A17" s="13" t="s">
        <v>634</v>
      </c>
      <c r="B17" s="8" t="n">
        <v>217</v>
      </c>
      <c r="C17" s="8" t="n">
        <v>297</v>
      </c>
      <c r="D17" s="13" t="str">
        <f aca="false">IF(C17&lt;&gt;B17,"rising","")</f>
        <v>rising</v>
      </c>
      <c r="E17" s="8" t="n">
        <v>217</v>
      </c>
      <c r="F17" s="8" t="n">
        <v>7</v>
      </c>
      <c r="G17" s="8" t="n">
        <v>219</v>
      </c>
      <c r="H17" s="8" t="n">
        <v>7</v>
      </c>
      <c r="I17" s="8" t="n">
        <v>288</v>
      </c>
      <c r="J17" s="8" t="n">
        <v>10</v>
      </c>
    </row>
    <row r="18" customFormat="false" ht="15" hidden="false" customHeight="true" outlineLevel="0" collapsed="false">
      <c r="A18" s="13" t="s">
        <v>635</v>
      </c>
      <c r="B18" s="8" t="n">
        <v>85</v>
      </c>
      <c r="C18" s="8" t="n">
        <v>85</v>
      </c>
      <c r="D18" s="13" t="str">
        <f aca="false">IF(C18&lt;&gt;B18,"rising","")</f>
        <v/>
      </c>
      <c r="E18" s="8" t="n">
        <v>85</v>
      </c>
      <c r="F18" s="8" t="n">
        <v>1</v>
      </c>
      <c r="G18" s="8" t="n">
        <v>220</v>
      </c>
      <c r="H18" s="8" t="n">
        <v>7</v>
      </c>
      <c r="I18" s="8" t="n">
        <v>238</v>
      </c>
      <c r="J18" s="8" t="n">
        <v>8</v>
      </c>
    </row>
    <row r="19" customFormat="false" ht="15" hidden="false" customHeight="true" outlineLevel="0" collapsed="false">
      <c r="A19" s="13" t="s">
        <v>636</v>
      </c>
      <c r="B19" s="8" t="n">
        <v>94</v>
      </c>
      <c r="C19" s="8" t="n">
        <v>94</v>
      </c>
      <c r="D19" s="13" t="str">
        <f aca="false">IF(C19&lt;&gt;B19,"rising","")</f>
        <v/>
      </c>
      <c r="E19" s="8" t="n">
        <v>94</v>
      </c>
      <c r="F19" s="8" t="n">
        <v>1</v>
      </c>
      <c r="G19" s="8" t="n">
        <v>221</v>
      </c>
      <c r="H19" s="8" t="n">
        <v>7</v>
      </c>
      <c r="I19" s="8" t="n">
        <v>251</v>
      </c>
      <c r="J19" s="8" t="n">
        <v>8</v>
      </c>
    </row>
    <row r="20" customFormat="false" ht="15" hidden="false" customHeight="true" outlineLevel="0" collapsed="false">
      <c r="A20" s="13" t="s">
        <v>637</v>
      </c>
      <c r="B20" s="8" t="n">
        <v>92</v>
      </c>
      <c r="C20" s="8" t="n">
        <v>92</v>
      </c>
      <c r="D20" s="13" t="str">
        <f aca="false">IF(C20&lt;&gt;B20,"rising","")</f>
        <v/>
      </c>
      <c r="E20" s="8" t="n">
        <v>92</v>
      </c>
      <c r="F20" s="8" t="n">
        <v>1</v>
      </c>
      <c r="G20" s="8" t="n">
        <v>222</v>
      </c>
      <c r="H20" s="8" t="n">
        <v>7</v>
      </c>
      <c r="I20" s="8" t="n">
        <v>248</v>
      </c>
      <c r="J20" s="8" t="n">
        <v>8</v>
      </c>
    </row>
    <row r="21" customFormat="false" ht="15" hidden="false" customHeight="true" outlineLevel="0" collapsed="false">
      <c r="A21" s="13" t="s">
        <v>638</v>
      </c>
      <c r="B21" s="8" t="n">
        <v>131</v>
      </c>
      <c r="C21" s="8" t="n">
        <v>211</v>
      </c>
      <c r="D21" s="13" t="str">
        <f aca="false">IF(C21&lt;&gt;B21,"rising","")</f>
        <v>rising</v>
      </c>
      <c r="E21" s="8" t="n">
        <v>131</v>
      </c>
      <c r="F21" s="8" t="n">
        <v>1</v>
      </c>
      <c r="G21" s="8" t="n">
        <v>223</v>
      </c>
      <c r="H21" s="8" t="n">
        <v>7</v>
      </c>
      <c r="I21" s="8" t="n">
        <v>286</v>
      </c>
      <c r="J21" s="8" t="n">
        <v>10</v>
      </c>
    </row>
    <row r="22" customFormat="false" ht="15" hidden="false" customHeight="true" outlineLevel="0" collapsed="false">
      <c r="A22" s="13" t="s">
        <v>639</v>
      </c>
      <c r="B22" s="8" t="n">
        <v>186</v>
      </c>
      <c r="C22" s="8" t="n">
        <v>186</v>
      </c>
      <c r="D22" s="13" t="str">
        <f aca="false">IF(C22&lt;&gt;B22,"rising","")</f>
        <v/>
      </c>
      <c r="E22" s="8" t="n">
        <v>186</v>
      </c>
      <c r="F22" s="8" t="n">
        <v>5</v>
      </c>
      <c r="G22" s="8" t="n">
        <v>224</v>
      </c>
      <c r="H22" s="8" t="n">
        <v>7</v>
      </c>
      <c r="I22" s="8" t="n">
        <v>284</v>
      </c>
      <c r="J22" s="8" t="n">
        <v>10</v>
      </c>
    </row>
    <row r="23" customFormat="false" ht="15" hidden="false" customHeight="true" outlineLevel="0" collapsed="false">
      <c r="A23" s="13" t="s">
        <v>640</v>
      </c>
      <c r="B23" s="8" t="n">
        <v>44</v>
      </c>
      <c r="C23" s="8" t="n">
        <v>44</v>
      </c>
      <c r="D23" s="13" t="str">
        <f aca="false">IF(C23&lt;&gt;B23,"rising","")</f>
        <v/>
      </c>
      <c r="E23" s="8" t="n">
        <v>44</v>
      </c>
      <c r="F23" s="8" t="n">
        <v>1</v>
      </c>
      <c r="G23" s="8" t="n">
        <v>225</v>
      </c>
      <c r="H23" s="8" t="n">
        <v>7</v>
      </c>
      <c r="I23" s="8" t="n">
        <v>136</v>
      </c>
      <c r="J23" s="8" t="n">
        <v>2</v>
      </c>
    </row>
    <row r="24" customFormat="false" ht="15" hidden="false" customHeight="true" outlineLevel="0" collapsed="false">
      <c r="A24" s="13" t="s">
        <v>641</v>
      </c>
      <c r="B24" s="8" t="n">
        <v>56</v>
      </c>
      <c r="C24" s="8" t="n">
        <v>96</v>
      </c>
      <c r="D24" s="13" t="str">
        <f aca="false">IF(C24&lt;&gt;B24,"rising","")</f>
        <v>rising</v>
      </c>
      <c r="E24" s="8" t="n">
        <v>56</v>
      </c>
      <c r="F24" s="8" t="n">
        <v>1</v>
      </c>
      <c r="G24" s="8" t="n">
        <v>272</v>
      </c>
      <c r="H24" s="8" t="n">
        <v>9</v>
      </c>
      <c r="I24" s="8" t="n">
        <v>257</v>
      </c>
      <c r="J24" s="8" t="n">
        <v>8</v>
      </c>
    </row>
    <row r="25" customFormat="false" ht="15" hidden="false" customHeight="true" outlineLevel="0" collapsed="false">
      <c r="A25" s="13" t="s">
        <v>642</v>
      </c>
      <c r="B25" s="8" t="n">
        <v>66</v>
      </c>
      <c r="C25" s="8" t="n">
        <v>66</v>
      </c>
      <c r="D25" s="13" t="str">
        <f aca="false">IF(C25&lt;&gt;B25,"rising","")</f>
        <v/>
      </c>
      <c r="E25" s="8" t="n">
        <v>66</v>
      </c>
      <c r="F25" s="8" t="n">
        <v>1</v>
      </c>
      <c r="G25" s="8" t="n">
        <v>273</v>
      </c>
      <c r="H25" s="8" t="n">
        <v>9</v>
      </c>
      <c r="I25" s="8" t="n">
        <v>200</v>
      </c>
      <c r="J25" s="8" t="n">
        <v>6</v>
      </c>
    </row>
    <row r="26" customFormat="false" ht="15" hidden="false" customHeight="true" outlineLevel="0" collapsed="false">
      <c r="A26" s="13" t="s">
        <v>643</v>
      </c>
      <c r="B26" s="8" t="n">
        <v>188</v>
      </c>
      <c r="C26" s="8" t="n">
        <v>188</v>
      </c>
      <c r="D26" s="13" t="str">
        <f aca="false">IF(C26&lt;&gt;B26,"rising","")</f>
        <v/>
      </c>
      <c r="E26" s="8" t="n">
        <v>188</v>
      </c>
      <c r="F26" s="8" t="n">
        <v>5</v>
      </c>
      <c r="G26" s="8" t="n">
        <v>274</v>
      </c>
      <c r="H26" s="8" t="n">
        <v>9</v>
      </c>
      <c r="I26" s="8" t="n">
        <v>285</v>
      </c>
      <c r="J26" s="8" t="n">
        <v>10</v>
      </c>
    </row>
    <row r="27" customFormat="false" ht="15" hidden="false" customHeight="true" outlineLevel="0" collapsed="false">
      <c r="A27" s="13" t="s">
        <v>644</v>
      </c>
      <c r="B27" s="8" t="n">
        <v>58</v>
      </c>
      <c r="C27" s="8" t="n">
        <v>58</v>
      </c>
      <c r="D27" s="13" t="str">
        <f aca="false">IF(C27&lt;&gt;B27,"rising","")</f>
        <v/>
      </c>
      <c r="E27" s="8" t="n">
        <v>58</v>
      </c>
      <c r="F27" s="8" t="n">
        <v>1</v>
      </c>
      <c r="G27" s="8" t="n">
        <v>275</v>
      </c>
      <c r="H27" s="8" t="n">
        <v>9</v>
      </c>
      <c r="I27" s="8" t="n">
        <v>144</v>
      </c>
      <c r="J27" s="8" t="n">
        <v>2</v>
      </c>
    </row>
    <row r="28" customFormat="false" ht="15" hidden="false" customHeight="true" outlineLevel="0" collapsed="false">
      <c r="A28" s="13" t="s">
        <v>645</v>
      </c>
      <c r="B28" s="8" t="n">
        <v>118</v>
      </c>
      <c r="C28" s="8" t="n">
        <v>118</v>
      </c>
      <c r="D28" s="13" t="str">
        <f aca="false">IF(C28&lt;&gt;B28,"rising","")</f>
        <v/>
      </c>
      <c r="E28" s="8" t="n">
        <v>118</v>
      </c>
      <c r="F28" s="8" t="n">
        <v>1</v>
      </c>
      <c r="G28" s="8" t="n">
        <v>276</v>
      </c>
      <c r="H28" s="8" t="n">
        <v>9</v>
      </c>
      <c r="I28" s="8" t="n">
        <v>269</v>
      </c>
      <c r="J28" s="8" t="n">
        <v>8</v>
      </c>
    </row>
    <row r="29" customFormat="false" ht="15" hidden="false" customHeight="true" outlineLevel="0" collapsed="false">
      <c r="A29" s="13" t="s">
        <v>646</v>
      </c>
      <c r="B29" s="8" t="n">
        <v>68</v>
      </c>
      <c r="C29" s="8" t="n">
        <v>108</v>
      </c>
      <c r="D29" s="13" t="str">
        <f aca="false">IF(C29&lt;&gt;B29,"rising","")</f>
        <v>rising</v>
      </c>
      <c r="E29" s="8" t="n">
        <v>68</v>
      </c>
      <c r="F29" s="8" t="n">
        <v>1</v>
      </c>
      <c r="G29" s="8" t="n">
        <v>277</v>
      </c>
      <c r="H29" s="8" t="n">
        <v>9</v>
      </c>
      <c r="I29" s="8" t="n">
        <v>267</v>
      </c>
      <c r="J29" s="8" t="n">
        <v>8</v>
      </c>
    </row>
    <row r="30" customFormat="false" ht="15" hidden="false" customHeight="true" outlineLevel="0" collapsed="false">
      <c r="A30" s="13" t="s">
        <v>647</v>
      </c>
      <c r="B30" s="8" t="n">
        <v>94</v>
      </c>
      <c r="C30" s="8" t="n">
        <v>94</v>
      </c>
      <c r="D30" s="13" t="str">
        <f aca="false">IF(C30&lt;&gt;B30,"rising","")</f>
        <v/>
      </c>
      <c r="E30" s="8" t="n">
        <v>94</v>
      </c>
      <c r="F30" s="8" t="n">
        <v>1</v>
      </c>
      <c r="G30" s="8" t="n">
        <v>278</v>
      </c>
      <c r="H30" s="8" t="n">
        <v>9</v>
      </c>
      <c r="I30" s="8" t="n">
        <v>252</v>
      </c>
      <c r="J30" s="8" t="n">
        <v>8</v>
      </c>
    </row>
    <row r="31" customFormat="false" ht="15" hidden="false" customHeight="true" outlineLevel="0" collapsed="false">
      <c r="A31" s="13" t="s">
        <v>648</v>
      </c>
      <c r="B31" s="8" t="n">
        <v>94</v>
      </c>
      <c r="C31" s="8" t="n">
        <v>94</v>
      </c>
      <c r="D31" s="13" t="str">
        <f aca="false">IF(C31&lt;&gt;B31,"rising","")</f>
        <v/>
      </c>
      <c r="E31" s="8" t="n">
        <v>94</v>
      </c>
      <c r="F31" s="8" t="n">
        <v>1</v>
      </c>
      <c r="G31" s="8" t="n">
        <v>279</v>
      </c>
      <c r="H31" s="8" t="n">
        <v>9</v>
      </c>
      <c r="I31" s="8" t="n">
        <v>253</v>
      </c>
      <c r="J31" s="8" t="n">
        <v>8</v>
      </c>
    </row>
    <row r="32" customFormat="false" ht="15" hidden="false" customHeight="true" outlineLevel="0" collapsed="false">
      <c r="A32" s="13" t="s">
        <v>649</v>
      </c>
      <c r="B32" s="8" t="n">
        <v>56</v>
      </c>
      <c r="C32" s="8" t="n">
        <v>96</v>
      </c>
      <c r="D32" s="13" t="str">
        <f aca="false">IF(C32&lt;&gt;B32,"rising","")</f>
        <v>rising</v>
      </c>
      <c r="E32" s="8" t="n">
        <v>56</v>
      </c>
      <c r="F32" s="8" t="n">
        <v>1</v>
      </c>
      <c r="G32" s="8" t="n">
        <v>289</v>
      </c>
      <c r="H32" s="8" t="n">
        <v>11</v>
      </c>
      <c r="I32" s="8" t="n">
        <v>258</v>
      </c>
      <c r="J32" s="8" t="n">
        <v>8</v>
      </c>
    </row>
    <row r="33" customFormat="false" ht="15" hidden="false" customHeight="true" outlineLevel="0" collapsed="false">
      <c r="A33" s="13" t="s">
        <v>650</v>
      </c>
      <c r="B33" s="8" t="n">
        <v>56</v>
      </c>
      <c r="C33" s="8" t="n">
        <v>56</v>
      </c>
      <c r="D33" s="13" t="str">
        <f aca="false">IF(C33&lt;&gt;B33,"rising","")</f>
        <v/>
      </c>
      <c r="E33" s="8" t="n">
        <v>56</v>
      </c>
      <c r="F33" s="8" t="n">
        <v>1</v>
      </c>
      <c r="G33" s="8" t="n">
        <v>290</v>
      </c>
      <c r="H33" s="8" t="n">
        <v>11</v>
      </c>
      <c r="I33" s="8" t="n">
        <v>143</v>
      </c>
      <c r="J33" s="8" t="n">
        <v>2</v>
      </c>
    </row>
    <row r="34" customFormat="false" ht="15" hidden="false" customHeight="true" outlineLevel="0" collapsed="false">
      <c r="A34" s="13" t="s">
        <v>651</v>
      </c>
      <c r="B34" s="8" t="n">
        <v>79</v>
      </c>
      <c r="C34" s="8" t="n">
        <v>79</v>
      </c>
      <c r="D34" s="13" t="str">
        <f aca="false">IF(C34&lt;&gt;B34,"rising","")</f>
        <v/>
      </c>
      <c r="E34" s="8" t="n">
        <v>79</v>
      </c>
      <c r="F34" s="8" t="n">
        <v>1</v>
      </c>
      <c r="G34" s="8" t="n">
        <v>291</v>
      </c>
      <c r="H34" s="8" t="n">
        <v>11</v>
      </c>
      <c r="I34" s="8" t="n">
        <v>230</v>
      </c>
      <c r="J34" s="8" t="n">
        <v>8</v>
      </c>
    </row>
    <row r="35" customFormat="false" ht="15" hidden="false" customHeight="true" outlineLevel="0" collapsed="false">
      <c r="A35" s="13" t="s">
        <v>652</v>
      </c>
      <c r="B35" s="8" t="n">
        <v>95</v>
      </c>
      <c r="C35" s="8" t="n">
        <v>95</v>
      </c>
      <c r="D35" s="13" t="str">
        <f aca="false">IF(C35&lt;&gt;B35,"rising","")</f>
        <v/>
      </c>
      <c r="E35" s="8" t="n">
        <v>95</v>
      </c>
      <c r="F35" s="8" t="n">
        <v>1</v>
      </c>
      <c r="G35" s="8" t="n">
        <v>292</v>
      </c>
      <c r="H35" s="8" t="n">
        <v>11</v>
      </c>
      <c r="I35" s="8" t="n">
        <v>255</v>
      </c>
      <c r="J35" s="8" t="n">
        <v>8</v>
      </c>
    </row>
    <row r="36" customFormat="false" ht="15" hidden="false" customHeight="true" outlineLevel="0" collapsed="false">
      <c r="A36" s="13" t="s">
        <v>653</v>
      </c>
      <c r="B36" s="8" t="n">
        <v>121</v>
      </c>
      <c r="C36" s="8" t="n">
        <v>121</v>
      </c>
      <c r="D36" s="13" t="str">
        <f aca="false">IF(C36&lt;&gt;B36,"rising","")</f>
        <v/>
      </c>
      <c r="E36" s="8" t="n">
        <v>121</v>
      </c>
      <c r="F36" s="8" t="n">
        <v>1</v>
      </c>
      <c r="G36" s="8" t="n">
        <v>293</v>
      </c>
      <c r="H36" s="8" t="n">
        <v>11</v>
      </c>
      <c r="I36" s="8" t="n">
        <v>280</v>
      </c>
      <c r="J36" s="8" t="n">
        <v>10</v>
      </c>
    </row>
    <row r="37" customFormat="false" ht="15" hidden="false" customHeight="true" outlineLevel="0" collapsed="false">
      <c r="A37" s="13" t="s">
        <v>654</v>
      </c>
      <c r="B37" s="8" t="n">
        <v>92</v>
      </c>
      <c r="C37" s="8" t="n">
        <v>92</v>
      </c>
      <c r="D37" s="13" t="str">
        <f aca="false">IF(C37&lt;&gt;B37,"rising","")</f>
        <v/>
      </c>
      <c r="E37" s="8" t="n">
        <v>92</v>
      </c>
      <c r="F37" s="8" t="n">
        <v>1</v>
      </c>
      <c r="G37" s="8" t="n">
        <v>294</v>
      </c>
      <c r="H37" s="8" t="n">
        <v>11</v>
      </c>
      <c r="I37" s="8" t="n">
        <v>249</v>
      </c>
      <c r="J37" s="8" t="n">
        <v>8</v>
      </c>
    </row>
    <row r="38" customFormat="false" ht="15" hidden="false" customHeight="true" outlineLevel="0" collapsed="false">
      <c r="A38" s="13" t="s">
        <v>655</v>
      </c>
      <c r="B38" s="8" t="n">
        <v>63</v>
      </c>
      <c r="C38" s="8" t="n">
        <v>63</v>
      </c>
      <c r="D38" s="13" t="str">
        <f aca="false">IF(C38&lt;&gt;B38,"rising","")</f>
        <v/>
      </c>
      <c r="E38" s="8" t="n">
        <v>63</v>
      </c>
      <c r="F38" s="8" t="n">
        <v>1</v>
      </c>
      <c r="G38" s="8" t="n">
        <v>295</v>
      </c>
      <c r="H38" s="8" t="n">
        <v>11</v>
      </c>
      <c r="I38" s="8" t="n">
        <v>162</v>
      </c>
      <c r="J38" s="8" t="n">
        <v>2</v>
      </c>
    </row>
    <row r="39" customFormat="false" ht="15" hidden="false" customHeight="true" outlineLevel="0" collapsed="false">
      <c r="A39" s="13" t="s">
        <v>656</v>
      </c>
      <c r="B39" s="8" t="n">
        <v>105</v>
      </c>
      <c r="C39" s="8" t="n">
        <v>105</v>
      </c>
      <c r="D39" s="13" t="str">
        <f aca="false">IF(C39&lt;&gt;B39,"rising","")</f>
        <v/>
      </c>
      <c r="E39" s="8" t="n">
        <v>105</v>
      </c>
      <c r="F39" s="8" t="n">
        <v>1</v>
      </c>
      <c r="G39" s="8" t="n">
        <v>296</v>
      </c>
      <c r="H39" s="8" t="n">
        <v>11</v>
      </c>
      <c r="I39" s="8" t="n">
        <v>265</v>
      </c>
      <c r="J39" s="8" t="n">
        <v>8</v>
      </c>
    </row>
    <row r="40" customFormat="false" ht="15" hidden="false" customHeight="true" outlineLevel="0" collapsed="false">
      <c r="A40" s="13" t="s">
        <v>657</v>
      </c>
      <c r="B40" s="8" t="n">
        <v>84</v>
      </c>
      <c r="C40" s="8" t="n">
        <v>84</v>
      </c>
      <c r="D40" s="13" t="str">
        <f aca="false">IF(C40&lt;&gt;B40,"rising","")</f>
        <v/>
      </c>
      <c r="E40" s="8" t="n">
        <v>84</v>
      </c>
      <c r="F40" s="8" t="n">
        <v>1</v>
      </c>
      <c r="G40" s="8" t="n">
        <v>37</v>
      </c>
      <c r="H40" s="8" t="n">
        <v>1</v>
      </c>
      <c r="I40" s="8" t="n">
        <v>236</v>
      </c>
      <c r="J40" s="8" t="n">
        <v>8</v>
      </c>
    </row>
    <row r="41" customFormat="false" ht="15" hidden="false" customHeight="true" outlineLevel="0" collapsed="false">
      <c r="A41" s="13" t="s">
        <v>658</v>
      </c>
      <c r="B41" s="8" t="n">
        <v>46</v>
      </c>
      <c r="C41" s="8" t="n">
        <v>86</v>
      </c>
      <c r="D41" s="13" t="str">
        <f aca="false">IF(C41&lt;&gt;B41,"rising","")</f>
        <v>rising</v>
      </c>
      <c r="E41" s="8" t="n">
        <v>46</v>
      </c>
      <c r="F41" s="8" t="n">
        <v>1</v>
      </c>
      <c r="G41" s="8" t="n">
        <v>38</v>
      </c>
      <c r="H41" s="8" t="n">
        <v>1</v>
      </c>
      <c r="I41" s="8" t="n">
        <v>241</v>
      </c>
      <c r="J41" s="8" t="n">
        <v>8</v>
      </c>
    </row>
    <row r="42" customFormat="false" ht="15" hidden="false" customHeight="true" outlineLevel="0" collapsed="false">
      <c r="A42" s="13" t="s">
        <v>659</v>
      </c>
      <c r="B42" s="8" t="n">
        <v>91</v>
      </c>
      <c r="C42" s="8" t="n">
        <v>91</v>
      </c>
      <c r="D42" s="13" t="str">
        <f aca="false">IF(C42&lt;&gt;B42,"rising","")</f>
        <v/>
      </c>
      <c r="E42" s="8" t="n">
        <v>91</v>
      </c>
      <c r="F42" s="8" t="n">
        <v>1</v>
      </c>
      <c r="G42" s="8" t="n">
        <v>39</v>
      </c>
      <c r="H42" s="8" t="n">
        <v>1</v>
      </c>
      <c r="I42" s="8" t="n">
        <v>246</v>
      </c>
      <c r="J42" s="8" t="n">
        <v>8</v>
      </c>
    </row>
    <row r="43" customFormat="false" ht="15" hidden="false" customHeight="true" outlineLevel="0" collapsed="false">
      <c r="A43" s="13" t="s">
        <v>660</v>
      </c>
      <c r="B43" s="8" t="n">
        <v>76</v>
      </c>
      <c r="C43" s="8" t="n">
        <v>76</v>
      </c>
      <c r="D43" s="13" t="str">
        <f aca="false">IF(C43&lt;&gt;B43,"rising","")</f>
        <v/>
      </c>
      <c r="E43" s="8" t="n">
        <v>76</v>
      </c>
      <c r="F43" s="8" t="n">
        <v>1</v>
      </c>
      <c r="G43" s="8" t="n">
        <v>40</v>
      </c>
      <c r="H43" s="8" t="n">
        <v>1</v>
      </c>
      <c r="I43" s="8" t="n">
        <v>228</v>
      </c>
      <c r="J43" s="8" t="n">
        <v>8</v>
      </c>
    </row>
    <row r="44" customFormat="false" ht="15" hidden="false" customHeight="true" outlineLevel="0" collapsed="false">
      <c r="A44" s="13" t="s">
        <v>661</v>
      </c>
      <c r="B44" s="8" t="n">
        <v>61</v>
      </c>
      <c r="C44" s="8" t="n">
        <v>61</v>
      </c>
      <c r="D44" s="13" t="str">
        <f aca="false">IF(C44&lt;&gt;B44,"rising","")</f>
        <v/>
      </c>
      <c r="E44" s="8" t="n">
        <v>61</v>
      </c>
      <c r="F44" s="8" t="n">
        <v>1</v>
      </c>
      <c r="G44" s="8" t="n">
        <v>41</v>
      </c>
      <c r="H44" s="8" t="n">
        <v>1</v>
      </c>
      <c r="I44" s="8" t="n">
        <v>154</v>
      </c>
      <c r="J44" s="8" t="n">
        <v>2</v>
      </c>
    </row>
    <row r="45" customFormat="false" ht="15" hidden="false" customHeight="true" outlineLevel="0" collapsed="false">
      <c r="A45" s="13" t="s">
        <v>662</v>
      </c>
      <c r="B45" s="8" t="n">
        <v>86</v>
      </c>
      <c r="C45" s="8" t="n">
        <v>86</v>
      </c>
      <c r="D45" s="13" t="str">
        <f aca="false">IF(C45&lt;&gt;B45,"rising","")</f>
        <v/>
      </c>
      <c r="E45" s="8" t="n">
        <v>86</v>
      </c>
      <c r="F45" s="8" t="n">
        <v>1</v>
      </c>
      <c r="G45" s="8" t="n">
        <v>42</v>
      </c>
      <c r="H45" s="8" t="n">
        <v>1</v>
      </c>
      <c r="I45" s="8" t="n">
        <v>242</v>
      </c>
      <c r="J45" s="8" t="n">
        <v>8</v>
      </c>
    </row>
    <row r="46" customFormat="false" ht="15" hidden="false" customHeight="true" outlineLevel="0" collapsed="false">
      <c r="A46" s="13" t="s">
        <v>663</v>
      </c>
      <c r="B46" s="8" t="n">
        <v>51</v>
      </c>
      <c r="C46" s="8" t="n">
        <v>51</v>
      </c>
      <c r="D46" s="13" t="str">
        <f aca="false">IF(C46&lt;&gt;B46,"rising","")</f>
        <v/>
      </c>
      <c r="E46" s="8" t="n">
        <v>51</v>
      </c>
      <c r="F46" s="8" t="n">
        <v>1</v>
      </c>
      <c r="G46" s="8" t="n">
        <v>43</v>
      </c>
      <c r="H46" s="8" t="n">
        <v>1</v>
      </c>
      <c r="I46" s="8" t="n">
        <v>141</v>
      </c>
      <c r="J46" s="8" t="n">
        <v>2</v>
      </c>
    </row>
    <row r="47" customFormat="false" ht="15" hidden="false" customHeight="true" outlineLevel="0" collapsed="false">
      <c r="A47" s="13" t="s">
        <v>664</v>
      </c>
      <c r="B47" s="8" t="n">
        <v>62</v>
      </c>
      <c r="C47" s="8" t="n">
        <v>62</v>
      </c>
      <c r="D47" s="13" t="str">
        <f aca="false">IF(C47&lt;&gt;B47,"rising","")</f>
        <v/>
      </c>
      <c r="E47" s="8" t="n">
        <v>62</v>
      </c>
      <c r="F47" s="8" t="n">
        <v>1</v>
      </c>
      <c r="G47" s="8" t="n">
        <v>47</v>
      </c>
      <c r="H47" s="8" t="n">
        <v>1</v>
      </c>
      <c r="I47" s="8" t="n">
        <v>159</v>
      </c>
      <c r="J47" s="8" t="n">
        <v>2</v>
      </c>
    </row>
    <row r="48" customFormat="false" ht="15" hidden="false" customHeight="true" outlineLevel="0" collapsed="false">
      <c r="A48" s="13" t="s">
        <v>665</v>
      </c>
      <c r="B48" s="8" t="n">
        <v>48</v>
      </c>
      <c r="C48" s="8" t="n">
        <v>88</v>
      </c>
      <c r="D48" s="13" t="str">
        <f aca="false">IF(C48&lt;&gt;B48,"rising","")</f>
        <v>rising</v>
      </c>
      <c r="E48" s="8" t="n">
        <v>48</v>
      </c>
      <c r="F48" s="8" t="n">
        <v>1</v>
      </c>
      <c r="G48" s="8" t="n">
        <v>53</v>
      </c>
      <c r="H48" s="8" t="n">
        <v>1</v>
      </c>
      <c r="I48" s="8" t="n">
        <v>244</v>
      </c>
      <c r="J48" s="8" t="n">
        <v>8</v>
      </c>
    </row>
    <row r="49" customFormat="false" ht="15" hidden="false" customHeight="true" outlineLevel="0" collapsed="false">
      <c r="A49" s="13" t="s">
        <v>666</v>
      </c>
      <c r="B49" s="8" t="n">
        <v>91</v>
      </c>
      <c r="C49" s="8" t="n">
        <v>91</v>
      </c>
      <c r="D49" s="13" t="str">
        <f aca="false">IF(C49&lt;&gt;B49,"rising","")</f>
        <v/>
      </c>
      <c r="E49" s="8" t="n">
        <v>91</v>
      </c>
      <c r="F49" s="8" t="n">
        <v>1</v>
      </c>
      <c r="G49" s="8" t="n">
        <v>57</v>
      </c>
      <c r="H49" s="8" t="n">
        <v>1</v>
      </c>
      <c r="I49" s="8" t="n">
        <v>247</v>
      </c>
      <c r="J49" s="8" t="n">
        <v>8</v>
      </c>
    </row>
    <row r="50" customFormat="false" ht="15" hidden="false" customHeight="true" outlineLevel="0" collapsed="false">
      <c r="A50" s="13" t="s">
        <v>667</v>
      </c>
      <c r="B50" s="8" t="n">
        <v>45</v>
      </c>
      <c r="C50" s="8" t="n">
        <v>45</v>
      </c>
      <c r="D50" s="13" t="str">
        <f aca="false">IF(C50&lt;&gt;B50,"rising","")</f>
        <v/>
      </c>
      <c r="E50" s="8" t="n">
        <v>45</v>
      </c>
      <c r="F50" s="8" t="n">
        <v>1</v>
      </c>
      <c r="G50" s="8" t="n">
        <v>71</v>
      </c>
      <c r="H50" s="8" t="n">
        <v>1</v>
      </c>
      <c r="I50" s="8" t="n">
        <v>137</v>
      </c>
      <c r="J50" s="8" t="n">
        <v>2</v>
      </c>
    </row>
    <row r="51" customFormat="false" ht="15" hidden="false" customHeight="true" outlineLevel="0" collapsed="false">
      <c r="A51" s="13" t="s">
        <v>668</v>
      </c>
      <c r="B51" s="8" t="n">
        <v>52</v>
      </c>
      <c r="C51" s="8" t="n">
        <v>92</v>
      </c>
      <c r="D51" s="13" t="str">
        <f aca="false">IF(C51&lt;&gt;B51,"rising","")</f>
        <v>rising</v>
      </c>
      <c r="E51" s="8" t="n">
        <v>52</v>
      </c>
      <c r="F51" s="8" t="n">
        <v>1</v>
      </c>
      <c r="G51" s="8" t="n">
        <v>72</v>
      </c>
      <c r="H51" s="8" t="n">
        <v>1</v>
      </c>
      <c r="I51" s="8" t="n">
        <v>250</v>
      </c>
      <c r="J51" s="8" t="n">
        <v>8</v>
      </c>
    </row>
    <row r="52" customFormat="false" ht="15" hidden="false" customHeight="true" outlineLevel="0" collapsed="false">
      <c r="A52" s="13" t="s">
        <v>669</v>
      </c>
      <c r="B52" s="8" t="n">
        <v>54</v>
      </c>
      <c r="C52" s="8" t="n">
        <v>94</v>
      </c>
      <c r="D52" s="13" t="str">
        <f aca="false">IF(C52&lt;&gt;B52,"rising","")</f>
        <v>rising</v>
      </c>
      <c r="E52" s="8" t="n">
        <v>54</v>
      </c>
      <c r="F52" s="8" t="n">
        <v>1</v>
      </c>
      <c r="G52" s="8" t="n">
        <v>73</v>
      </c>
      <c r="H52" s="8" t="n">
        <v>1</v>
      </c>
      <c r="I52" s="8" t="n">
        <v>254</v>
      </c>
      <c r="J52" s="8" t="n">
        <v>8</v>
      </c>
    </row>
    <row r="53" customFormat="false" ht="15" hidden="false" customHeight="true" outlineLevel="0" collapsed="false">
      <c r="A53" s="13" t="s">
        <v>670</v>
      </c>
      <c r="B53" s="8" t="n">
        <v>64</v>
      </c>
      <c r="C53" s="8" t="n">
        <v>64</v>
      </c>
      <c r="D53" s="13" t="str">
        <f aca="false">IF(C53&lt;&gt;B53,"rising","")</f>
        <v/>
      </c>
      <c r="E53" s="8" t="n">
        <v>64</v>
      </c>
      <c r="F53" s="8" t="n">
        <v>1</v>
      </c>
      <c r="G53" s="8" t="n">
        <v>75</v>
      </c>
      <c r="H53" s="8" t="n">
        <v>1</v>
      </c>
      <c r="I53" s="8" t="n">
        <v>175</v>
      </c>
      <c r="J53" s="8" t="n">
        <v>4</v>
      </c>
    </row>
    <row r="54" customFormat="false" ht="15" hidden="false" customHeight="true" outlineLevel="0" collapsed="false">
      <c r="A54" s="13" t="s">
        <v>671</v>
      </c>
      <c r="B54" s="8" t="n">
        <v>66</v>
      </c>
      <c r="C54" s="8" t="n">
        <v>66</v>
      </c>
      <c r="D54" s="13" t="str">
        <f aca="false">IF(C54&lt;&gt;B54,"rising","")</f>
        <v/>
      </c>
      <c r="E54" s="8" t="n">
        <v>66</v>
      </c>
      <c r="F54" s="8" t="n">
        <v>1</v>
      </c>
      <c r="G54" s="8" t="n">
        <v>77</v>
      </c>
      <c r="H54" s="8" t="n">
        <v>1</v>
      </c>
      <c r="I54" s="8" t="n">
        <v>201</v>
      </c>
      <c r="J54" s="8" t="n">
        <v>6</v>
      </c>
    </row>
    <row r="55" customFormat="false" ht="15" hidden="false" customHeight="true" outlineLevel="0" collapsed="false">
      <c r="A55" s="13" t="s">
        <v>672</v>
      </c>
      <c r="B55" s="8" t="n">
        <v>61</v>
      </c>
      <c r="C55" s="8" t="n">
        <v>61</v>
      </c>
      <c r="D55" s="13" t="str">
        <f aca="false">IF(C55&lt;&gt;B55,"rising","")</f>
        <v/>
      </c>
      <c r="E55" s="8" t="n">
        <v>61</v>
      </c>
      <c r="F55" s="8" t="n">
        <v>1</v>
      </c>
      <c r="G55" s="8" t="n">
        <v>81</v>
      </c>
      <c r="H55" s="8" t="n">
        <v>1</v>
      </c>
      <c r="I55" s="8" t="n">
        <v>155</v>
      </c>
      <c r="J55" s="8" t="n">
        <v>2</v>
      </c>
    </row>
    <row r="56" customFormat="false" ht="15" hidden="false" customHeight="true" outlineLevel="0" collapsed="false">
      <c r="A56" s="13" t="s">
        <v>673</v>
      </c>
      <c r="B56" s="8" t="n">
        <v>67</v>
      </c>
      <c r="C56" s="8" t="n">
        <v>67</v>
      </c>
      <c r="D56" s="13" t="str">
        <f aca="false">IF(C56&lt;&gt;B56,"rising","")</f>
        <v/>
      </c>
      <c r="E56" s="8" t="n">
        <v>67</v>
      </c>
      <c r="F56" s="8" t="n">
        <v>1</v>
      </c>
      <c r="G56" s="8" t="n">
        <v>82</v>
      </c>
      <c r="H56" s="8" t="n">
        <v>1</v>
      </c>
      <c r="I56" s="8" t="n">
        <v>203</v>
      </c>
      <c r="J56" s="8" t="n">
        <v>6</v>
      </c>
    </row>
    <row r="57" customFormat="false" ht="15" hidden="false" customHeight="true" outlineLevel="0" collapsed="false">
      <c r="A57" s="13" t="s">
        <v>674</v>
      </c>
      <c r="B57" s="8" t="n">
        <v>60</v>
      </c>
      <c r="C57" s="8" t="n">
        <v>60</v>
      </c>
      <c r="D57" s="13" t="str">
        <f aca="false">IF(C57&lt;&gt;B57,"rising","")</f>
        <v/>
      </c>
      <c r="E57" s="8" t="n">
        <v>60</v>
      </c>
      <c r="F57" s="8" t="n">
        <v>1</v>
      </c>
      <c r="G57" s="8" t="n">
        <v>89</v>
      </c>
      <c r="H57" s="8" t="n">
        <v>1</v>
      </c>
      <c r="I57" s="8" t="n">
        <v>148</v>
      </c>
      <c r="J57" s="8" t="n">
        <v>2</v>
      </c>
    </row>
    <row r="58" customFormat="false" ht="15" hidden="false" customHeight="true" outlineLevel="0" collapsed="false">
      <c r="A58" s="13" t="s">
        <v>675</v>
      </c>
      <c r="B58" s="8" t="n">
        <v>69</v>
      </c>
      <c r="C58" s="8" t="n">
        <v>69</v>
      </c>
      <c r="D58" s="13" t="str">
        <f aca="false">IF(C58&lt;&gt;B58,"rising","")</f>
        <v/>
      </c>
      <c r="E58" s="8" t="n">
        <v>69</v>
      </c>
      <c r="F58" s="8" t="n">
        <v>1</v>
      </c>
      <c r="G58" s="8" t="n">
        <v>93</v>
      </c>
      <c r="H58" s="8" t="n">
        <v>1</v>
      </c>
      <c r="I58" s="8" t="n">
        <v>207</v>
      </c>
      <c r="J58" s="8" t="n">
        <v>6</v>
      </c>
    </row>
    <row r="59" customFormat="false" ht="15" hidden="false" customHeight="true" outlineLevel="0" collapsed="false">
      <c r="A59" s="13" t="s">
        <v>676</v>
      </c>
      <c r="B59" s="8" t="n">
        <v>60</v>
      </c>
      <c r="C59" s="8" t="n">
        <v>60</v>
      </c>
      <c r="D59" s="13" t="str">
        <f aca="false">IF(C59&lt;&gt;B59,"rising","")</f>
        <v/>
      </c>
      <c r="E59" s="8" t="n">
        <v>60</v>
      </c>
      <c r="F59" s="8" t="n">
        <v>1</v>
      </c>
      <c r="G59" s="8" t="n">
        <v>97</v>
      </c>
      <c r="H59" s="8" t="n">
        <v>1</v>
      </c>
      <c r="I59" s="8" t="n">
        <v>149</v>
      </c>
      <c r="J59" s="8" t="n">
        <v>2</v>
      </c>
    </row>
    <row r="60" customFormat="false" ht="15" hidden="false" customHeight="true" outlineLevel="0" collapsed="false">
      <c r="A60" s="13" t="s">
        <v>677</v>
      </c>
      <c r="B60" s="8" t="n">
        <v>65</v>
      </c>
      <c r="C60" s="8" t="n">
        <v>65</v>
      </c>
      <c r="D60" s="13" t="str">
        <f aca="false">IF(C60&lt;&gt;B60,"rising","")</f>
        <v/>
      </c>
      <c r="E60" s="8" t="n">
        <v>65</v>
      </c>
      <c r="F60" s="8" t="n">
        <v>1</v>
      </c>
      <c r="G60" s="8" t="n">
        <v>99</v>
      </c>
      <c r="H60" s="8" t="n">
        <v>1</v>
      </c>
      <c r="I60" s="8" t="n">
        <v>178</v>
      </c>
      <c r="J60" s="8" t="n">
        <v>4</v>
      </c>
    </row>
    <row r="61" customFormat="false" ht="15" hidden="false" customHeight="true" outlineLevel="0" collapsed="false">
      <c r="A61" s="13" t="s">
        <v>678</v>
      </c>
      <c r="B61" s="8" t="n">
        <v>64</v>
      </c>
      <c r="C61" s="8" t="n">
        <v>64</v>
      </c>
      <c r="D61" s="13" t="str">
        <f aca="false">IF(C61&lt;&gt;B61,"rising","")</f>
        <v/>
      </c>
      <c r="E61" s="8" t="n">
        <v>64</v>
      </c>
      <c r="F61" s="8" t="n">
        <v>1</v>
      </c>
      <c r="G61" s="8" t="n">
        <v>101</v>
      </c>
      <c r="H61" s="8" t="n">
        <v>1</v>
      </c>
      <c r="I61" s="8" t="n">
        <v>176</v>
      </c>
      <c r="J61" s="8" t="n">
        <v>4</v>
      </c>
    </row>
    <row r="62" customFormat="false" ht="15" hidden="false" customHeight="true" outlineLevel="0" collapsed="false">
      <c r="A62" s="13" t="s">
        <v>679</v>
      </c>
      <c r="B62" s="8" t="n">
        <v>60</v>
      </c>
      <c r="C62" s="8" t="n">
        <v>60</v>
      </c>
      <c r="D62" s="13" t="str">
        <f aca="false">IF(C62&lt;&gt;B62,"rising","")</f>
        <v/>
      </c>
      <c r="E62" s="8" t="n">
        <v>60</v>
      </c>
      <c r="F62" s="8" t="n">
        <v>1</v>
      </c>
      <c r="G62" s="8" t="n">
        <v>102</v>
      </c>
      <c r="H62" s="8" t="n">
        <v>1</v>
      </c>
      <c r="I62" s="8" t="n">
        <v>150</v>
      </c>
      <c r="J62" s="8" t="n">
        <v>2</v>
      </c>
    </row>
    <row r="63" customFormat="false" ht="15" hidden="false" customHeight="true" outlineLevel="0" collapsed="false">
      <c r="A63" s="13" t="s">
        <v>680</v>
      </c>
      <c r="B63" s="8" t="n">
        <v>59</v>
      </c>
      <c r="C63" s="8" t="n">
        <v>59</v>
      </c>
      <c r="D63" s="13" t="str">
        <f aca="false">IF(C63&lt;&gt;B63,"rising","")</f>
        <v/>
      </c>
      <c r="E63" s="8" t="n">
        <v>59</v>
      </c>
      <c r="F63" s="8" t="n">
        <v>1</v>
      </c>
      <c r="G63" s="8" t="n">
        <v>103</v>
      </c>
      <c r="H63" s="8" t="n">
        <v>1</v>
      </c>
      <c r="I63" s="8" t="n">
        <v>145</v>
      </c>
      <c r="J63" s="8" t="n">
        <v>2</v>
      </c>
    </row>
    <row r="64" customFormat="false" ht="15" hidden="false" customHeight="true" outlineLevel="0" collapsed="false">
      <c r="A64" s="13" t="s">
        <v>681</v>
      </c>
      <c r="B64" s="8" t="n">
        <v>171</v>
      </c>
      <c r="C64" s="8" t="n">
        <v>171</v>
      </c>
      <c r="D64" s="13" t="str">
        <f aca="false">IF(C64&lt;&gt;B64,"rising","")</f>
        <v/>
      </c>
      <c r="E64" s="8" t="n">
        <v>171</v>
      </c>
      <c r="F64" s="8" t="n">
        <v>3</v>
      </c>
      <c r="G64" s="8" t="n">
        <v>106</v>
      </c>
      <c r="H64" s="8" t="n">
        <v>1</v>
      </c>
      <c r="I64" s="8" t="n">
        <v>283</v>
      </c>
      <c r="J64" s="8" t="n">
        <v>10</v>
      </c>
    </row>
    <row r="65" customFormat="false" ht="15" hidden="false" customHeight="true" outlineLevel="0" collapsed="false">
      <c r="A65" s="13" t="s">
        <v>682</v>
      </c>
      <c r="B65" s="8" t="n">
        <v>60</v>
      </c>
      <c r="C65" s="8" t="n">
        <v>60</v>
      </c>
      <c r="D65" s="13" t="str">
        <f aca="false">IF(C65&lt;&gt;B65,"rising","")</f>
        <v/>
      </c>
      <c r="E65" s="8" t="n">
        <v>60</v>
      </c>
      <c r="F65" s="8" t="n">
        <v>1</v>
      </c>
      <c r="G65" s="8" t="n">
        <v>109</v>
      </c>
      <c r="H65" s="8" t="n">
        <v>1</v>
      </c>
      <c r="I65" s="8" t="n">
        <v>151</v>
      </c>
      <c r="J65" s="8" t="n">
        <v>2</v>
      </c>
    </row>
    <row r="66" customFormat="false" ht="15" hidden="false" customHeight="true" outlineLevel="0" collapsed="false">
      <c r="A66" s="13" t="s">
        <v>683</v>
      </c>
      <c r="B66" s="8" t="n">
        <v>80</v>
      </c>
      <c r="C66" s="8" t="n">
        <v>80</v>
      </c>
      <c r="D66" s="13" t="str">
        <f aca="false">IF(C66&lt;&gt;B66,"rising","")</f>
        <v/>
      </c>
      <c r="E66" s="8" t="n">
        <v>80</v>
      </c>
      <c r="F66" s="8" t="n">
        <v>1</v>
      </c>
      <c r="G66" s="8" t="n">
        <v>111</v>
      </c>
      <c r="H66" s="8" t="n">
        <v>1</v>
      </c>
      <c r="I66" s="8" t="n">
        <v>233</v>
      </c>
      <c r="J66" s="8" t="n">
        <v>8</v>
      </c>
    </row>
    <row r="67" customFormat="false" ht="15" hidden="false" customHeight="true" outlineLevel="0" collapsed="false">
      <c r="A67" s="13" t="s">
        <v>684</v>
      </c>
      <c r="B67" s="8" t="n">
        <v>68</v>
      </c>
      <c r="C67" s="8" t="n">
        <v>68</v>
      </c>
      <c r="D67" s="13" t="str">
        <f aca="false">IF(C67&lt;&gt;B67,"rising","")</f>
        <v/>
      </c>
      <c r="E67" s="8" t="n">
        <v>68</v>
      </c>
      <c r="F67" s="8" t="n">
        <v>1</v>
      </c>
      <c r="G67" s="8" t="n">
        <v>112</v>
      </c>
      <c r="H67" s="8" t="n">
        <v>1</v>
      </c>
      <c r="I67" s="8" t="n">
        <v>205</v>
      </c>
      <c r="J67" s="8" t="n">
        <v>6</v>
      </c>
    </row>
    <row r="68" customFormat="false" ht="15" hidden="false" customHeight="true" outlineLevel="0" collapsed="false">
      <c r="A68" s="13" t="s">
        <v>685</v>
      </c>
      <c r="B68" s="8" t="n">
        <v>74</v>
      </c>
      <c r="C68" s="8" t="n">
        <v>74</v>
      </c>
      <c r="D68" s="13" t="str">
        <f aca="false">IF(C68&lt;&gt;B68,"rising","")</f>
        <v/>
      </c>
      <c r="E68" s="8" t="n">
        <v>74</v>
      </c>
      <c r="F68" s="8" t="n">
        <v>1</v>
      </c>
      <c r="G68" s="8" t="n">
        <v>113</v>
      </c>
      <c r="H68" s="8" t="n">
        <v>1</v>
      </c>
      <c r="I68" s="8" t="n">
        <v>227</v>
      </c>
      <c r="J68" s="8" t="n">
        <v>8</v>
      </c>
    </row>
    <row r="69" customFormat="false" ht="15" hidden="false" customHeight="true" outlineLevel="0" collapsed="false">
      <c r="A69" s="13" t="s">
        <v>686</v>
      </c>
      <c r="B69" s="8" t="n">
        <v>61</v>
      </c>
      <c r="C69" s="8" t="n">
        <v>61</v>
      </c>
      <c r="D69" s="13" t="str">
        <f aca="false">IF(C69&lt;&gt;B69,"rising","")</f>
        <v/>
      </c>
      <c r="E69" s="8" t="n">
        <v>61</v>
      </c>
      <c r="F69" s="8" t="n">
        <v>1</v>
      </c>
      <c r="G69" s="8" t="n">
        <v>114</v>
      </c>
      <c r="H69" s="8" t="n">
        <v>1</v>
      </c>
      <c r="I69" s="8" t="n">
        <v>156</v>
      </c>
      <c r="J69" s="8" t="n">
        <v>2</v>
      </c>
    </row>
    <row r="70" customFormat="false" ht="15" hidden="false" customHeight="true" outlineLevel="0" collapsed="false">
      <c r="A70" s="13" t="s">
        <v>687</v>
      </c>
      <c r="B70" s="8" t="n">
        <v>59</v>
      </c>
      <c r="C70" s="8" t="n">
        <v>59</v>
      </c>
      <c r="D70" s="13" t="str">
        <f aca="false">IF(C70&lt;&gt;B70,"rising","")</f>
        <v/>
      </c>
      <c r="E70" s="8" t="n">
        <v>59</v>
      </c>
      <c r="F70" s="8" t="n">
        <v>1</v>
      </c>
      <c r="G70" s="8" t="n">
        <v>115</v>
      </c>
      <c r="H70" s="8" t="n">
        <v>1</v>
      </c>
      <c r="I70" s="8" t="n">
        <v>146</v>
      </c>
      <c r="J70" s="8" t="n">
        <v>2</v>
      </c>
    </row>
    <row r="71" customFormat="false" ht="15" hidden="false" customHeight="true" outlineLevel="0" collapsed="false">
      <c r="A71" s="13" t="s">
        <v>688</v>
      </c>
      <c r="B71" s="8" t="n">
        <v>52</v>
      </c>
      <c r="C71" s="8" t="n">
        <v>52</v>
      </c>
      <c r="D71" s="13" t="str">
        <f aca="false">IF(C71&lt;&gt;B71,"rising","")</f>
        <v/>
      </c>
      <c r="E71" s="8" t="n">
        <v>52</v>
      </c>
      <c r="F71" s="8" t="n">
        <v>1</v>
      </c>
      <c r="G71" s="8" t="n">
        <v>116</v>
      </c>
      <c r="H71" s="8" t="n">
        <v>1</v>
      </c>
      <c r="I71" s="8" t="n">
        <v>142</v>
      </c>
      <c r="J71" s="8" t="n">
        <v>2</v>
      </c>
    </row>
    <row r="72" customFormat="false" ht="15" hidden="false" customHeight="true" outlineLevel="0" collapsed="false">
      <c r="A72" s="13" t="s">
        <v>689</v>
      </c>
      <c r="B72" s="8" t="n">
        <v>83</v>
      </c>
      <c r="C72" s="8" t="n">
        <v>83</v>
      </c>
      <c r="D72" s="13" t="str">
        <f aca="false">IF(C72&lt;&gt;B72,"rising","")</f>
        <v/>
      </c>
      <c r="E72" s="8" t="n">
        <v>83</v>
      </c>
      <c r="F72" s="8" t="n">
        <v>1</v>
      </c>
      <c r="G72" s="8" t="n">
        <v>117</v>
      </c>
      <c r="H72" s="8" t="n">
        <v>1</v>
      </c>
      <c r="I72" s="8" t="n">
        <v>235</v>
      </c>
      <c r="J72" s="8" t="n">
        <v>8</v>
      </c>
    </row>
    <row r="73" customFormat="false" ht="15" hidden="false" customHeight="true" outlineLevel="0" collapsed="false">
      <c r="A73" s="13" t="s">
        <v>690</v>
      </c>
      <c r="B73" s="8" t="n">
        <v>65</v>
      </c>
      <c r="C73" s="8" t="n">
        <v>65</v>
      </c>
      <c r="D73" s="13" t="str">
        <f aca="false">IF(C73&lt;&gt;B73,"rising","")</f>
        <v/>
      </c>
      <c r="E73" s="8" t="n">
        <v>65</v>
      </c>
      <c r="F73" s="8" t="n">
        <v>1</v>
      </c>
      <c r="G73" s="8" t="n">
        <v>120</v>
      </c>
      <c r="H73" s="8" t="n">
        <v>1</v>
      </c>
      <c r="I73" s="8" t="n">
        <v>179</v>
      </c>
      <c r="J73" s="8" t="n">
        <v>4</v>
      </c>
    </row>
    <row r="74" customFormat="false" ht="15" hidden="false" customHeight="true" outlineLevel="0" collapsed="false">
      <c r="A74" s="13" t="s">
        <v>691</v>
      </c>
      <c r="B74" s="8" t="n">
        <v>90</v>
      </c>
      <c r="C74" s="8" t="n">
        <v>90</v>
      </c>
      <c r="D74" s="13" t="str">
        <f aca="false">IF(C74&lt;&gt;B74,"rising","")</f>
        <v/>
      </c>
      <c r="E74" s="8" t="n">
        <v>90</v>
      </c>
      <c r="F74" s="8" t="n">
        <v>1</v>
      </c>
      <c r="G74" s="8" t="n">
        <v>122</v>
      </c>
      <c r="H74" s="8" t="n">
        <v>1</v>
      </c>
      <c r="I74" s="8" t="n">
        <v>245</v>
      </c>
      <c r="J74" s="8" t="n">
        <v>8</v>
      </c>
    </row>
    <row r="75" customFormat="false" ht="15" hidden="false" customHeight="true" outlineLevel="0" collapsed="false">
      <c r="A75" s="13" t="s">
        <v>692</v>
      </c>
      <c r="B75" s="8" t="n">
        <v>119</v>
      </c>
      <c r="C75" s="8" t="n">
        <v>119</v>
      </c>
      <c r="D75" s="13" t="str">
        <f aca="false">IF(C75&lt;&gt;B75,"rising","")</f>
        <v/>
      </c>
      <c r="E75" s="8" t="n">
        <v>119</v>
      </c>
      <c r="F75" s="8" t="n">
        <v>1</v>
      </c>
      <c r="G75" s="8" t="n">
        <v>124</v>
      </c>
      <c r="H75" s="8" t="n">
        <v>1</v>
      </c>
      <c r="I75" s="8" t="n">
        <v>270</v>
      </c>
      <c r="J75" s="8" t="n">
        <v>8</v>
      </c>
    </row>
    <row r="76" customFormat="false" ht="15" hidden="false" customHeight="true" outlineLevel="0" collapsed="false">
      <c r="A76" s="13" t="s">
        <v>693</v>
      </c>
      <c r="B76" s="8" t="n">
        <v>63</v>
      </c>
      <c r="C76" s="8" t="n">
        <v>63</v>
      </c>
      <c r="D76" s="13" t="str">
        <f aca="false">IF(C76&lt;&gt;B76,"rising","")</f>
        <v/>
      </c>
      <c r="E76" s="8" t="n">
        <v>63</v>
      </c>
      <c r="F76" s="8" t="n">
        <v>1</v>
      </c>
      <c r="G76" s="8" t="n">
        <v>125</v>
      </c>
      <c r="H76" s="8" t="n">
        <v>1</v>
      </c>
      <c r="I76" s="8" t="n">
        <v>172</v>
      </c>
      <c r="J76" s="8" t="n">
        <v>4</v>
      </c>
    </row>
    <row r="77" customFormat="false" ht="15" hidden="false" customHeight="true" outlineLevel="0" collapsed="false">
      <c r="A77" s="13" t="s">
        <v>694</v>
      </c>
      <c r="B77" s="8" t="n">
        <v>49</v>
      </c>
      <c r="C77" s="8" t="n">
        <v>49</v>
      </c>
      <c r="D77" s="13" t="str">
        <f aca="false">IF(C77&lt;&gt;B77,"rising","")</f>
        <v/>
      </c>
      <c r="E77" s="8" t="n">
        <v>49</v>
      </c>
      <c r="F77" s="8" t="n">
        <v>1</v>
      </c>
      <c r="G77" s="8" t="n">
        <v>126</v>
      </c>
      <c r="H77" s="8" t="n">
        <v>1</v>
      </c>
      <c r="I77" s="8" t="n">
        <v>139</v>
      </c>
      <c r="J77" s="8" t="n">
        <v>2</v>
      </c>
    </row>
    <row r="78" customFormat="false" ht="15" hidden="false" customHeight="true" outlineLevel="0" collapsed="false">
      <c r="A78" s="13" t="s">
        <v>695</v>
      </c>
      <c r="B78" s="8" t="n">
        <v>64</v>
      </c>
      <c r="C78" s="8" t="n">
        <v>104</v>
      </c>
      <c r="D78" s="13" t="str">
        <f aca="false">IF(C78&lt;&gt;B78,"rising","")</f>
        <v>rising</v>
      </c>
      <c r="E78" s="8" t="n">
        <v>64</v>
      </c>
      <c r="F78" s="8" t="n">
        <v>1</v>
      </c>
      <c r="G78" s="8" t="n">
        <v>127</v>
      </c>
      <c r="H78" s="8" t="n">
        <v>1</v>
      </c>
      <c r="I78" s="8" t="n">
        <v>262</v>
      </c>
      <c r="J78" s="8" t="n">
        <v>8</v>
      </c>
    </row>
    <row r="79" customFormat="false" ht="15" hidden="false" customHeight="true" outlineLevel="0" collapsed="false">
      <c r="A79" s="13" t="s">
        <v>696</v>
      </c>
      <c r="B79" s="8" t="n">
        <v>63</v>
      </c>
      <c r="C79" s="8" t="n">
        <v>63</v>
      </c>
      <c r="D79" s="13" t="str">
        <f aca="false">IF(C79&lt;&gt;B79,"rising","")</f>
        <v/>
      </c>
      <c r="E79" s="8" t="n">
        <v>63</v>
      </c>
      <c r="F79" s="8" t="n">
        <v>1</v>
      </c>
      <c r="G79" s="8" t="n">
        <v>128</v>
      </c>
      <c r="H79" s="8" t="n">
        <v>1</v>
      </c>
      <c r="I79" s="8" t="n">
        <v>173</v>
      </c>
      <c r="J79" s="8" t="n">
        <v>4</v>
      </c>
    </row>
    <row r="80" customFormat="false" ht="15" hidden="false" customHeight="true" outlineLevel="0" collapsed="false">
      <c r="A80" s="13" t="s">
        <v>697</v>
      </c>
      <c r="B80" s="8" t="n">
        <v>104</v>
      </c>
      <c r="C80" s="8" t="n">
        <v>104</v>
      </c>
      <c r="D80" s="13" t="str">
        <f aca="false">IF(C80&lt;&gt;B80,"rising","")</f>
        <v/>
      </c>
      <c r="E80" s="8" t="n">
        <v>104</v>
      </c>
      <c r="F80" s="8" t="n">
        <v>1</v>
      </c>
      <c r="G80" s="8" t="n">
        <v>129</v>
      </c>
      <c r="H80" s="8" t="n">
        <v>1</v>
      </c>
      <c r="I80" s="8" t="n">
        <v>263</v>
      </c>
      <c r="J80" s="8" t="n">
        <v>8</v>
      </c>
    </row>
    <row r="81" customFormat="false" ht="15" hidden="false" customHeight="true" outlineLevel="0" collapsed="false">
      <c r="A81" s="13" t="s">
        <v>698</v>
      </c>
      <c r="B81" s="8" t="n">
        <v>85</v>
      </c>
      <c r="C81" s="8" t="n">
        <v>85</v>
      </c>
      <c r="D81" s="13" t="str">
        <f aca="false">IF(C81&lt;&gt;B81,"rising","")</f>
        <v/>
      </c>
      <c r="E81" s="8" t="n">
        <v>85</v>
      </c>
      <c r="F81" s="8" t="n">
        <v>1</v>
      </c>
      <c r="G81" s="8" t="n">
        <v>130</v>
      </c>
      <c r="H81" s="8" t="n">
        <v>1</v>
      </c>
      <c r="I81" s="8" t="n">
        <v>239</v>
      </c>
      <c r="J81" s="8" t="n">
        <v>8</v>
      </c>
    </row>
    <row r="82" customFormat="false" ht="15" hidden="false" customHeight="true" outlineLevel="0" collapsed="false">
      <c r="A82" s="13" t="s">
        <v>699</v>
      </c>
      <c r="B82" s="8" t="n">
        <v>65</v>
      </c>
      <c r="C82" s="8" t="n">
        <v>65</v>
      </c>
      <c r="D82" s="13" t="str">
        <f aca="false">IF(C82&lt;&gt;B82,"rising","")</f>
        <v/>
      </c>
      <c r="E82" s="8" t="n">
        <v>65</v>
      </c>
      <c r="F82" s="8" t="n">
        <v>1</v>
      </c>
      <c r="G82" s="8" t="n">
        <v>132</v>
      </c>
      <c r="H82" s="8" t="n">
        <v>1</v>
      </c>
      <c r="I82" s="8" t="n">
        <v>180</v>
      </c>
      <c r="J82" s="8" t="n">
        <v>4</v>
      </c>
    </row>
    <row r="83" customFormat="false" ht="15" hidden="false" customHeight="true" outlineLevel="0" collapsed="false">
      <c r="A83" s="13" t="s">
        <v>700</v>
      </c>
      <c r="B83" s="8" t="n">
        <v>66</v>
      </c>
      <c r="C83" s="8" t="n">
        <v>66</v>
      </c>
      <c r="D83" s="13" t="str">
        <f aca="false">IF(C83&lt;&gt;B83,"rising","")</f>
        <v/>
      </c>
      <c r="E83" s="8" t="n">
        <v>66</v>
      </c>
      <c r="F83" s="8" t="n">
        <v>1</v>
      </c>
      <c r="G83" s="8" t="n">
        <v>133</v>
      </c>
      <c r="H83" s="8" t="n">
        <v>1</v>
      </c>
      <c r="I83" s="8" t="n">
        <v>202</v>
      </c>
      <c r="J83" s="8" t="n">
        <v>6</v>
      </c>
    </row>
    <row r="84" customFormat="false" ht="15" hidden="false" customHeight="true" outlineLevel="0" collapsed="false">
      <c r="A84" s="13" t="s">
        <v>701</v>
      </c>
      <c r="B84" s="8" t="n">
        <v>79</v>
      </c>
      <c r="C84" s="8" t="n">
        <v>79</v>
      </c>
      <c r="D84" s="13" t="str">
        <f aca="false">IF(C84&lt;&gt;B84,"rising","")</f>
        <v/>
      </c>
      <c r="E84" s="8" t="n">
        <v>79</v>
      </c>
      <c r="F84" s="8" t="n">
        <v>1</v>
      </c>
      <c r="G84" s="8" t="n">
        <v>135</v>
      </c>
      <c r="H84" s="8" t="n">
        <v>1</v>
      </c>
      <c r="I84" s="8" t="n">
        <v>231</v>
      </c>
      <c r="J84" s="8" t="n">
        <v>8</v>
      </c>
    </row>
    <row r="85" customFormat="false" ht="15" hidden="false" customHeight="true" outlineLevel="0" collapsed="false">
      <c r="A85" s="13" t="s">
        <v>702</v>
      </c>
      <c r="B85" s="8" t="n">
        <v>60</v>
      </c>
      <c r="C85" s="8" t="n">
        <v>60</v>
      </c>
      <c r="D85" s="13" t="str">
        <f aca="false">IF(C85&lt;&gt;B85,"rising","")</f>
        <v/>
      </c>
      <c r="E85" s="8" t="n">
        <v>60</v>
      </c>
      <c r="F85" s="8" t="n">
        <v>1</v>
      </c>
      <c r="G85" s="8" t="n">
        <v>163</v>
      </c>
      <c r="H85" s="8" t="n">
        <v>3</v>
      </c>
      <c r="I85" s="8" t="n">
        <v>152</v>
      </c>
      <c r="J85" s="8" t="n">
        <v>2</v>
      </c>
    </row>
    <row r="86" customFormat="false" ht="15" hidden="false" customHeight="true" outlineLevel="0" collapsed="false">
      <c r="A86" s="13" t="s">
        <v>703</v>
      </c>
      <c r="B86" s="8" t="n">
        <v>61</v>
      </c>
      <c r="C86" s="8" t="n">
        <v>61</v>
      </c>
      <c r="D86" s="13" t="str">
        <f aca="false">IF(C86&lt;&gt;B86,"rising","")</f>
        <v/>
      </c>
      <c r="E86" s="8" t="n">
        <v>61</v>
      </c>
      <c r="F86" s="8" t="n">
        <v>1</v>
      </c>
      <c r="G86" s="8" t="n">
        <v>164</v>
      </c>
      <c r="H86" s="8" t="n">
        <v>3</v>
      </c>
      <c r="I86" s="8" t="n">
        <v>157</v>
      </c>
      <c r="J86" s="8" t="n">
        <v>2</v>
      </c>
    </row>
    <row r="87" customFormat="false" ht="15" hidden="false" customHeight="true" outlineLevel="0" collapsed="false">
      <c r="A87" s="13" t="s">
        <v>704</v>
      </c>
      <c r="B87" s="8" t="n">
        <v>85</v>
      </c>
      <c r="C87" s="8" t="n">
        <v>85</v>
      </c>
      <c r="D87" s="13" t="str">
        <f aca="false">IF(C87&lt;&gt;B87,"rising","")</f>
        <v/>
      </c>
      <c r="E87" s="8" t="n">
        <v>85</v>
      </c>
      <c r="F87" s="8" t="n">
        <v>1</v>
      </c>
      <c r="G87" s="8" t="n">
        <v>165</v>
      </c>
      <c r="H87" s="8" t="n">
        <v>3</v>
      </c>
      <c r="I87" s="8" t="n">
        <v>240</v>
      </c>
      <c r="J87" s="8" t="n">
        <v>8</v>
      </c>
    </row>
    <row r="88" customFormat="false" ht="15" hidden="false" customHeight="true" outlineLevel="0" collapsed="false">
      <c r="A88" s="13" t="s">
        <v>705</v>
      </c>
      <c r="B88" s="8" t="n">
        <v>61</v>
      </c>
      <c r="C88" s="8" t="n">
        <v>61</v>
      </c>
      <c r="D88" s="13" t="str">
        <f aca="false">IF(C88&lt;&gt;B88,"rising","")</f>
        <v/>
      </c>
      <c r="E88" s="8" t="n">
        <v>61</v>
      </c>
      <c r="F88" s="8" t="n">
        <v>1</v>
      </c>
      <c r="G88" s="8" t="n">
        <v>166</v>
      </c>
      <c r="H88" s="8" t="n">
        <v>3</v>
      </c>
      <c r="I88" s="8" t="n">
        <v>158</v>
      </c>
      <c r="J88" s="8" t="n">
        <v>2</v>
      </c>
    </row>
    <row r="89" customFormat="false" ht="15" hidden="false" customHeight="true" outlineLevel="0" collapsed="false">
      <c r="A89" s="13" t="s">
        <v>706</v>
      </c>
      <c r="B89" s="8" t="n">
        <v>79</v>
      </c>
      <c r="C89" s="8" t="n">
        <v>79</v>
      </c>
      <c r="D89" s="13" t="str">
        <f aca="false">IF(C89&lt;&gt;B89,"rising","")</f>
        <v/>
      </c>
      <c r="E89" s="8" t="n">
        <v>79</v>
      </c>
      <c r="F89" s="8" t="n">
        <v>1</v>
      </c>
      <c r="G89" s="8" t="n">
        <v>167</v>
      </c>
      <c r="H89" s="8" t="n">
        <v>3</v>
      </c>
      <c r="I89" s="8" t="n">
        <v>232</v>
      </c>
      <c r="J89" s="8" t="n">
        <v>8</v>
      </c>
    </row>
    <row r="90" customFormat="false" ht="15" hidden="false" customHeight="true" outlineLevel="0" collapsed="false">
      <c r="A90" s="13" t="s">
        <v>707</v>
      </c>
      <c r="B90" s="8" t="n">
        <v>63</v>
      </c>
      <c r="C90" s="8" t="n">
        <v>63</v>
      </c>
      <c r="D90" s="13" t="str">
        <f aca="false">IF(C90&lt;&gt;B90,"rising","")</f>
        <v/>
      </c>
      <c r="E90" s="8" t="n">
        <v>63</v>
      </c>
      <c r="F90" s="8" t="n">
        <v>1</v>
      </c>
      <c r="G90" s="8" t="n">
        <v>168</v>
      </c>
      <c r="H90" s="8" t="n">
        <v>3</v>
      </c>
      <c r="I90" s="8" t="n">
        <v>174</v>
      </c>
      <c r="J90" s="8" t="n">
        <v>4</v>
      </c>
    </row>
    <row r="91" customFormat="false" ht="15" hidden="false" customHeight="true" outlineLevel="0" collapsed="false">
      <c r="A91" s="13" t="s">
        <v>708</v>
      </c>
      <c r="B91" s="8" t="n">
        <v>60</v>
      </c>
      <c r="C91" s="8" t="n">
        <v>60</v>
      </c>
      <c r="D91" s="13" t="str">
        <f aca="false">IF(C91&lt;&gt;B91,"rising","")</f>
        <v/>
      </c>
      <c r="E91" s="8" t="n">
        <v>60</v>
      </c>
      <c r="F91" s="8" t="n">
        <v>1</v>
      </c>
      <c r="G91" s="8" t="n">
        <v>169</v>
      </c>
      <c r="H91" s="8" t="n">
        <v>3</v>
      </c>
      <c r="I91" s="8" t="n">
        <v>153</v>
      </c>
      <c r="J91" s="8" t="n">
        <v>2</v>
      </c>
    </row>
    <row r="92" customFormat="false" ht="15" hidden="false" customHeight="true" outlineLevel="0" collapsed="false">
      <c r="A92" s="13" t="s">
        <v>709</v>
      </c>
      <c r="B92" s="8" t="n">
        <v>78</v>
      </c>
      <c r="C92" s="8" t="n">
        <v>78</v>
      </c>
      <c r="D92" s="13" t="str">
        <f aca="false">IF(C92&lt;&gt;B92,"rising","")</f>
        <v/>
      </c>
      <c r="E92" s="8" t="n">
        <v>78</v>
      </c>
      <c r="F92" s="8" t="n">
        <v>1</v>
      </c>
      <c r="G92" s="8" t="n">
        <v>170</v>
      </c>
      <c r="H92" s="8" t="n">
        <v>3</v>
      </c>
      <c r="I92" s="8" t="n">
        <v>229</v>
      </c>
      <c r="J92" s="8" t="n">
        <v>8</v>
      </c>
    </row>
    <row r="93" customFormat="false" ht="15" hidden="false" customHeight="true" outlineLevel="0" collapsed="false">
      <c r="A93" s="13" t="s">
        <v>710</v>
      </c>
      <c r="B93" s="8" t="n">
        <v>98</v>
      </c>
      <c r="C93" s="8" t="n">
        <v>98</v>
      </c>
      <c r="D93" s="13" t="str">
        <f aca="false">IF(C93&lt;&gt;B93,"rising","")</f>
        <v/>
      </c>
      <c r="E93" s="8" t="n">
        <v>98</v>
      </c>
      <c r="F93" s="8" t="n">
        <v>1</v>
      </c>
      <c r="G93" s="8" t="n">
        <v>181</v>
      </c>
      <c r="H93" s="8" t="n">
        <v>5</v>
      </c>
      <c r="I93" s="8" t="n">
        <v>259</v>
      </c>
      <c r="J93" s="8" t="n">
        <v>8</v>
      </c>
    </row>
    <row r="94" customFormat="false" ht="15" hidden="false" customHeight="true" outlineLevel="0" collapsed="false">
      <c r="A94" s="13" t="s">
        <v>711</v>
      </c>
      <c r="B94" s="8" t="n">
        <v>65</v>
      </c>
      <c r="C94" s="8" t="n">
        <v>65</v>
      </c>
      <c r="D94" s="13" t="str">
        <f aca="false">IF(C94&lt;&gt;B94,"rising","")</f>
        <v/>
      </c>
      <c r="E94" s="8" t="n">
        <v>65</v>
      </c>
      <c r="F94" s="8" t="n">
        <v>1</v>
      </c>
      <c r="G94" s="8" t="n">
        <v>182</v>
      </c>
      <c r="H94" s="8" t="n">
        <v>5</v>
      </c>
      <c r="I94" s="8" t="n">
        <v>199</v>
      </c>
      <c r="J94" s="8" t="n">
        <v>6</v>
      </c>
    </row>
    <row r="95" customFormat="false" ht="15" hidden="false" customHeight="true" outlineLevel="0" collapsed="false">
      <c r="A95" s="13" t="s">
        <v>712</v>
      </c>
      <c r="B95" s="8" t="n">
        <v>44</v>
      </c>
      <c r="C95" s="8" t="n">
        <v>84</v>
      </c>
      <c r="D95" s="13" t="str">
        <f aca="false">IF(C95&lt;&gt;B95,"rising","")</f>
        <v>rising</v>
      </c>
      <c r="E95" s="8" t="n">
        <v>44</v>
      </c>
      <c r="F95" s="8" t="n">
        <v>1</v>
      </c>
      <c r="G95" s="8" t="n">
        <v>183</v>
      </c>
      <c r="H95" s="8" t="n">
        <v>5</v>
      </c>
      <c r="I95" s="8" t="n">
        <v>237</v>
      </c>
      <c r="J95" s="8" t="n">
        <v>8</v>
      </c>
    </row>
    <row r="96" customFormat="false" ht="15" hidden="false" customHeight="true" outlineLevel="0" collapsed="false">
      <c r="A96" s="13" t="s">
        <v>713</v>
      </c>
      <c r="B96" s="8" t="n">
        <v>100</v>
      </c>
      <c r="C96" s="8" t="n">
        <v>100</v>
      </c>
      <c r="D96" s="13" t="str">
        <f aca="false">IF(C96&lt;&gt;B96,"rising","")</f>
        <v/>
      </c>
      <c r="E96" s="8" t="n">
        <v>100</v>
      </c>
      <c r="F96" s="8" t="n">
        <v>1</v>
      </c>
      <c r="G96" s="8" t="n">
        <v>184</v>
      </c>
      <c r="H96" s="8" t="n">
        <v>5</v>
      </c>
      <c r="I96" s="8" t="n">
        <v>261</v>
      </c>
      <c r="J96" s="8" t="n">
        <v>8</v>
      </c>
    </row>
    <row r="97" customFormat="false" ht="15" hidden="false" customHeight="true" outlineLevel="0" collapsed="false">
      <c r="A97" s="13" t="s">
        <v>714</v>
      </c>
      <c r="B97" s="8" t="n">
        <v>59</v>
      </c>
      <c r="C97" s="8" t="n">
        <v>59</v>
      </c>
      <c r="D97" s="13" t="str">
        <f aca="false">IF(C97&lt;&gt;B97,"rising","")</f>
        <v/>
      </c>
      <c r="E97" s="8" t="n">
        <v>59</v>
      </c>
      <c r="F97" s="8" t="n">
        <v>1</v>
      </c>
      <c r="G97" s="8" t="n">
        <v>185</v>
      </c>
      <c r="H97" s="8" t="n">
        <v>5</v>
      </c>
      <c r="I97" s="8" t="n">
        <v>147</v>
      </c>
      <c r="J97" s="8" t="n">
        <v>2</v>
      </c>
    </row>
    <row r="98" customFormat="false" ht="15" hidden="false" customHeight="true" outlineLevel="0" collapsed="false">
      <c r="A98" s="13" t="s">
        <v>715</v>
      </c>
      <c r="B98" s="8" t="n">
        <v>62</v>
      </c>
      <c r="C98" s="8" t="n">
        <v>62</v>
      </c>
      <c r="D98" s="13" t="str">
        <f aca="false">IF(C98&lt;&gt;B98,"rising","")</f>
        <v/>
      </c>
      <c r="E98" s="8" t="n">
        <v>62</v>
      </c>
      <c r="F98" s="8" t="n">
        <v>1</v>
      </c>
      <c r="G98" s="8" t="n">
        <v>187</v>
      </c>
      <c r="H98" s="8" t="n">
        <v>5</v>
      </c>
      <c r="I98" s="8" t="n">
        <v>160</v>
      </c>
      <c r="J98" s="8" t="n">
        <v>2</v>
      </c>
    </row>
    <row r="99" customFormat="false" ht="15" hidden="false" customHeight="true" outlineLevel="0" collapsed="false">
      <c r="A99" s="13" t="s">
        <v>716</v>
      </c>
      <c r="B99" s="8" t="n">
        <v>87</v>
      </c>
      <c r="C99" s="8" t="n">
        <v>87</v>
      </c>
      <c r="D99" s="13" t="str">
        <f aca="false">IF(C99&lt;&gt;B99,"rising","")</f>
        <v/>
      </c>
      <c r="E99" s="8" t="n">
        <v>87</v>
      </c>
      <c r="F99" s="8" t="n">
        <v>1</v>
      </c>
      <c r="G99" s="8" t="n">
        <v>189</v>
      </c>
      <c r="H99" s="8" t="n">
        <v>5</v>
      </c>
      <c r="I99" s="8" t="n">
        <v>243</v>
      </c>
      <c r="J99" s="8" t="n">
        <v>8</v>
      </c>
    </row>
    <row r="100" customFormat="false" ht="15" hidden="false" customHeight="true" outlineLevel="0" collapsed="false">
      <c r="A100" s="13" t="s">
        <v>717</v>
      </c>
      <c r="B100" s="8" t="n">
        <v>46</v>
      </c>
      <c r="C100" s="8" t="n">
        <v>46</v>
      </c>
      <c r="D100" s="13" t="str">
        <f aca="false">IF(C100&lt;&gt;B100,"rising","")</f>
        <v/>
      </c>
      <c r="E100" s="8" t="n">
        <v>46</v>
      </c>
      <c r="F100" s="8" t="n">
        <v>1</v>
      </c>
      <c r="G100" s="8" t="n">
        <v>190</v>
      </c>
      <c r="H100" s="8" t="n">
        <v>5</v>
      </c>
      <c r="I100" s="8" t="n">
        <v>138</v>
      </c>
      <c r="J100" s="8" t="n">
        <v>2</v>
      </c>
    </row>
    <row r="101" customFormat="false" ht="15" hidden="false" customHeight="true" outlineLevel="0" collapsed="false">
      <c r="A101" s="13" t="s">
        <v>718</v>
      </c>
      <c r="B101" s="8" t="n">
        <v>55</v>
      </c>
      <c r="C101" s="8" t="n">
        <v>95</v>
      </c>
      <c r="D101" s="13" t="str">
        <f aca="false">IF(C101&lt;&gt;B101,"rising","")</f>
        <v>rising</v>
      </c>
      <c r="E101" s="8" t="n">
        <v>55</v>
      </c>
      <c r="F101" s="8" t="n">
        <v>1</v>
      </c>
      <c r="G101" s="8" t="n">
        <v>192</v>
      </c>
      <c r="H101" s="8" t="n">
        <v>5</v>
      </c>
      <c r="I101" s="8" t="n">
        <v>256</v>
      </c>
      <c r="J101" s="8" t="n">
        <v>8</v>
      </c>
    </row>
    <row r="102" customFormat="false" ht="15" hidden="false" customHeight="true" outlineLevel="0" collapsed="false">
      <c r="A102" s="13" t="s">
        <v>719</v>
      </c>
      <c r="B102" s="8" t="n">
        <v>62</v>
      </c>
      <c r="C102" s="8" t="n">
        <v>62</v>
      </c>
      <c r="D102" s="13" t="str">
        <f aca="false">IF(C102&lt;&gt;B102,"rising","")</f>
        <v/>
      </c>
      <c r="E102" s="8" t="n">
        <v>62</v>
      </c>
      <c r="F102" s="8" t="n">
        <v>1</v>
      </c>
      <c r="G102" s="8" t="n">
        <v>193</v>
      </c>
      <c r="H102" s="8" t="n">
        <v>5</v>
      </c>
      <c r="I102" s="8" t="n">
        <v>161</v>
      </c>
      <c r="J102" s="8" t="n">
        <v>2</v>
      </c>
    </row>
    <row r="104" customFormat="false" ht="15" hidden="false" customHeight="true" outlineLevel="0" collapsed="false">
      <c r="A104" s="7" t="s">
        <v>720</v>
      </c>
    </row>
    <row r="105" customFormat="false" ht="15" hidden="false" customHeight="true" outlineLevel="0" collapsed="false">
      <c r="A105" s="6" t="s">
        <v>721</v>
      </c>
      <c r="B105" s="7" t="n">
        <f aca="false">SUM(B4:B102)</f>
        <v>7840</v>
      </c>
    </row>
    <row r="106" customFormat="false" ht="15" hidden="false" customHeight="true" outlineLevel="0" collapsed="false">
      <c r="A106" s="6" t="s">
        <v>722</v>
      </c>
      <c r="B106" s="7" t="n">
        <f aca="false">SUM(C4:C102)</f>
        <v>8560</v>
      </c>
    </row>
    <row r="107" customFormat="false" ht="15" hidden="false" customHeight="true" outlineLevel="0" collapsed="false">
      <c r="A107" s="6" t="s">
        <v>723</v>
      </c>
      <c r="B107" s="7" t="n">
        <f aca="false">SUMIF(D4:D102,"",B4:B102)</f>
        <v>6605</v>
      </c>
    </row>
    <row r="108" customFormat="false" ht="15" hidden="false" customHeight="true" outlineLevel="0" collapsed="false">
      <c r="A108" s="6" t="s">
        <v>724</v>
      </c>
      <c r="B108" s="7" t="n">
        <f aca="false">SUMIF(D4:D102,"rising",B4:B102)</f>
        <v>1235</v>
      </c>
    </row>
    <row r="109" customFormat="false" ht="15" hidden="false" customHeight="true" outlineLevel="0" collapsed="false">
      <c r="A109" s="6" t="s">
        <v>725</v>
      </c>
      <c r="B109" s="7" t="n">
        <f aca="false">SUMIF(D4:D102,"rising",C4:C102)</f>
        <v>1955</v>
      </c>
    </row>
    <row r="110" customFormat="false" ht="15" hidden="false" customHeight="true" outlineLevel="0" collapsed="false">
      <c r="A110" s="6" t="s">
        <v>726</v>
      </c>
      <c r="B110" s="7" t="n">
        <f aca="false">MEDIAN(B4:B102)</f>
        <v>67</v>
      </c>
    </row>
    <row r="111" customFormat="false" ht="15" hidden="false" customHeight="true" outlineLevel="0" collapsed="false">
      <c r="A111" s="6" t="s">
        <v>727</v>
      </c>
      <c r="B111" s="7" t="n">
        <f aca="false">COUNTIF(B4:B102,B110)</f>
        <v>1</v>
      </c>
    </row>
    <row r="112" customFormat="false" ht="15" hidden="false" customHeight="true" outlineLevel="0" collapsed="false">
      <c r="A112" s="6" t="s">
        <v>728</v>
      </c>
      <c r="B112" s="7" t="n">
        <f aca="false">MEDIAN(C4:C102)</f>
        <v>79</v>
      </c>
    </row>
    <row r="113" customFormat="false" ht="15" hidden="false" customHeight="true" outlineLevel="0" collapsed="false">
      <c r="A113" s="6" t="s">
        <v>729</v>
      </c>
      <c r="B113" s="7" t="n">
        <f aca="false">COUNTIF(C4:C102,B112)</f>
        <v>3</v>
      </c>
    </row>
    <row r="114" customFormat="false" ht="15" hidden="false" customHeight="true" outlineLevel="0" collapsed="false">
      <c r="A114" s="6" t="s">
        <v>730</v>
      </c>
      <c r="B114" s="7" t="n">
        <f aca="false">AVERAGE(B4:B102)</f>
        <v>79.1919191919192</v>
      </c>
    </row>
    <row r="115" customFormat="false" ht="15" hidden="false" customHeight="true" outlineLevel="0" collapsed="false">
      <c r="A115" s="6" t="s">
        <v>731</v>
      </c>
      <c r="B115" s="7" t="n">
        <f aca="false">AVERAGE(C4:C102)</f>
        <v>86.4646464646465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5" hidden="false" customHeight="true" outlineLevel="0" collapsed="false">
      <c r="A1" s="7" t="s">
        <v>732</v>
      </c>
    </row>
    <row r="3" customFormat="false" ht="15" hidden="false" customHeight="true" outlineLevel="0" collapsed="false">
      <c r="A3" s="4" t="s">
        <v>733</v>
      </c>
      <c r="B3" s="4" t="s">
        <v>734</v>
      </c>
      <c r="C3" s="4" t="s">
        <v>735</v>
      </c>
    </row>
    <row r="4" customFormat="false" ht="15" hidden="false" customHeight="true" outlineLevel="0" collapsed="false">
      <c r="A4" s="6" t="s">
        <v>736</v>
      </c>
      <c r="B4" s="7" t="n">
        <f aca="false">114+99+99</f>
        <v>312</v>
      </c>
      <c r="C4" s="6" t="s">
        <v>737</v>
      </c>
    </row>
    <row r="5" customFormat="false" ht="15" hidden="false" customHeight="true" outlineLevel="0" collapsed="false">
      <c r="A5" s="6" t="s">
        <v>738</v>
      </c>
      <c r="B5" s="7" t="n">
        <f aca="false">3*84+4*15</f>
        <v>312</v>
      </c>
      <c r="C5" s="6" t="s">
        <v>737</v>
      </c>
    </row>
    <row r="6" customFormat="false" ht="15" hidden="false" customHeight="true" outlineLevel="0" collapsed="false">
      <c r="A6" s="6" t="s">
        <v>739</v>
      </c>
      <c r="B6" s="7" t="n">
        <f aca="false">3*99</f>
        <v>297</v>
      </c>
      <c r="C6" s="6" t="s">
        <v>740</v>
      </c>
    </row>
    <row r="7" customFormat="false" ht="15" hidden="false" customHeight="true" outlineLevel="0" collapsed="false">
      <c r="A7" s="6" t="s">
        <v>741</v>
      </c>
      <c r="B7" s="7" t="n">
        <f aca="false">312-297</f>
        <v>15</v>
      </c>
      <c r="C7" s="6" t="s">
        <v>573</v>
      </c>
    </row>
    <row r="8" customFormat="false" ht="15" hidden="false" customHeight="true" outlineLevel="0" collapsed="false">
      <c r="A8" s="6" t="s">
        <v>742</v>
      </c>
      <c r="B8" s="7" t="n">
        <f aca="false">(37+297)/2</f>
        <v>167</v>
      </c>
      <c r="C8" s="6" t="s">
        <v>743</v>
      </c>
    </row>
    <row r="9" customFormat="false" ht="15" hidden="false" customHeight="true" outlineLevel="0" collapsed="false">
      <c r="A9" s="6" t="s">
        <v>744</v>
      </c>
      <c r="B9" s="7" t="n">
        <f aca="false">9+167</f>
        <v>176</v>
      </c>
      <c r="C9" s="6" t="s">
        <v>745</v>
      </c>
    </row>
    <row r="10" customFormat="false" ht="15" hidden="false" customHeight="true" outlineLevel="0" collapsed="false">
      <c r="A10" s="6" t="s">
        <v>746</v>
      </c>
      <c r="B10" s="7" t="n">
        <f aca="false">9+167+40</f>
        <v>216</v>
      </c>
      <c r="C10" s="6" t="s">
        <v>747</v>
      </c>
    </row>
    <row r="11" customFormat="false" ht="15" hidden="false" customHeight="true" outlineLevel="0" collapsed="false">
      <c r="A11" s="6" t="s">
        <v>748</v>
      </c>
      <c r="B11" s="7" t="n">
        <f aca="false">6605+167</f>
        <v>6772</v>
      </c>
      <c r="C11" s="6" t="s">
        <v>749</v>
      </c>
    </row>
    <row r="12" customFormat="false" ht="15" hidden="false" customHeight="true" outlineLevel="0" collapsed="false">
      <c r="A12" s="6" t="s">
        <v>750</v>
      </c>
      <c r="B12" s="7" t="n">
        <f aca="false">(6605+167)*29</f>
        <v>196388</v>
      </c>
      <c r="C12" s="6" t="s">
        <v>751</v>
      </c>
    </row>
    <row r="13" customFormat="false" ht="15" hidden="false" customHeight="true" outlineLevel="0" collapsed="false">
      <c r="A13" s="6" t="s">
        <v>752</v>
      </c>
      <c r="B13" s="7" t="n">
        <f aca="false">(6605+167)*29+5*99</f>
        <v>196883</v>
      </c>
      <c r="C13" s="6" t="s">
        <v>753</v>
      </c>
    </row>
    <row r="14" customFormat="false" ht="15" hidden="false" customHeight="true" outlineLevel="0" collapsed="false">
      <c r="A14" s="6" t="s">
        <v>754</v>
      </c>
      <c r="B14" s="7" t="n">
        <f aca="false">47*59*71</f>
        <v>196883</v>
      </c>
      <c r="C14" s="6" t="s">
        <v>755</v>
      </c>
    </row>
    <row r="15" customFormat="false" ht="15" hidden="false" customHeight="true" outlineLevel="0" collapsed="false">
      <c r="A15" s="6" t="s">
        <v>756</v>
      </c>
      <c r="B15" s="7" t="n">
        <f aca="false">Names_99!B107</f>
        <v>6605</v>
      </c>
      <c r="C15" s="6" t="s">
        <v>757</v>
      </c>
    </row>
    <row r="17" customFormat="false" ht="15" hidden="false" customHeight="true" outlineLevel="0" collapsed="false">
      <c r="A17" s="7" t="s">
        <v>758</v>
      </c>
    </row>
    <row r="18" customFormat="false" ht="15" hidden="false" customHeight="true" outlineLevel="0" collapsed="false">
      <c r="A18" s="6" t="s">
        <v>759</v>
      </c>
    </row>
    <row r="19" customFormat="false" ht="15" hidden="false" customHeight="true" outlineLevel="0" collapsed="false">
      <c r="A19" s="6" t="s">
        <v>760</v>
      </c>
    </row>
    <row r="20" customFormat="false" ht="15" hidden="false" customHeight="true" outlineLevel="0" collapsed="false">
      <c r="A20" s="6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2026-10-01T18:35:26Z</dcterms:created>
  <dc:creator>openpyxl</dc:creator>
  <dc:description/>
  <dc:language>en-US</dc:language>
  <cp:lastModifiedBy/>
  <dcterms:modified xsi:type="dcterms:W3CDTF">2026-10-01T19:18:24Z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